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omments4.xml" ContentType="application/vnd.openxmlformats-officedocument.spreadsheetml.comment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omments5.xml" ContentType="application/vnd.openxmlformats-officedocument.spreadsheetml.comment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comments6.xml" ContentType="application/vnd.openxmlformats-officedocument.spreadsheetml.comments+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comments7.xml" ContentType="application/vnd.openxmlformats-officedocument.spreadsheetml.comments+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comments8.xml" ContentType="application/vnd.openxmlformats-officedocument.spreadsheetml.comments+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9.xml" ContentType="application/vnd.openxmlformats-officedocument.drawing+xml"/>
  <Override PartName="/xl/comments9.xml" ContentType="application/vnd.openxmlformats-officedocument.spreadsheetml.comments+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0.xml" ContentType="application/vnd.openxmlformats-officedocument.drawing+xml"/>
  <Override PartName="/xl/comments10.xml" ContentType="application/vnd.openxmlformats-officedocument.spreadsheetml.comments+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1.xml" ContentType="application/vnd.openxmlformats-officedocument.drawing+xml"/>
  <Override PartName="/xl/comments11.xml" ContentType="application/vnd.openxmlformats-officedocument.spreadsheetml.comments+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2.xml" ContentType="application/vnd.openxmlformats-officedocument.drawing+xml"/>
  <Override PartName="/xl/comments12.xml" ContentType="application/vnd.openxmlformats-officedocument.spreadsheetml.comments+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13.xml" ContentType="application/vnd.openxmlformats-officedocument.drawing+xml"/>
  <Override PartName="/xl/comments13.xml" ContentType="application/vnd.openxmlformats-officedocument.spreadsheetml.comments+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14.xml" ContentType="application/vnd.openxmlformats-officedocument.drawing+xml"/>
  <Override PartName="/xl/comments14.xml" ContentType="application/vnd.openxmlformats-officedocument.spreadsheetml.comments+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15.xml" ContentType="application/vnd.openxmlformats-officedocument.drawing+xml"/>
  <Override PartName="/xl/comments15.xml" ContentType="application/vnd.openxmlformats-officedocument.spreadsheetml.comments+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16.xml" ContentType="application/vnd.openxmlformats-officedocument.drawing+xml"/>
  <Override PartName="/xl/comments16.xml" ContentType="application/vnd.openxmlformats-officedocument.spreadsheetml.comments+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17.xml" ContentType="application/vnd.openxmlformats-officedocument.drawing+xml"/>
  <Override PartName="/xl/comments17.xml" ContentType="application/vnd.openxmlformats-officedocument.spreadsheetml.comments+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18.xml" ContentType="application/vnd.openxmlformats-officedocument.drawing+xml"/>
  <Override PartName="/xl/comments18.xml" ContentType="application/vnd.openxmlformats-officedocument.spreadsheetml.comments+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19.xml" ContentType="application/vnd.openxmlformats-officedocument.drawing+xml"/>
  <Override PartName="/xl/comments19.xml" ContentType="application/vnd.openxmlformats-officedocument.spreadsheetml.comments+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drawings/drawing20.xml" ContentType="application/vnd.openxmlformats-officedocument.drawing+xml"/>
  <Override PartName="/xl/comments20.xml" ContentType="application/vnd.openxmlformats-officedocument.spreadsheetml.comments+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21.xml" ContentType="application/vnd.openxmlformats-officedocument.drawing+xml"/>
  <Override PartName="/xl/comments21.xml" ContentType="application/vnd.openxmlformats-officedocument.spreadsheetml.comments+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22.xml" ContentType="application/vnd.openxmlformats-officedocument.drawing+xml"/>
  <Override PartName="/xl/comments22.xml" ContentType="application/vnd.openxmlformats-officedocument.spreadsheetml.comments+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23.xml" ContentType="application/vnd.openxmlformats-officedocument.drawing+xml"/>
  <Override PartName="/xl/comments23.xml" ContentType="application/vnd.openxmlformats-officedocument.spreadsheetml.comments+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codeName="ThisWorkbook"/>
  <mc:AlternateContent xmlns:mc="http://schemas.openxmlformats.org/markup-compatibility/2006">
    <mc:Choice Requires="x15">
      <x15ac:absPath xmlns:x15ac="http://schemas.microsoft.com/office/spreadsheetml/2010/11/ac" url="C:\Users\GeoDelta Líneas\Dropbox\14. GEODELTA\014 FORMATOS ACTUALIZADOS 2026\FORMATOS PARA DIGITAR ACTUALIZADOS 2026\"/>
    </mc:Choice>
  </mc:AlternateContent>
  <xr:revisionPtr revIDLastSave="0" documentId="13_ncr:1_{AB4060AE-62A6-4B7D-812D-7D6098C30ED3}" xr6:coauthVersionLast="47" xr6:coauthVersionMax="47" xr10:uidLastSave="{00000000-0000-0000-0000-000000000000}"/>
  <bookViews>
    <workbookView xWindow="-120" yWindow="-120" windowWidth="20730" windowHeight="11040" tabRatio="549" xr2:uid="{00000000-000D-0000-FFFF-FFFF00000000}"/>
  </bookViews>
  <sheets>
    <sheet name="GUIA" sheetId="64" r:id="rId1"/>
    <sheet name="CAV-S1-AP2-M2" sheetId="95" state="hidden" r:id="rId2"/>
    <sheet name="CAV-S2-AP4-M2" sheetId="94" state="hidden" r:id="rId3"/>
    <sheet name="CAV-AP4-M4" sheetId="96" state="hidden" r:id="rId4"/>
    <sheet name="PALMASECA AP1 M4" sheetId="98" state="hidden" r:id="rId5"/>
    <sheet name="PALMASECA AP2 M3" sheetId="99" state="hidden" r:id="rId6"/>
    <sheet name="PALMASECA AP3 M3" sheetId="97" state="hidden" r:id="rId7"/>
    <sheet name="ESTAMBUL AP1 M3" sheetId="100" state="hidden" r:id="rId8"/>
    <sheet name="CIAT AP2 M2" sheetId="101" state="hidden" r:id="rId9"/>
    <sheet name="CIAT AP1 M3" sheetId="104" state="hidden" r:id="rId10"/>
    <sheet name="P-VILARICA AP2 M2" sheetId="105" state="hidden" r:id="rId11"/>
    <sheet name="P-VILARICA AP4 M3" sheetId="107" state="hidden" r:id="rId12"/>
    <sheet name="P-VILARICA AP6 M3" sheetId="106" state="hidden" r:id="rId13"/>
    <sheet name="P-VILARICA AP5 M3" sheetId="108" state="hidden" r:id="rId14"/>
    <sheet name="P-ROZO AP1 M3" sheetId="109" state="hidden" r:id="rId15"/>
    <sheet name="P-CERRITO AP2 M2" sheetId="110" state="hidden" r:id="rId16"/>
    <sheet name="LA TORRE VARIANTE ROZO AP1 M4" sheetId="111" state="hidden" r:id="rId17"/>
    <sheet name="LA TORRE VARIANTE ROZO AP3 M3" sheetId="117" state="hidden" r:id="rId18"/>
    <sheet name="TARDES CALEÑAS AP4 M2" sheetId="113" state="hidden" r:id="rId19"/>
    <sheet name="UNIVALLE AP1 M3" sheetId="112" state="hidden" r:id="rId20"/>
    <sheet name="UNIVALLE AP2 M3" sheetId="114" state="hidden" r:id="rId21"/>
    <sheet name="UNIVALLE AP3 M3" sheetId="115" state="hidden" r:id="rId22"/>
    <sheet name="UNIVALLE AP4 M3" sheetId="116" state="hidden" r:id="rId23"/>
  </sheets>
  <externalReferences>
    <externalReference r:id="rId24"/>
  </externalReferences>
  <definedNames>
    <definedName name="__123Graph_AYO" localSheetId="3" hidden="1">#REF!</definedName>
    <definedName name="__123Graph_AYO" localSheetId="1" hidden="1">#REF!</definedName>
    <definedName name="__123Graph_AYO" localSheetId="2" hidden="1">#REF!</definedName>
    <definedName name="__123Graph_AYO" localSheetId="9" hidden="1">#REF!</definedName>
    <definedName name="__123Graph_AYO" localSheetId="8" hidden="1">#REF!</definedName>
    <definedName name="__123Graph_AYO" localSheetId="7" hidden="1">#REF!</definedName>
    <definedName name="__123Graph_AYO" localSheetId="0" hidden="1">#REF!</definedName>
    <definedName name="__123Graph_AYO" localSheetId="16" hidden="1">#REF!</definedName>
    <definedName name="__123Graph_AYO" localSheetId="17" hidden="1">#REF!</definedName>
    <definedName name="__123Graph_AYO" localSheetId="4" hidden="1">#REF!</definedName>
    <definedName name="__123Graph_AYO" localSheetId="5" hidden="1">#REF!</definedName>
    <definedName name="__123Graph_AYO" localSheetId="6" hidden="1">#REF!</definedName>
    <definedName name="__123Graph_AYO" localSheetId="15" hidden="1">#REF!</definedName>
    <definedName name="__123Graph_AYO" localSheetId="14" hidden="1">#REF!</definedName>
    <definedName name="__123Graph_AYO" localSheetId="10" hidden="1">#REF!</definedName>
    <definedName name="__123Graph_AYO" localSheetId="11" hidden="1">#REF!</definedName>
    <definedName name="__123Graph_AYO" localSheetId="13" hidden="1">#REF!</definedName>
    <definedName name="__123Graph_AYO" localSheetId="12" hidden="1">#REF!</definedName>
    <definedName name="__123Graph_AYO" localSheetId="18" hidden="1">#REF!</definedName>
    <definedName name="__123Graph_AYO" localSheetId="19" hidden="1">#REF!</definedName>
    <definedName name="__123Graph_AYO" localSheetId="20" hidden="1">#REF!</definedName>
    <definedName name="__123Graph_AYO" localSheetId="21" hidden="1">#REF!</definedName>
    <definedName name="__123Graph_AYO" localSheetId="22" hidden="1">#REF!</definedName>
    <definedName name="__123Graph_AYO" hidden="1">#REF!</definedName>
    <definedName name="__123Graph_XYO" localSheetId="3" hidden="1">#REF!</definedName>
    <definedName name="__123Graph_XYO" localSheetId="1" hidden="1">#REF!</definedName>
    <definedName name="__123Graph_XYO" localSheetId="2" hidden="1">#REF!</definedName>
    <definedName name="__123Graph_XYO" localSheetId="9" hidden="1">#REF!</definedName>
    <definedName name="__123Graph_XYO" localSheetId="8" hidden="1">#REF!</definedName>
    <definedName name="__123Graph_XYO" localSheetId="7" hidden="1">#REF!</definedName>
    <definedName name="__123Graph_XYO" localSheetId="0" hidden="1">#REF!</definedName>
    <definedName name="__123Graph_XYO" localSheetId="16" hidden="1">#REF!</definedName>
    <definedName name="__123Graph_XYO" localSheetId="17" hidden="1">#REF!</definedName>
    <definedName name="__123Graph_XYO" localSheetId="4" hidden="1">#REF!</definedName>
    <definedName name="__123Graph_XYO" localSheetId="5" hidden="1">#REF!</definedName>
    <definedName name="__123Graph_XYO" localSheetId="6" hidden="1">#REF!</definedName>
    <definedName name="__123Graph_XYO" localSheetId="15" hidden="1">#REF!</definedName>
    <definedName name="__123Graph_XYO" localSheetId="14" hidden="1">#REF!</definedName>
    <definedName name="__123Graph_XYO" localSheetId="10" hidden="1">#REF!</definedName>
    <definedName name="__123Graph_XYO" localSheetId="11" hidden="1">#REF!</definedName>
    <definedName name="__123Graph_XYO" localSheetId="13" hidden="1">#REF!</definedName>
    <definedName name="__123Graph_XYO" localSheetId="12" hidden="1">#REF!</definedName>
    <definedName name="__123Graph_XYO" localSheetId="18" hidden="1">#REF!</definedName>
    <definedName name="__123Graph_XYO" localSheetId="19" hidden="1">#REF!</definedName>
    <definedName name="__123Graph_XYO" localSheetId="20" hidden="1">#REF!</definedName>
    <definedName name="__123Graph_XYO" localSheetId="21" hidden="1">#REF!</definedName>
    <definedName name="__123Graph_XYO" localSheetId="22" hidden="1">#REF!</definedName>
    <definedName name="__123Graph_XYO" hidden="1">#REF!</definedName>
    <definedName name="_Fill" localSheetId="3" hidden="1">#REF!</definedName>
    <definedName name="_Fill" localSheetId="1" hidden="1">#REF!</definedName>
    <definedName name="_Fill" localSheetId="2" hidden="1">#REF!</definedName>
    <definedName name="_Fill" localSheetId="9" hidden="1">#REF!</definedName>
    <definedName name="_Fill" localSheetId="8" hidden="1">#REF!</definedName>
    <definedName name="_Fill" localSheetId="7" hidden="1">#REF!</definedName>
    <definedName name="_Fill" localSheetId="0" hidden="1">#REF!</definedName>
    <definedName name="_Fill" localSheetId="16" hidden="1">#REF!</definedName>
    <definedName name="_Fill" localSheetId="17" hidden="1">#REF!</definedName>
    <definedName name="_Fill" localSheetId="4" hidden="1">#REF!</definedName>
    <definedName name="_Fill" localSheetId="5" hidden="1">#REF!</definedName>
    <definedName name="_Fill" localSheetId="6" hidden="1">#REF!</definedName>
    <definedName name="_Fill" localSheetId="15" hidden="1">#REF!</definedName>
    <definedName name="_Fill" localSheetId="14" hidden="1">#REF!</definedName>
    <definedName name="_Fill" localSheetId="10" hidden="1">#REF!</definedName>
    <definedName name="_Fill" localSheetId="11" hidden="1">#REF!</definedName>
    <definedName name="_Fill" localSheetId="13" hidden="1">#REF!</definedName>
    <definedName name="_Fill" localSheetId="12" hidden="1">#REF!</definedName>
    <definedName name="_Fill" localSheetId="18" hidden="1">#REF!</definedName>
    <definedName name="_Fill" localSheetId="19" hidden="1">#REF!</definedName>
    <definedName name="_Fill" localSheetId="20" hidden="1">#REF!</definedName>
    <definedName name="_Fill" localSheetId="21" hidden="1">#REF!</definedName>
    <definedName name="_Fill" localSheetId="22" hidden="1">#REF!</definedName>
    <definedName name="_Fill" hidden="1">#REF!</definedName>
    <definedName name="_Regression_Out" localSheetId="3" hidden="1">[1]L!#REF!</definedName>
    <definedName name="_Regression_Out" localSheetId="1" hidden="1">[1]L!#REF!</definedName>
    <definedName name="_Regression_Out" localSheetId="2" hidden="1">[1]L!#REF!</definedName>
    <definedName name="_Regression_Out" localSheetId="9" hidden="1">[1]L!#REF!</definedName>
    <definedName name="_Regression_Out" localSheetId="8" hidden="1">[1]L!#REF!</definedName>
    <definedName name="_Regression_Out" localSheetId="7" hidden="1">[1]L!#REF!</definedName>
    <definedName name="_Regression_Out" localSheetId="0" hidden="1">[1]L!#REF!</definedName>
    <definedName name="_Regression_Out" localSheetId="16" hidden="1">[1]L!#REF!</definedName>
    <definedName name="_Regression_Out" localSheetId="17" hidden="1">[1]L!#REF!</definedName>
    <definedName name="_Regression_Out" localSheetId="4" hidden="1">[1]L!#REF!</definedName>
    <definedName name="_Regression_Out" localSheetId="5" hidden="1">[1]L!#REF!</definedName>
    <definedName name="_Regression_Out" localSheetId="6" hidden="1">[1]L!#REF!</definedName>
    <definedName name="_Regression_Out" localSheetId="15" hidden="1">[1]L!#REF!</definedName>
    <definedName name="_Regression_Out" localSheetId="14" hidden="1">[1]L!#REF!</definedName>
    <definedName name="_Regression_Out" localSheetId="10" hidden="1">[1]L!#REF!</definedName>
    <definedName name="_Regression_Out" localSheetId="11" hidden="1">[1]L!#REF!</definedName>
    <definedName name="_Regression_Out" localSheetId="13" hidden="1">[1]L!#REF!</definedName>
    <definedName name="_Regression_Out" localSheetId="12" hidden="1">[1]L!#REF!</definedName>
    <definedName name="_Regression_Out" localSheetId="18" hidden="1">[1]L!#REF!</definedName>
    <definedName name="_Regression_Out" localSheetId="19" hidden="1">[1]L!#REF!</definedName>
    <definedName name="_Regression_Out" localSheetId="20" hidden="1">[1]L!#REF!</definedName>
    <definedName name="_Regression_Out" localSheetId="21" hidden="1">[1]L!#REF!</definedName>
    <definedName name="_Regression_Out" localSheetId="22" hidden="1">[1]L!#REF!</definedName>
    <definedName name="_Regression_Out" hidden="1">[1]L!#REF!</definedName>
    <definedName name="_Regression_X" localSheetId="3" hidden="1">#REF!</definedName>
    <definedName name="_Regression_X" localSheetId="1" hidden="1">#REF!</definedName>
    <definedName name="_Regression_X" localSheetId="2" hidden="1">#REF!</definedName>
    <definedName name="_Regression_X" localSheetId="9" hidden="1">#REF!</definedName>
    <definedName name="_Regression_X" localSheetId="8" hidden="1">#REF!</definedName>
    <definedName name="_Regression_X" localSheetId="7" hidden="1">#REF!</definedName>
    <definedName name="_Regression_X" localSheetId="0" hidden="1">#REF!</definedName>
    <definedName name="_Regression_X" localSheetId="16" hidden="1">#REF!</definedName>
    <definedName name="_Regression_X" localSheetId="17" hidden="1">#REF!</definedName>
    <definedName name="_Regression_X" localSheetId="4" hidden="1">#REF!</definedName>
    <definedName name="_Regression_X" localSheetId="5" hidden="1">#REF!</definedName>
    <definedName name="_Regression_X" localSheetId="6" hidden="1">#REF!</definedName>
    <definedName name="_Regression_X" localSheetId="15" hidden="1">#REF!</definedName>
    <definedName name="_Regression_X" localSheetId="14" hidden="1">#REF!</definedName>
    <definedName name="_Regression_X" localSheetId="10" hidden="1">#REF!</definedName>
    <definedName name="_Regression_X" localSheetId="11" hidden="1">#REF!</definedName>
    <definedName name="_Regression_X" localSheetId="13" hidden="1">#REF!</definedName>
    <definedName name="_Regression_X" localSheetId="12" hidden="1">#REF!</definedName>
    <definedName name="_Regression_X" localSheetId="18" hidden="1">#REF!</definedName>
    <definedName name="_Regression_X" localSheetId="19" hidden="1">#REF!</definedName>
    <definedName name="_Regression_X" localSheetId="20" hidden="1">#REF!</definedName>
    <definedName name="_Regression_X" localSheetId="21" hidden="1">#REF!</definedName>
    <definedName name="_Regression_X" localSheetId="22" hidden="1">#REF!</definedName>
    <definedName name="_Regression_X" hidden="1">#REF!</definedName>
    <definedName name="_Regression_Y" localSheetId="3" hidden="1">#REF!</definedName>
    <definedName name="_Regression_Y" localSheetId="1" hidden="1">#REF!</definedName>
    <definedName name="_Regression_Y" localSheetId="2" hidden="1">#REF!</definedName>
    <definedName name="_Regression_Y" localSheetId="9" hidden="1">#REF!</definedName>
    <definedName name="_Regression_Y" localSheetId="8" hidden="1">#REF!</definedName>
    <definedName name="_Regression_Y" localSheetId="7" hidden="1">#REF!</definedName>
    <definedName name="_Regression_Y" localSheetId="0" hidden="1">#REF!</definedName>
    <definedName name="_Regression_Y" localSheetId="16" hidden="1">#REF!</definedName>
    <definedName name="_Regression_Y" localSheetId="17" hidden="1">#REF!</definedName>
    <definedName name="_Regression_Y" localSheetId="4" hidden="1">#REF!</definedName>
    <definedName name="_Regression_Y" localSheetId="5" hidden="1">#REF!</definedName>
    <definedName name="_Regression_Y" localSheetId="6" hidden="1">#REF!</definedName>
    <definedName name="_Regression_Y" localSheetId="15" hidden="1">#REF!</definedName>
    <definedName name="_Regression_Y" localSheetId="14" hidden="1">#REF!</definedName>
    <definedName name="_Regression_Y" localSheetId="10" hidden="1">#REF!</definedName>
    <definedName name="_Regression_Y" localSheetId="11" hidden="1">#REF!</definedName>
    <definedName name="_Regression_Y" localSheetId="13" hidden="1">#REF!</definedName>
    <definedName name="_Regression_Y" localSheetId="12" hidden="1">#REF!</definedName>
    <definedName name="_Regression_Y" localSheetId="18" hidden="1">#REF!</definedName>
    <definedName name="_Regression_Y" localSheetId="19" hidden="1">#REF!</definedName>
    <definedName name="_Regression_Y" localSheetId="20" hidden="1">#REF!</definedName>
    <definedName name="_Regression_Y" localSheetId="21" hidden="1">#REF!</definedName>
    <definedName name="_Regression_Y" localSheetId="22" hidden="1">#REF!</definedName>
    <definedName name="_Regression_Y" hidden="1">#REF!</definedName>
    <definedName name="_xlnm.Print_Area" localSheetId="3">'CAV-AP4-M4'!$A$1:$L$59</definedName>
    <definedName name="_xlnm.Print_Area" localSheetId="1">'CAV-S1-AP2-M2'!$A$1:$L$59</definedName>
    <definedName name="_xlnm.Print_Area" localSheetId="2">'CAV-S2-AP4-M2'!$A$1:$L$59</definedName>
    <definedName name="_xlnm.Print_Area" localSheetId="9">'CIAT AP1 M3'!$A$1:$L$59</definedName>
    <definedName name="_xlnm.Print_Area" localSheetId="8">'CIAT AP2 M2'!$A$1:$L$59</definedName>
    <definedName name="_xlnm.Print_Area" localSheetId="7">'ESTAMBUL AP1 M3'!$A$1:$L$59</definedName>
    <definedName name="_xlnm.Print_Area" localSheetId="0">GUIA!$A$1:$L$59</definedName>
    <definedName name="_xlnm.Print_Area" localSheetId="16">'LA TORRE VARIANTE ROZO AP1 M4'!$A$1:$L$59</definedName>
    <definedName name="_xlnm.Print_Area" localSheetId="17">'LA TORRE VARIANTE ROZO AP3 M3'!$A$1:$L$59</definedName>
    <definedName name="_xlnm.Print_Area" localSheetId="4">'PALMASECA AP1 M4'!$A$1:$L$59</definedName>
    <definedName name="_xlnm.Print_Area" localSheetId="5">'PALMASECA AP2 M3'!$A$1:$L$59</definedName>
    <definedName name="_xlnm.Print_Area" localSheetId="6">'PALMASECA AP3 M3'!$A$1:$L$59</definedName>
    <definedName name="_xlnm.Print_Area" localSheetId="15">'P-CERRITO AP2 M2'!$A$1:$L$59</definedName>
    <definedName name="_xlnm.Print_Area" localSheetId="14">'P-ROZO AP1 M3'!$A$1:$L$59</definedName>
    <definedName name="_xlnm.Print_Area" localSheetId="10">'P-VILARICA AP2 M2'!$A$1:$L$59</definedName>
    <definedName name="_xlnm.Print_Area" localSheetId="11">'P-VILARICA AP4 M3'!$A$1:$L$59</definedName>
    <definedName name="_xlnm.Print_Area" localSheetId="13">'P-VILARICA AP5 M3'!$A$1:$L$59</definedName>
    <definedName name="_xlnm.Print_Area" localSheetId="12">'P-VILARICA AP6 M3'!$A$1:$L$59</definedName>
    <definedName name="_xlnm.Print_Area" localSheetId="18">'TARDES CALEÑAS AP4 M2'!$A$1:$L$59</definedName>
    <definedName name="_xlnm.Print_Area" localSheetId="19">'UNIVALLE AP1 M3'!$A$1:$L$59</definedName>
    <definedName name="_xlnm.Print_Area" localSheetId="20">'UNIVALLE AP2 M3'!$A$1:$L$59</definedName>
    <definedName name="_xlnm.Print_Area" localSheetId="21">'UNIVALLE AP3 M3'!$A$1:$L$59</definedName>
    <definedName name="_xlnm.Print_Area" localSheetId="22">'UNIVALLE AP4 M3'!$A$1:$L$59</definedName>
    <definedName name="CBRINAL" hidden="1">#REF!</definedName>
    <definedName name="FV6WER6565RTRT" hidden="1">[1]L!#REF!</definedName>
    <definedName name="GFDGSD" localSheetId="3" hidden="1">[1]L!#REF!</definedName>
    <definedName name="GFDGSD" localSheetId="1" hidden="1">[1]L!#REF!</definedName>
    <definedName name="GFDGSD" localSheetId="2" hidden="1">[1]L!#REF!</definedName>
    <definedName name="GFDGSD" localSheetId="9" hidden="1">[1]L!#REF!</definedName>
    <definedName name="GFDGSD" localSheetId="8" hidden="1">[1]L!#REF!</definedName>
    <definedName name="GFDGSD" localSheetId="7" hidden="1">[1]L!#REF!</definedName>
    <definedName name="GFDGSD" localSheetId="0" hidden="1">[1]L!#REF!</definedName>
    <definedName name="GFDGSD" localSheetId="16" hidden="1">[1]L!#REF!</definedName>
    <definedName name="GFDGSD" localSheetId="17" hidden="1">[1]L!#REF!</definedName>
    <definedName name="GFDGSD" localSheetId="4" hidden="1">[1]L!#REF!</definedName>
    <definedName name="GFDGSD" localSheetId="5" hidden="1">[1]L!#REF!</definedName>
    <definedName name="GFDGSD" localSheetId="6" hidden="1">[1]L!#REF!</definedName>
    <definedName name="GFDGSD" localSheetId="15" hidden="1">[1]L!#REF!</definedName>
    <definedName name="GFDGSD" localSheetId="14" hidden="1">[1]L!#REF!</definedName>
    <definedName name="GFDGSD" localSheetId="10" hidden="1">[1]L!#REF!</definedName>
    <definedName name="GFDGSD" localSheetId="11" hidden="1">[1]L!#REF!</definedName>
    <definedName name="GFDGSD" localSheetId="13" hidden="1">[1]L!#REF!</definedName>
    <definedName name="GFDGSD" localSheetId="12" hidden="1">[1]L!#REF!</definedName>
    <definedName name="GFDGSD" localSheetId="18" hidden="1">[1]L!#REF!</definedName>
    <definedName name="GFDGSD" localSheetId="19" hidden="1">[1]L!#REF!</definedName>
    <definedName name="GFDGSD" localSheetId="20" hidden="1">[1]L!#REF!</definedName>
    <definedName name="GFDGSD" localSheetId="21" hidden="1">[1]L!#REF!</definedName>
    <definedName name="GFDGSD" localSheetId="22" hidden="1">[1]L!#REF!</definedName>
    <definedName name="GFDGSD" hidden="1">[1]L!#REF!</definedName>
    <definedName name="KASKEWKJEEFWEKÑIYDSEARHJ7" hidden="1">#REF!</definedName>
    <definedName name="KMJ" hidden="1">#REF!</definedName>
    <definedName name="LOLOLO" hidden="1">#REF!</definedName>
    <definedName name="MKKJK" hidden="1">#REF!</definedName>
    <definedName name="MOIIXSJEKEKFMLZÑSAPDJIOJIRJ´RRQWR569DFGDG35545HTY465ERTR" hidden="1">#REF!</definedName>
    <definedName name="MUICA" hidden="1">[1]L!#REF!</definedName>
    <definedName name="MUSUCA" hidden="1">#REF!</definedName>
    <definedName name="OPARIDORE" hidden="1">#REF!</definedName>
    <definedName name="S1M18" localSheetId="3" hidden="1">#REF!</definedName>
    <definedName name="S1M18" localSheetId="1" hidden="1">#REF!</definedName>
    <definedName name="S1M18" localSheetId="2" hidden="1">#REF!</definedName>
    <definedName name="S1M18" localSheetId="9" hidden="1">#REF!</definedName>
    <definedName name="S1M18" localSheetId="8" hidden="1">#REF!</definedName>
    <definedName name="S1M18" localSheetId="7" hidden="1">#REF!</definedName>
    <definedName name="S1M18" localSheetId="0" hidden="1">#REF!</definedName>
    <definedName name="S1M18" localSheetId="16" hidden="1">#REF!</definedName>
    <definedName name="S1M18" localSheetId="17" hidden="1">#REF!</definedName>
    <definedName name="S1M18" localSheetId="4" hidden="1">#REF!</definedName>
    <definedName name="S1M18" localSheetId="5" hidden="1">#REF!</definedName>
    <definedName name="S1M18" localSheetId="6" hidden="1">#REF!</definedName>
    <definedName name="S1M18" localSheetId="15" hidden="1">#REF!</definedName>
    <definedName name="S1M18" localSheetId="14" hidden="1">#REF!</definedName>
    <definedName name="S1M18" localSheetId="10" hidden="1">#REF!</definedName>
    <definedName name="S1M18" localSheetId="11" hidden="1">#REF!</definedName>
    <definedName name="S1M18" localSheetId="13" hidden="1">#REF!</definedName>
    <definedName name="S1M18" localSheetId="12" hidden="1">#REF!</definedName>
    <definedName name="S1M18" localSheetId="18" hidden="1">#REF!</definedName>
    <definedName name="S1M18" localSheetId="19" hidden="1">#REF!</definedName>
    <definedName name="S1M18" localSheetId="20" hidden="1">#REF!</definedName>
    <definedName name="S1M18" localSheetId="21" hidden="1">#REF!</definedName>
    <definedName name="S1M18" localSheetId="22" hidden="1">#REF!</definedName>
    <definedName name="S1M18" hidden="1">#REF!</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4" i="64" l="1"/>
  <c r="J44" i="64"/>
  <c r="J10" i="64"/>
  <c r="K41" i="117" l="1"/>
  <c r="J41" i="117"/>
  <c r="D39" i="117"/>
  <c r="D40" i="117" s="1"/>
  <c r="K34" i="117"/>
  <c r="L34" i="117" s="1"/>
  <c r="I34" i="117"/>
  <c r="J34" i="117" s="1"/>
  <c r="E34" i="117"/>
  <c r="D34" i="117"/>
  <c r="K33" i="117"/>
  <c r="L33" i="117" s="1"/>
  <c r="I33" i="117"/>
  <c r="J33" i="117" s="1"/>
  <c r="K32" i="117"/>
  <c r="L32" i="117" s="1"/>
  <c r="I32" i="117"/>
  <c r="J32" i="117" s="1"/>
  <c r="K31" i="117"/>
  <c r="L31" i="117" s="1"/>
  <c r="K43" i="117" s="1"/>
  <c r="I31" i="117"/>
  <c r="J31" i="117" s="1"/>
  <c r="J43" i="117" s="1"/>
  <c r="K30" i="117"/>
  <c r="L30" i="117" s="1"/>
  <c r="I30" i="117"/>
  <c r="J30" i="117" s="1"/>
  <c r="K29" i="117"/>
  <c r="L29" i="117" s="1"/>
  <c r="J29" i="117"/>
  <c r="I29" i="117"/>
  <c r="K28" i="117"/>
  <c r="L28" i="117" s="1"/>
  <c r="I28" i="117"/>
  <c r="J28" i="117" s="1"/>
  <c r="K27" i="117"/>
  <c r="L27" i="117" s="1"/>
  <c r="K42" i="117" s="1"/>
  <c r="K44" i="117" s="1"/>
  <c r="I27" i="117"/>
  <c r="J27" i="117" s="1"/>
  <c r="J42" i="117" s="1"/>
  <c r="K26" i="117"/>
  <c r="L26" i="117" s="1"/>
  <c r="I26" i="117"/>
  <c r="J26" i="117" s="1"/>
  <c r="D26" i="117"/>
  <c r="K25" i="117"/>
  <c r="L25" i="117" s="1"/>
  <c r="I25" i="117"/>
  <c r="J25" i="117" s="1"/>
  <c r="D25" i="117"/>
  <c r="D27" i="117" s="1"/>
  <c r="K24" i="117"/>
  <c r="L24" i="117" s="1"/>
  <c r="I24" i="117"/>
  <c r="J24" i="117" s="1"/>
  <c r="E24" i="117"/>
  <c r="E25" i="117" s="1"/>
  <c r="K23" i="117"/>
  <c r="L23" i="117" s="1"/>
  <c r="I23" i="117"/>
  <c r="J23" i="117" s="1"/>
  <c r="E22" i="117"/>
  <c r="E21" i="117"/>
  <c r="O13" i="117"/>
  <c r="J10" i="117"/>
  <c r="S8" i="117"/>
  <c r="E26" i="117" l="1"/>
  <c r="J44" i="117"/>
  <c r="E27" i="117"/>
  <c r="E28" i="117" s="1"/>
  <c r="D28" i="117"/>
  <c r="K41" i="116" l="1"/>
  <c r="J41" i="116"/>
  <c r="D39" i="116"/>
  <c r="D40" i="116" s="1"/>
  <c r="K34" i="116"/>
  <c r="L34" i="116" s="1"/>
  <c r="I34" i="116"/>
  <c r="J34" i="116" s="1"/>
  <c r="E34" i="116"/>
  <c r="D34" i="116"/>
  <c r="K33" i="116"/>
  <c r="L33" i="116" s="1"/>
  <c r="I33" i="116"/>
  <c r="J33" i="116" s="1"/>
  <c r="K32" i="116"/>
  <c r="L32" i="116" s="1"/>
  <c r="I32" i="116"/>
  <c r="J32" i="116" s="1"/>
  <c r="K31" i="116"/>
  <c r="L31" i="116" s="1"/>
  <c r="K43" i="116" s="1"/>
  <c r="I31" i="116"/>
  <c r="J31" i="116" s="1"/>
  <c r="J43" i="116" s="1"/>
  <c r="K30" i="116"/>
  <c r="L30" i="116" s="1"/>
  <c r="I30" i="116"/>
  <c r="J30" i="116" s="1"/>
  <c r="K29" i="116"/>
  <c r="L29" i="116" s="1"/>
  <c r="I29" i="116"/>
  <c r="J29" i="116" s="1"/>
  <c r="K28" i="116"/>
  <c r="L28" i="116" s="1"/>
  <c r="I28" i="116"/>
  <c r="J28" i="116" s="1"/>
  <c r="K27" i="116"/>
  <c r="L27" i="116" s="1"/>
  <c r="K42" i="116" s="1"/>
  <c r="K44" i="116" s="1"/>
  <c r="I27" i="116"/>
  <c r="J27" i="116" s="1"/>
  <c r="J42" i="116" s="1"/>
  <c r="J44" i="116" s="1"/>
  <c r="K26" i="116"/>
  <c r="L26" i="116" s="1"/>
  <c r="I26" i="116"/>
  <c r="J26" i="116" s="1"/>
  <c r="D26" i="116"/>
  <c r="K25" i="116"/>
  <c r="L25" i="116" s="1"/>
  <c r="I25" i="116"/>
  <c r="J25" i="116" s="1"/>
  <c r="D25" i="116"/>
  <c r="K24" i="116"/>
  <c r="L24" i="116" s="1"/>
  <c r="I24" i="116"/>
  <c r="J24" i="116" s="1"/>
  <c r="E24" i="116"/>
  <c r="E25" i="116" s="1"/>
  <c r="K23" i="116"/>
  <c r="L23" i="116" s="1"/>
  <c r="I23" i="116"/>
  <c r="J23" i="116" s="1"/>
  <c r="E22" i="116"/>
  <c r="E21" i="116"/>
  <c r="E26" i="116" s="1"/>
  <c r="E20" i="116"/>
  <c r="O13" i="116"/>
  <c r="J10" i="116"/>
  <c r="S8" i="116"/>
  <c r="K41" i="115"/>
  <c r="J41" i="115"/>
  <c r="D39" i="115"/>
  <c r="D40" i="115" s="1"/>
  <c r="L34" i="115"/>
  <c r="I34" i="115"/>
  <c r="J34" i="115" s="1"/>
  <c r="E34" i="115"/>
  <c r="D34" i="115"/>
  <c r="L33" i="115"/>
  <c r="I33" i="115"/>
  <c r="J33" i="115" s="1"/>
  <c r="L32" i="115"/>
  <c r="J32" i="115"/>
  <c r="I32" i="115"/>
  <c r="L31" i="115"/>
  <c r="K43" i="115" s="1"/>
  <c r="I31" i="115"/>
  <c r="J31" i="115" s="1"/>
  <c r="J43" i="115" s="1"/>
  <c r="L30" i="115"/>
  <c r="I30" i="115"/>
  <c r="J30" i="115" s="1"/>
  <c r="L29" i="115"/>
  <c r="I29" i="115"/>
  <c r="J29" i="115" s="1"/>
  <c r="L28" i="115"/>
  <c r="I28" i="115"/>
  <c r="J28" i="115" s="1"/>
  <c r="L27" i="115"/>
  <c r="K42" i="115" s="1"/>
  <c r="I27" i="115"/>
  <c r="J27" i="115" s="1"/>
  <c r="J42" i="115" s="1"/>
  <c r="L26" i="115"/>
  <c r="I26" i="115"/>
  <c r="J26" i="115" s="1"/>
  <c r="D26" i="115"/>
  <c r="L25" i="115"/>
  <c r="I25" i="115"/>
  <c r="J25" i="115" s="1"/>
  <c r="D25" i="115"/>
  <c r="K24" i="115"/>
  <c r="L24" i="115" s="1"/>
  <c r="I24" i="115"/>
  <c r="J24" i="115" s="1"/>
  <c r="E24" i="115"/>
  <c r="E25" i="115" s="1"/>
  <c r="K23" i="115"/>
  <c r="L23" i="115" s="1"/>
  <c r="I23" i="115"/>
  <c r="J23" i="115" s="1"/>
  <c r="E22" i="115"/>
  <c r="E21" i="115"/>
  <c r="E20" i="115"/>
  <c r="O13" i="115"/>
  <c r="J10" i="115"/>
  <c r="S8" i="115"/>
  <c r="K41" i="114"/>
  <c r="J41" i="114"/>
  <c r="D39" i="114"/>
  <c r="D40" i="114" s="1"/>
  <c r="K34" i="114"/>
  <c r="L34" i="114" s="1"/>
  <c r="I34" i="114"/>
  <c r="J34" i="114" s="1"/>
  <c r="E34" i="114"/>
  <c r="D34" i="114"/>
  <c r="K33" i="114"/>
  <c r="L33" i="114" s="1"/>
  <c r="I33" i="114"/>
  <c r="J33" i="114" s="1"/>
  <c r="K32" i="114"/>
  <c r="L32" i="114" s="1"/>
  <c r="I32" i="114"/>
  <c r="J32" i="114" s="1"/>
  <c r="K31" i="114"/>
  <c r="L31" i="114" s="1"/>
  <c r="K43" i="114" s="1"/>
  <c r="I31" i="114"/>
  <c r="J31" i="114" s="1"/>
  <c r="J43" i="114" s="1"/>
  <c r="K30" i="114"/>
  <c r="L30" i="114" s="1"/>
  <c r="I30" i="114"/>
  <c r="J30" i="114" s="1"/>
  <c r="K29" i="114"/>
  <c r="L29" i="114" s="1"/>
  <c r="J29" i="114"/>
  <c r="K28" i="114"/>
  <c r="L28" i="114" s="1"/>
  <c r="J28" i="114"/>
  <c r="K27" i="114"/>
  <c r="L27" i="114" s="1"/>
  <c r="K42" i="114" s="1"/>
  <c r="K44" i="114" s="1"/>
  <c r="J27" i="114"/>
  <c r="J42" i="114" s="1"/>
  <c r="J44" i="114" s="1"/>
  <c r="K26" i="114"/>
  <c r="L26" i="114" s="1"/>
  <c r="J26" i="114"/>
  <c r="D26" i="114"/>
  <c r="K25" i="114"/>
  <c r="L25" i="114" s="1"/>
  <c r="J25" i="114"/>
  <c r="D25" i="114"/>
  <c r="K24" i="114"/>
  <c r="L24" i="114" s="1"/>
  <c r="J24" i="114"/>
  <c r="E24" i="114"/>
  <c r="E25" i="114" s="1"/>
  <c r="K23" i="114"/>
  <c r="L23" i="114" s="1"/>
  <c r="J23" i="114"/>
  <c r="E22" i="114"/>
  <c r="E21" i="114"/>
  <c r="E20" i="114"/>
  <c r="O13" i="114"/>
  <c r="J10" i="114"/>
  <c r="S8" i="114"/>
  <c r="K41" i="113"/>
  <c r="J41" i="113"/>
  <c r="D39" i="113"/>
  <c r="D40" i="113" s="1"/>
  <c r="K34" i="113"/>
  <c r="L34" i="113" s="1"/>
  <c r="I34" i="113"/>
  <c r="J34" i="113" s="1"/>
  <c r="E34" i="113"/>
  <c r="D34" i="113"/>
  <c r="K33" i="113"/>
  <c r="L33" i="113" s="1"/>
  <c r="I33" i="113"/>
  <c r="J33" i="113" s="1"/>
  <c r="K32" i="113"/>
  <c r="L32" i="113" s="1"/>
  <c r="I32" i="113"/>
  <c r="J32" i="113" s="1"/>
  <c r="K31" i="113"/>
  <c r="L31" i="113" s="1"/>
  <c r="K43" i="113" s="1"/>
  <c r="I31" i="113"/>
  <c r="J31" i="113" s="1"/>
  <c r="J43" i="113" s="1"/>
  <c r="K30" i="113"/>
  <c r="L30" i="113" s="1"/>
  <c r="I30" i="113"/>
  <c r="J30" i="113" s="1"/>
  <c r="K29" i="113"/>
  <c r="L29" i="113" s="1"/>
  <c r="I29" i="113"/>
  <c r="J29" i="113" s="1"/>
  <c r="K28" i="113"/>
  <c r="L28" i="113" s="1"/>
  <c r="I28" i="113"/>
  <c r="J28" i="113" s="1"/>
  <c r="K27" i="113"/>
  <c r="L27" i="113" s="1"/>
  <c r="K42" i="113" s="1"/>
  <c r="K44" i="113" s="1"/>
  <c r="I27" i="113"/>
  <c r="J27" i="113" s="1"/>
  <c r="J42" i="113" s="1"/>
  <c r="K26" i="113"/>
  <c r="L26" i="113" s="1"/>
  <c r="I26" i="113"/>
  <c r="J26" i="113" s="1"/>
  <c r="D26" i="113"/>
  <c r="L25" i="113"/>
  <c r="K25" i="113"/>
  <c r="I25" i="113"/>
  <c r="J25" i="113" s="1"/>
  <c r="D25" i="113"/>
  <c r="K24" i="113"/>
  <c r="L24" i="113" s="1"/>
  <c r="I24" i="113"/>
  <c r="J24" i="113" s="1"/>
  <c r="E24" i="113"/>
  <c r="E25" i="113" s="1"/>
  <c r="K23" i="113"/>
  <c r="L23" i="113" s="1"/>
  <c r="I23" i="113"/>
  <c r="J23" i="113" s="1"/>
  <c r="E22" i="113"/>
  <c r="E21" i="113"/>
  <c r="E26" i="113" s="1"/>
  <c r="E20" i="113"/>
  <c r="O13" i="113"/>
  <c r="J10" i="113"/>
  <c r="S8" i="113"/>
  <c r="K24" i="112"/>
  <c r="K25" i="112"/>
  <c r="K26" i="112"/>
  <c r="K27" i="112"/>
  <c r="K28" i="112"/>
  <c r="K29" i="112"/>
  <c r="K30" i="112"/>
  <c r="K31" i="112"/>
  <c r="K32" i="112"/>
  <c r="K33" i="112"/>
  <c r="K34" i="112"/>
  <c r="K23" i="112"/>
  <c r="I24" i="112"/>
  <c r="I25" i="112"/>
  <c r="I26" i="112"/>
  <c r="I27" i="112"/>
  <c r="I28" i="112"/>
  <c r="I29" i="112"/>
  <c r="I30" i="112"/>
  <c r="I31" i="112"/>
  <c r="I32" i="112"/>
  <c r="I33" i="112"/>
  <c r="I34" i="112"/>
  <c r="I23" i="112"/>
  <c r="J44" i="115" l="1"/>
  <c r="E26" i="114"/>
  <c r="E27" i="114" s="1"/>
  <c r="E28" i="114" s="1"/>
  <c r="D27" i="116"/>
  <c r="D28" i="116" s="1"/>
  <c r="E26" i="115"/>
  <c r="E27" i="115" s="1"/>
  <c r="E28" i="115" s="1"/>
  <c r="D27" i="115"/>
  <c r="D28" i="115" s="1"/>
  <c r="D27" i="114"/>
  <c r="D28" i="114" s="1"/>
  <c r="E27" i="116"/>
  <c r="E28" i="116" s="1"/>
  <c r="K44" i="115"/>
  <c r="D27" i="113"/>
  <c r="D28" i="113" s="1"/>
  <c r="E27" i="113"/>
  <c r="E28" i="113" s="1"/>
  <c r="J44" i="113"/>
  <c r="K24" i="110"/>
  <c r="K25" i="110"/>
  <c r="K26" i="110"/>
  <c r="K27" i="110"/>
  <c r="L27" i="110" s="1"/>
  <c r="K42" i="110" s="1"/>
  <c r="K28" i="110"/>
  <c r="K29" i="110"/>
  <c r="K30" i="110"/>
  <c r="L30" i="110" s="1"/>
  <c r="K31" i="110"/>
  <c r="L31" i="110" s="1"/>
  <c r="K43" i="110" s="1"/>
  <c r="K32" i="110"/>
  <c r="K33" i="110"/>
  <c r="K34" i="110"/>
  <c r="K23" i="110"/>
  <c r="I24" i="110"/>
  <c r="I25" i="110"/>
  <c r="J25" i="110" s="1"/>
  <c r="I26" i="110"/>
  <c r="J26" i="110" s="1"/>
  <c r="I27" i="110"/>
  <c r="I28" i="110"/>
  <c r="I29" i="110"/>
  <c r="I30" i="110"/>
  <c r="J30" i="110" s="1"/>
  <c r="I31" i="110"/>
  <c r="I32" i="110"/>
  <c r="I33" i="110"/>
  <c r="I34" i="110"/>
  <c r="I23" i="110"/>
  <c r="J23" i="110" s="1"/>
  <c r="K24" i="111"/>
  <c r="K25" i="111"/>
  <c r="K26" i="111"/>
  <c r="K27" i="111"/>
  <c r="L27" i="111" s="1"/>
  <c r="K42" i="111" s="1"/>
  <c r="K28" i="111"/>
  <c r="K29" i="111"/>
  <c r="K30" i="111"/>
  <c r="L30" i="111" s="1"/>
  <c r="K31" i="111"/>
  <c r="L31" i="111" s="1"/>
  <c r="K43" i="111" s="1"/>
  <c r="K32" i="111"/>
  <c r="K33" i="111"/>
  <c r="K34" i="111"/>
  <c r="L34" i="111" s="1"/>
  <c r="K23" i="111"/>
  <c r="L23" i="111" s="1"/>
  <c r="I24" i="111"/>
  <c r="I25" i="111"/>
  <c r="I26" i="111"/>
  <c r="I27" i="111"/>
  <c r="J27" i="111" s="1"/>
  <c r="J42" i="111" s="1"/>
  <c r="I28" i="111"/>
  <c r="I29" i="111"/>
  <c r="I30" i="111"/>
  <c r="I31" i="111"/>
  <c r="J31" i="111" s="1"/>
  <c r="J43" i="111" s="1"/>
  <c r="I32" i="111"/>
  <c r="I33" i="111"/>
  <c r="I34" i="111"/>
  <c r="J34" i="111" s="1"/>
  <c r="I23" i="111"/>
  <c r="E21" i="112"/>
  <c r="E22" i="112"/>
  <c r="E20" i="112"/>
  <c r="K41" i="112"/>
  <c r="J41" i="112"/>
  <c r="D39" i="112"/>
  <c r="D40" i="112" s="1"/>
  <c r="L34" i="112"/>
  <c r="J34" i="112"/>
  <c r="E34" i="112"/>
  <c r="D34" i="112"/>
  <c r="L33" i="112"/>
  <c r="J33" i="112"/>
  <c r="L32" i="112"/>
  <c r="J32" i="112"/>
  <c r="L31" i="112"/>
  <c r="K43" i="112" s="1"/>
  <c r="J31" i="112"/>
  <c r="J43" i="112" s="1"/>
  <c r="L30" i="112"/>
  <c r="J30" i="112"/>
  <c r="L29" i="112"/>
  <c r="J29" i="112"/>
  <c r="L28" i="112"/>
  <c r="J28" i="112"/>
  <c r="L27" i="112"/>
  <c r="K42" i="112" s="1"/>
  <c r="K44" i="112" s="1"/>
  <c r="J27" i="112"/>
  <c r="J42" i="112" s="1"/>
  <c r="J44" i="112" s="1"/>
  <c r="L26" i="112"/>
  <c r="J26" i="112"/>
  <c r="D26" i="112"/>
  <c r="L25" i="112"/>
  <c r="J25" i="112"/>
  <c r="D25" i="112"/>
  <c r="L24" i="112"/>
  <c r="J24" i="112"/>
  <c r="E24" i="112"/>
  <c r="E25" i="112" s="1"/>
  <c r="L23" i="112"/>
  <c r="J23" i="112"/>
  <c r="O13" i="112"/>
  <c r="J10" i="112"/>
  <c r="S8" i="112"/>
  <c r="K41" i="111"/>
  <c r="J41" i="111"/>
  <c r="D39" i="111"/>
  <c r="D40" i="111" s="1"/>
  <c r="E34" i="111"/>
  <c r="D34" i="111"/>
  <c r="L33" i="111"/>
  <c r="J33" i="111"/>
  <c r="L32" i="111"/>
  <c r="J32" i="111"/>
  <c r="J30" i="111"/>
  <c r="L29" i="111"/>
  <c r="J29" i="111"/>
  <c r="L28" i="111"/>
  <c r="J28" i="111"/>
  <c r="L26" i="111"/>
  <c r="J26" i="111"/>
  <c r="D26" i="111"/>
  <c r="L25" i="111"/>
  <c r="J25" i="111"/>
  <c r="D25" i="111"/>
  <c r="L24" i="111"/>
  <c r="J24" i="111"/>
  <c r="E24" i="111"/>
  <c r="E25" i="111" s="1"/>
  <c r="J23" i="111"/>
  <c r="E22" i="111"/>
  <c r="E21" i="111"/>
  <c r="O13" i="111"/>
  <c r="J10" i="111"/>
  <c r="S8" i="111"/>
  <c r="K41" i="110"/>
  <c r="J41" i="110"/>
  <c r="D39" i="110"/>
  <c r="D40" i="110" s="1"/>
  <c r="L34" i="110"/>
  <c r="J34" i="110"/>
  <c r="E34" i="110"/>
  <c r="D34" i="110"/>
  <c r="L33" i="110"/>
  <c r="J33" i="110"/>
  <c r="L32" i="110"/>
  <c r="J32" i="110"/>
  <c r="J31" i="110"/>
  <c r="J43" i="110" s="1"/>
  <c r="L29" i="110"/>
  <c r="J29" i="110"/>
  <c r="L28" i="110"/>
  <c r="J28" i="110"/>
  <c r="J27" i="110"/>
  <c r="J42" i="110" s="1"/>
  <c r="L26" i="110"/>
  <c r="D26" i="110"/>
  <c r="L25" i="110"/>
  <c r="D25" i="110"/>
  <c r="L24" i="110"/>
  <c r="J24" i="110"/>
  <c r="E24" i="110"/>
  <c r="E25" i="110" s="1"/>
  <c r="L23" i="110"/>
  <c r="E22" i="110"/>
  <c r="E21" i="110"/>
  <c r="E26" i="110" s="1"/>
  <c r="O13" i="110"/>
  <c r="J10" i="110"/>
  <c r="S8" i="110"/>
  <c r="K41" i="109"/>
  <c r="J41" i="109"/>
  <c r="D39" i="109"/>
  <c r="D40" i="109" s="1"/>
  <c r="L34" i="109"/>
  <c r="J34" i="109"/>
  <c r="E34" i="109"/>
  <c r="D34" i="109"/>
  <c r="L33" i="109"/>
  <c r="J33" i="109"/>
  <c r="L32" i="109"/>
  <c r="J32" i="109"/>
  <c r="L31" i="109"/>
  <c r="K43" i="109" s="1"/>
  <c r="J31" i="109"/>
  <c r="J43" i="109" s="1"/>
  <c r="L30" i="109"/>
  <c r="J30" i="109"/>
  <c r="L29" i="109"/>
  <c r="J29" i="109"/>
  <c r="L28" i="109"/>
  <c r="J28" i="109"/>
  <c r="L27" i="109"/>
  <c r="K42" i="109" s="1"/>
  <c r="K44" i="109" s="1"/>
  <c r="J27" i="109"/>
  <c r="J42" i="109" s="1"/>
  <c r="J44" i="109" s="1"/>
  <c r="L26" i="109"/>
  <c r="J26" i="109"/>
  <c r="D26" i="109"/>
  <c r="L25" i="109"/>
  <c r="J25" i="109"/>
  <c r="D25" i="109"/>
  <c r="L24" i="109"/>
  <c r="J24" i="109"/>
  <c r="E24" i="109"/>
  <c r="E25" i="109" s="1"/>
  <c r="L23" i="109"/>
  <c r="J23" i="109"/>
  <c r="E22" i="109"/>
  <c r="E21" i="109"/>
  <c r="O13" i="109"/>
  <c r="J10" i="109"/>
  <c r="S8" i="109"/>
  <c r="J26" i="106"/>
  <c r="K41" i="108"/>
  <c r="J41" i="108"/>
  <c r="D39" i="108"/>
  <c r="D40" i="108" s="1"/>
  <c r="L34" i="108"/>
  <c r="J34" i="108"/>
  <c r="E34" i="108"/>
  <c r="D34" i="108"/>
  <c r="L33" i="108"/>
  <c r="J33" i="108"/>
  <c r="L32" i="108"/>
  <c r="J32" i="108"/>
  <c r="L31" i="108"/>
  <c r="K43" i="108" s="1"/>
  <c r="J31" i="108"/>
  <c r="J43" i="108" s="1"/>
  <c r="L30" i="108"/>
  <c r="J30" i="108"/>
  <c r="L29" i="108"/>
  <c r="J29" i="108"/>
  <c r="L28" i="108"/>
  <c r="J28" i="108"/>
  <c r="L27" i="108"/>
  <c r="K42" i="108" s="1"/>
  <c r="K44" i="108" s="1"/>
  <c r="J27" i="108"/>
  <c r="J42" i="108" s="1"/>
  <c r="J44" i="108" s="1"/>
  <c r="L26" i="108"/>
  <c r="J26" i="108"/>
  <c r="D26" i="108"/>
  <c r="L25" i="108"/>
  <c r="J25" i="108"/>
  <c r="D25" i="108"/>
  <c r="L24" i="108"/>
  <c r="J24" i="108"/>
  <c r="E24" i="108"/>
  <c r="E25" i="108" s="1"/>
  <c r="L23" i="108"/>
  <c r="J23" i="108"/>
  <c r="E22" i="108"/>
  <c r="E21" i="108"/>
  <c r="O13" i="108"/>
  <c r="J10" i="108"/>
  <c r="S8" i="108"/>
  <c r="L23" i="107"/>
  <c r="L24" i="107"/>
  <c r="L25" i="107"/>
  <c r="L26" i="107"/>
  <c r="L27" i="107"/>
  <c r="K42" i="107" s="1"/>
  <c r="L28" i="107"/>
  <c r="L29" i="107"/>
  <c r="L30" i="107"/>
  <c r="L31" i="107"/>
  <c r="L32" i="107"/>
  <c r="L33" i="107"/>
  <c r="L34" i="107"/>
  <c r="K41" i="107"/>
  <c r="J41" i="107"/>
  <c r="D39" i="107"/>
  <c r="D40" i="107" s="1"/>
  <c r="J34" i="107"/>
  <c r="E34" i="107"/>
  <c r="D34" i="107"/>
  <c r="J33" i="107"/>
  <c r="J32" i="107"/>
  <c r="K43" i="107"/>
  <c r="J31" i="107"/>
  <c r="J43" i="107" s="1"/>
  <c r="J30" i="107"/>
  <c r="J29" i="107"/>
  <c r="J28" i="107"/>
  <c r="J27" i="107"/>
  <c r="J42" i="107" s="1"/>
  <c r="J26" i="107"/>
  <c r="D26" i="107"/>
  <c r="J25" i="107"/>
  <c r="D25" i="107"/>
  <c r="J24" i="107"/>
  <c r="E24" i="107"/>
  <c r="E25" i="107" s="1"/>
  <c r="J23" i="107"/>
  <c r="E22" i="107"/>
  <c r="E21" i="107"/>
  <c r="O13" i="107"/>
  <c r="J10" i="107"/>
  <c r="S8" i="107"/>
  <c r="K41" i="106"/>
  <c r="J41" i="106"/>
  <c r="D39" i="106"/>
  <c r="D40" i="106" s="1"/>
  <c r="L34" i="106"/>
  <c r="J34" i="106"/>
  <c r="E34" i="106"/>
  <c r="D34" i="106"/>
  <c r="L33" i="106"/>
  <c r="J33" i="106"/>
  <c r="L32" i="106"/>
  <c r="J32" i="106"/>
  <c r="L31" i="106"/>
  <c r="K43" i="106" s="1"/>
  <c r="J31" i="106"/>
  <c r="J43" i="106" s="1"/>
  <c r="L30" i="106"/>
  <c r="J30" i="106"/>
  <c r="L29" i="106"/>
  <c r="J29" i="106"/>
  <c r="L28" i="106"/>
  <c r="J28" i="106"/>
  <c r="L27" i="106"/>
  <c r="K42" i="106" s="1"/>
  <c r="J27" i="106"/>
  <c r="J42" i="106" s="1"/>
  <c r="J44" i="106" s="1"/>
  <c r="L26" i="106"/>
  <c r="D26" i="106"/>
  <c r="L25" i="106"/>
  <c r="J25" i="106"/>
  <c r="D25" i="106"/>
  <c r="L24" i="106"/>
  <c r="J24" i="106"/>
  <c r="E24" i="106"/>
  <c r="E25" i="106" s="1"/>
  <c r="L23" i="106"/>
  <c r="J23" i="106"/>
  <c r="E22" i="106"/>
  <c r="E21" i="106"/>
  <c r="O13" i="106"/>
  <c r="J10" i="106"/>
  <c r="S8" i="106"/>
  <c r="K41" i="105"/>
  <c r="J41" i="105"/>
  <c r="D39" i="105"/>
  <c r="D40" i="105" s="1"/>
  <c r="L34" i="105"/>
  <c r="J34" i="105"/>
  <c r="E34" i="105"/>
  <c r="D34" i="105"/>
  <c r="L33" i="105"/>
  <c r="J33" i="105"/>
  <c r="L32" i="105"/>
  <c r="J32" i="105"/>
  <c r="L31" i="105"/>
  <c r="K43" i="105" s="1"/>
  <c r="J31" i="105"/>
  <c r="J43" i="105" s="1"/>
  <c r="L30" i="105"/>
  <c r="J30" i="105"/>
  <c r="L29" i="105"/>
  <c r="J29" i="105"/>
  <c r="L28" i="105"/>
  <c r="J28" i="105"/>
  <c r="L27" i="105"/>
  <c r="K42" i="105" s="1"/>
  <c r="K44" i="105" s="1"/>
  <c r="J27" i="105"/>
  <c r="J42" i="105" s="1"/>
  <c r="J44" i="105" s="1"/>
  <c r="L26" i="105"/>
  <c r="J26" i="105"/>
  <c r="D26" i="105"/>
  <c r="L25" i="105"/>
  <c r="J25" i="105"/>
  <c r="D25" i="105"/>
  <c r="L24" i="105"/>
  <c r="J24" i="105"/>
  <c r="E24" i="105"/>
  <c r="E25" i="105" s="1"/>
  <c r="L23" i="105"/>
  <c r="J23" i="105"/>
  <c r="E22" i="105"/>
  <c r="E21" i="105"/>
  <c r="O13" i="105"/>
  <c r="J10" i="105"/>
  <c r="S8" i="105"/>
  <c r="D25" i="104"/>
  <c r="E34" i="104"/>
  <c r="D34" i="104"/>
  <c r="K41" i="104"/>
  <c r="J41" i="104"/>
  <c r="D39" i="104"/>
  <c r="D40" i="104" s="1"/>
  <c r="L34" i="104"/>
  <c r="J34" i="104"/>
  <c r="L33" i="104"/>
  <c r="J33" i="104"/>
  <c r="L32" i="104"/>
  <c r="J32" i="104"/>
  <c r="L31" i="104"/>
  <c r="K43" i="104" s="1"/>
  <c r="J31" i="104"/>
  <c r="J43" i="104" s="1"/>
  <c r="L30" i="104"/>
  <c r="J30" i="104"/>
  <c r="L29" i="104"/>
  <c r="J29" i="104"/>
  <c r="L28" i="104"/>
  <c r="J28" i="104"/>
  <c r="L27" i="104"/>
  <c r="K42" i="104" s="1"/>
  <c r="K44" i="104" s="1"/>
  <c r="J27" i="104"/>
  <c r="J42" i="104" s="1"/>
  <c r="J44" i="104" s="1"/>
  <c r="L26" i="104"/>
  <c r="J26" i="104"/>
  <c r="D26" i="104"/>
  <c r="L25" i="104"/>
  <c r="J25" i="104"/>
  <c r="L24" i="104"/>
  <c r="J24" i="104"/>
  <c r="E24" i="104"/>
  <c r="E25" i="104" s="1"/>
  <c r="L23" i="104"/>
  <c r="J23" i="104"/>
  <c r="E22" i="104"/>
  <c r="E21" i="104"/>
  <c r="O13" i="104"/>
  <c r="J10" i="104"/>
  <c r="S8" i="104"/>
  <c r="D25" i="101"/>
  <c r="K41" i="101"/>
  <c r="J41" i="101"/>
  <c r="D39" i="101"/>
  <c r="D40" i="101" s="1"/>
  <c r="L34" i="101"/>
  <c r="J34" i="101"/>
  <c r="E34" i="101"/>
  <c r="D34" i="101"/>
  <c r="L33" i="101"/>
  <c r="J33" i="101"/>
  <c r="L32" i="101"/>
  <c r="J32" i="101"/>
  <c r="L31" i="101"/>
  <c r="K43" i="101" s="1"/>
  <c r="J31" i="101"/>
  <c r="J43" i="101" s="1"/>
  <c r="L30" i="101"/>
  <c r="J30" i="101"/>
  <c r="L29" i="101"/>
  <c r="J29" i="101"/>
  <c r="L28" i="101"/>
  <c r="J28" i="101"/>
  <c r="L27" i="101"/>
  <c r="J27" i="101"/>
  <c r="J42" i="101" s="1"/>
  <c r="J44" i="101" s="1"/>
  <c r="L26" i="101"/>
  <c r="J26" i="101"/>
  <c r="D26" i="101"/>
  <c r="L25" i="101"/>
  <c r="J25" i="101"/>
  <c r="L24" i="101"/>
  <c r="J24" i="101"/>
  <c r="E24" i="101"/>
  <c r="E25" i="101" s="1"/>
  <c r="L23" i="101"/>
  <c r="J23" i="101"/>
  <c r="E22" i="101"/>
  <c r="E21" i="101"/>
  <c r="O13" i="101"/>
  <c r="J10" i="101"/>
  <c r="S8" i="101"/>
  <c r="L34" i="100"/>
  <c r="L33" i="100"/>
  <c r="K41" i="100"/>
  <c r="J41" i="100"/>
  <c r="D39" i="100"/>
  <c r="D40" i="100" s="1"/>
  <c r="J34" i="100"/>
  <c r="E34" i="100"/>
  <c r="D34" i="100"/>
  <c r="J33" i="100"/>
  <c r="L32" i="100"/>
  <c r="J32" i="100"/>
  <c r="L31" i="100"/>
  <c r="K43" i="100" s="1"/>
  <c r="J31" i="100"/>
  <c r="J43" i="100" s="1"/>
  <c r="L30" i="100"/>
  <c r="J30" i="100"/>
  <c r="L29" i="100"/>
  <c r="J29" i="100"/>
  <c r="L28" i="100"/>
  <c r="J28" i="100"/>
  <c r="L27" i="100"/>
  <c r="K42" i="100" s="1"/>
  <c r="J27" i="100"/>
  <c r="J42" i="100" s="1"/>
  <c r="J44" i="100" s="1"/>
  <c r="L26" i="100"/>
  <c r="J26" i="100"/>
  <c r="D26" i="100"/>
  <c r="L25" i="100"/>
  <c r="J25" i="100"/>
  <c r="D25" i="100"/>
  <c r="L24" i="100"/>
  <c r="J24" i="100"/>
  <c r="E24" i="100"/>
  <c r="E25" i="100" s="1"/>
  <c r="L23" i="100"/>
  <c r="J23" i="100"/>
  <c r="E22" i="100"/>
  <c r="E21" i="100"/>
  <c r="O13" i="100"/>
  <c r="J10" i="100"/>
  <c r="S8" i="100"/>
  <c r="K41" i="99"/>
  <c r="J41" i="99"/>
  <c r="D39" i="99"/>
  <c r="D40" i="99" s="1"/>
  <c r="L34" i="99"/>
  <c r="J34" i="99"/>
  <c r="E34" i="99"/>
  <c r="D34" i="99"/>
  <c r="L33" i="99"/>
  <c r="J33" i="99"/>
  <c r="L32" i="99"/>
  <c r="J32" i="99"/>
  <c r="L31" i="99"/>
  <c r="K43" i="99" s="1"/>
  <c r="J31" i="99"/>
  <c r="J43" i="99" s="1"/>
  <c r="L30" i="99"/>
  <c r="J30" i="99"/>
  <c r="L29" i="99"/>
  <c r="J29" i="99"/>
  <c r="L28" i="99"/>
  <c r="J28" i="99"/>
  <c r="L27" i="99"/>
  <c r="K42" i="99" s="1"/>
  <c r="J27" i="99"/>
  <c r="J42" i="99" s="1"/>
  <c r="J44" i="99" s="1"/>
  <c r="L26" i="99"/>
  <c r="J26" i="99"/>
  <c r="D26" i="99"/>
  <c r="L25" i="99"/>
  <c r="J25" i="99"/>
  <c r="D25" i="99"/>
  <c r="L24" i="99"/>
  <c r="J24" i="99"/>
  <c r="E24" i="99"/>
  <c r="E25" i="99" s="1"/>
  <c r="L23" i="99"/>
  <c r="J23" i="99"/>
  <c r="E22" i="99"/>
  <c r="E21" i="99"/>
  <c r="O13" i="99"/>
  <c r="J10" i="99"/>
  <c r="S8" i="99"/>
  <c r="E20" i="98"/>
  <c r="K41" i="98"/>
  <c r="J41" i="98"/>
  <c r="D39" i="98"/>
  <c r="D40" i="98" s="1"/>
  <c r="L34" i="98"/>
  <c r="J34" i="98"/>
  <c r="E34" i="98"/>
  <c r="D34" i="98"/>
  <c r="L33" i="98"/>
  <c r="J33" i="98"/>
  <c r="L32" i="98"/>
  <c r="J32" i="98"/>
  <c r="L31" i="98"/>
  <c r="K43" i="98" s="1"/>
  <c r="J31" i="98"/>
  <c r="J43" i="98" s="1"/>
  <c r="L30" i="98"/>
  <c r="J30" i="98"/>
  <c r="L29" i="98"/>
  <c r="J29" i="98"/>
  <c r="L28" i="98"/>
  <c r="J28" i="98"/>
  <c r="L27" i="98"/>
  <c r="K42" i="98" s="1"/>
  <c r="J27" i="98"/>
  <c r="J42" i="98" s="1"/>
  <c r="J44" i="98" s="1"/>
  <c r="L26" i="98"/>
  <c r="J26" i="98"/>
  <c r="D26" i="98"/>
  <c r="L25" i="98"/>
  <c r="J25" i="98"/>
  <c r="D25" i="98"/>
  <c r="L24" i="98"/>
  <c r="J24" i="98"/>
  <c r="E24" i="98"/>
  <c r="E25" i="98" s="1"/>
  <c r="L23" i="98"/>
  <c r="J23" i="98"/>
  <c r="E22" i="98"/>
  <c r="E21" i="98"/>
  <c r="O13" i="98"/>
  <c r="J10" i="98"/>
  <c r="S8" i="98"/>
  <c r="E26" i="105" l="1"/>
  <c r="J44" i="110"/>
  <c r="E26" i="111"/>
  <c r="D27" i="99"/>
  <c r="E26" i="99"/>
  <c r="D27" i="100"/>
  <c r="J44" i="111"/>
  <c r="K44" i="111"/>
  <c r="K44" i="110"/>
  <c r="E26" i="100"/>
  <c r="E27" i="100"/>
  <c r="D27" i="98"/>
  <c r="D28" i="98" s="1"/>
  <c r="E26" i="98"/>
  <c r="D27" i="110"/>
  <c r="D28" i="110" s="1"/>
  <c r="D27" i="101"/>
  <c r="D28" i="101" s="1"/>
  <c r="E26" i="106"/>
  <c r="D27" i="112"/>
  <c r="D28" i="112" s="1"/>
  <c r="E26" i="112"/>
  <c r="E27" i="112" s="1"/>
  <c r="E28" i="112" s="1"/>
  <c r="D27" i="111"/>
  <c r="D28" i="111" s="1"/>
  <c r="E27" i="111"/>
  <c r="E28" i="111" s="1"/>
  <c r="E26" i="109"/>
  <c r="E27" i="109" s="1"/>
  <c r="E28" i="109" s="1"/>
  <c r="D27" i="109"/>
  <c r="D28" i="109" s="1"/>
  <c r="E27" i="110"/>
  <c r="E28" i="110" s="1"/>
  <c r="D28" i="99"/>
  <c r="K42" i="101"/>
  <c r="K44" i="101" s="1"/>
  <c r="J44" i="107"/>
  <c r="E26" i="108"/>
  <c r="E27" i="108" s="1"/>
  <c r="E28" i="108" s="1"/>
  <c r="D27" i="108"/>
  <c r="D28" i="108" s="1"/>
  <c r="K44" i="107"/>
  <c r="E26" i="107"/>
  <c r="E27" i="107" s="1"/>
  <c r="E28" i="107" s="1"/>
  <c r="D27" i="107"/>
  <c r="D28" i="107" s="1"/>
  <c r="D27" i="106"/>
  <c r="D28" i="106" s="1"/>
  <c r="E27" i="106"/>
  <c r="E28" i="106" s="1"/>
  <c r="K44" i="106"/>
  <c r="D27" i="105"/>
  <c r="D28" i="105" s="1"/>
  <c r="E27" i="105"/>
  <c r="E28" i="105" s="1"/>
  <c r="E26" i="104"/>
  <c r="E27" i="104" s="1"/>
  <c r="E28" i="104" s="1"/>
  <c r="D27" i="104"/>
  <c r="D28" i="104" s="1"/>
  <c r="D28" i="100"/>
  <c r="E26" i="101"/>
  <c r="E27" i="101" s="1"/>
  <c r="E28" i="101" s="1"/>
  <c r="E28" i="100"/>
  <c r="K44" i="100"/>
  <c r="E27" i="99"/>
  <c r="E28" i="99" s="1"/>
  <c r="K44" i="99"/>
  <c r="E27" i="98"/>
  <c r="E28" i="98" s="1"/>
  <c r="K44" i="98"/>
  <c r="K41" i="97"/>
  <c r="J41" i="97"/>
  <c r="D39" i="97"/>
  <c r="D40" i="97" s="1"/>
  <c r="L34" i="97"/>
  <c r="J34" i="97"/>
  <c r="E34" i="97"/>
  <c r="D34" i="97"/>
  <c r="L33" i="97"/>
  <c r="J33" i="97"/>
  <c r="L32" i="97"/>
  <c r="J32" i="97"/>
  <c r="L31" i="97"/>
  <c r="K43" i="97" s="1"/>
  <c r="J31" i="97"/>
  <c r="J43" i="97" s="1"/>
  <c r="L30" i="97"/>
  <c r="J30" i="97"/>
  <c r="L29" i="97"/>
  <c r="J29" i="97"/>
  <c r="L28" i="97"/>
  <c r="J28" i="97"/>
  <c r="L27" i="97"/>
  <c r="K42" i="97" s="1"/>
  <c r="K44" i="97" s="1"/>
  <c r="J27" i="97"/>
  <c r="J42" i="97" s="1"/>
  <c r="J44" i="97" s="1"/>
  <c r="L26" i="97"/>
  <c r="J26" i="97"/>
  <c r="D26" i="97"/>
  <c r="L25" i="97"/>
  <c r="J25" i="97"/>
  <c r="D25" i="97"/>
  <c r="L24" i="97"/>
  <c r="J24" i="97"/>
  <c r="E24" i="97"/>
  <c r="E25" i="97" s="1"/>
  <c r="L23" i="97"/>
  <c r="J23" i="97"/>
  <c r="E22" i="97"/>
  <c r="E21" i="97"/>
  <c r="O13" i="97"/>
  <c r="J10" i="97"/>
  <c r="S8" i="97"/>
  <c r="L23" i="96"/>
  <c r="L24" i="96"/>
  <c r="L25" i="96"/>
  <c r="L26" i="96"/>
  <c r="L27" i="96"/>
  <c r="K42" i="96" s="1"/>
  <c r="L28" i="96"/>
  <c r="L29" i="96"/>
  <c r="L30" i="96"/>
  <c r="L31" i="96"/>
  <c r="K43" i="96" s="1"/>
  <c r="L32" i="96"/>
  <c r="L33" i="96"/>
  <c r="L34" i="96"/>
  <c r="P24" i="95"/>
  <c r="P25" i="95"/>
  <c r="P26" i="95"/>
  <c r="P27" i="95"/>
  <c r="P28" i="95"/>
  <c r="P29" i="95"/>
  <c r="P30" i="95"/>
  <c r="P31" i="95"/>
  <c r="P32" i="95"/>
  <c r="P33" i="95"/>
  <c r="P34" i="95"/>
  <c r="P23" i="95"/>
  <c r="K41" i="96"/>
  <c r="J41" i="96"/>
  <c r="D39" i="96"/>
  <c r="D40" i="96" s="1"/>
  <c r="J34" i="96"/>
  <c r="E34" i="96"/>
  <c r="D34" i="96"/>
  <c r="J33" i="96"/>
  <c r="J32" i="96"/>
  <c r="J31" i="96"/>
  <c r="J43" i="96" s="1"/>
  <c r="J30" i="96"/>
  <c r="J29" i="96"/>
  <c r="J28" i="96"/>
  <c r="J27" i="96"/>
  <c r="J42" i="96" s="1"/>
  <c r="J26" i="96"/>
  <c r="D26" i="96"/>
  <c r="J25" i="96"/>
  <c r="D25" i="96"/>
  <c r="J24" i="96"/>
  <c r="E24" i="96"/>
  <c r="E25" i="96" s="1"/>
  <c r="J23" i="96"/>
  <c r="E22" i="96"/>
  <c r="E21" i="96"/>
  <c r="E26" i="96" s="1"/>
  <c r="O13" i="96"/>
  <c r="J10" i="96"/>
  <c r="S8" i="96"/>
  <c r="D26" i="94"/>
  <c r="L29" i="94"/>
  <c r="J23" i="94"/>
  <c r="J24" i="94"/>
  <c r="J25" i="94"/>
  <c r="J26" i="94"/>
  <c r="J27" i="94"/>
  <c r="J42" i="94" s="1"/>
  <c r="J28" i="94"/>
  <c r="J29" i="94"/>
  <c r="J30" i="94"/>
  <c r="J31" i="94"/>
  <c r="J43" i="94" s="1"/>
  <c r="J32" i="94"/>
  <c r="J33" i="94"/>
  <c r="K41" i="95"/>
  <c r="J41" i="95"/>
  <c r="D39" i="95"/>
  <c r="D40" i="95" s="1"/>
  <c r="L34" i="95"/>
  <c r="J34" i="95"/>
  <c r="E34" i="95"/>
  <c r="D34" i="95"/>
  <c r="L33" i="95"/>
  <c r="J33" i="95"/>
  <c r="L32" i="95"/>
  <c r="J32" i="95"/>
  <c r="L31" i="95"/>
  <c r="K43" i="95" s="1"/>
  <c r="J31" i="95"/>
  <c r="J43" i="95" s="1"/>
  <c r="L30" i="95"/>
  <c r="J30" i="95"/>
  <c r="L29" i="95"/>
  <c r="J29" i="95"/>
  <c r="L28" i="95"/>
  <c r="J28" i="95"/>
  <c r="L27" i="95"/>
  <c r="K42" i="95" s="1"/>
  <c r="K44" i="95" s="1"/>
  <c r="J27" i="95"/>
  <c r="J42" i="95" s="1"/>
  <c r="J44" i="95" s="1"/>
  <c r="L26" i="95"/>
  <c r="J26" i="95"/>
  <c r="D26" i="95"/>
  <c r="L25" i="95"/>
  <c r="J25" i="95"/>
  <c r="D25" i="95"/>
  <c r="L24" i="95"/>
  <c r="J24" i="95"/>
  <c r="E24" i="95"/>
  <c r="E25" i="95" s="1"/>
  <c r="L23" i="95"/>
  <c r="J23" i="95"/>
  <c r="E22" i="95"/>
  <c r="E21" i="95"/>
  <c r="O13" i="95"/>
  <c r="J10" i="95"/>
  <c r="S8" i="95"/>
  <c r="D34" i="94"/>
  <c r="K41" i="94"/>
  <c r="J41" i="94"/>
  <c r="D39" i="94"/>
  <c r="D40" i="94" s="1"/>
  <c r="L34" i="94"/>
  <c r="J34" i="94"/>
  <c r="E34" i="94"/>
  <c r="L33" i="94"/>
  <c r="L32" i="94"/>
  <c r="L31" i="94"/>
  <c r="K43" i="94" s="1"/>
  <c r="L30" i="94"/>
  <c r="L28" i="94"/>
  <c r="L27" i="94"/>
  <c r="K42" i="94" s="1"/>
  <c r="L26" i="94"/>
  <c r="L25" i="94"/>
  <c r="D25" i="94"/>
  <c r="L24" i="94"/>
  <c r="E24" i="94"/>
  <c r="E25" i="94" s="1"/>
  <c r="L23" i="94"/>
  <c r="E22" i="94"/>
  <c r="E21" i="94"/>
  <c r="O13" i="94"/>
  <c r="J10" i="94"/>
  <c r="S8" i="94"/>
  <c r="K41" i="64"/>
  <c r="J41" i="64"/>
  <c r="D39" i="64"/>
  <c r="D40" i="64" s="1"/>
  <c r="L34" i="64"/>
  <c r="J34" i="64"/>
  <c r="E34" i="64"/>
  <c r="D34" i="64"/>
  <c r="L33" i="64"/>
  <c r="J33" i="64"/>
  <c r="L32" i="64"/>
  <c r="J32" i="64"/>
  <c r="L31" i="64"/>
  <c r="K43" i="64" s="1"/>
  <c r="J31" i="64"/>
  <c r="J43" i="64" s="1"/>
  <c r="L30" i="64"/>
  <c r="J30" i="64"/>
  <c r="L29" i="64"/>
  <c r="J29" i="64"/>
  <c r="L28" i="64"/>
  <c r="J28" i="64"/>
  <c r="L27" i="64"/>
  <c r="K42" i="64" s="1"/>
  <c r="J27" i="64"/>
  <c r="J42" i="64" s="1"/>
  <c r="L26" i="64"/>
  <c r="J26" i="64"/>
  <c r="D26" i="64"/>
  <c r="L25" i="64"/>
  <c r="J25" i="64"/>
  <c r="D25" i="64"/>
  <c r="L24" i="64"/>
  <c r="J24" i="64"/>
  <c r="E24" i="64"/>
  <c r="E25" i="64" s="1"/>
  <c r="L23" i="64"/>
  <c r="J23" i="64"/>
  <c r="E22" i="64"/>
  <c r="E21" i="64"/>
  <c r="E20" i="64"/>
  <c r="O13" i="64"/>
  <c r="S8" i="64"/>
  <c r="E26" i="94" l="1"/>
  <c r="E26" i="95"/>
  <c r="K44" i="94"/>
  <c r="D27" i="96"/>
  <c r="D28" i="96" s="1"/>
  <c r="D27" i="97"/>
  <c r="D28" i="97" s="1"/>
  <c r="D27" i="94"/>
  <c r="D28" i="94" s="1"/>
  <c r="D27" i="64"/>
  <c r="D28" i="64" s="1"/>
  <c r="E26" i="64"/>
  <c r="E27" i="64" s="1"/>
  <c r="E28" i="64" s="1"/>
  <c r="D27" i="95"/>
  <c r="D28" i="95" s="1"/>
  <c r="E26" i="97"/>
  <c r="E27" i="97" s="1"/>
  <c r="E28" i="97" s="1"/>
  <c r="J44" i="96"/>
  <c r="K44" i="96"/>
  <c r="E27" i="96"/>
  <c r="E28" i="96" s="1"/>
  <c r="J44" i="94"/>
  <c r="E27" i="95"/>
  <c r="E28" i="95" s="1"/>
  <c r="E27" i="94"/>
  <c r="E28" i="9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K9" authorId="0" shapeId="0" xr:uid="{00000000-0006-0000-0000-000001000000}">
      <text>
        <r>
          <rPr>
            <sz val="9"/>
            <rFont val="Tahoma"/>
            <family val="2"/>
          </rPr>
          <t>CONSECUTIVO DE INGRESO</t>
        </r>
      </text>
    </comment>
    <comment ref="L9" authorId="0" shapeId="0" xr:uid="{00000000-0006-0000-0000-000002000000}">
      <text>
        <r>
          <rPr>
            <sz val="9"/>
            <rFont val="Tahoma"/>
            <family val="2"/>
          </rPr>
          <t>DOS ÚLTIMOS DÍGITOS DEL AÑO DE INGRESO</t>
        </r>
      </text>
    </comment>
    <comment ref="D12" authorId="0" shapeId="0" xr:uid="{00000000-0006-0000-0000-000003000000}">
      <text>
        <r>
          <rPr>
            <b/>
            <sz val="9"/>
            <rFont val="Tahoma"/>
            <family val="2"/>
          </rPr>
          <t xml:space="preserve"># DE LA PERFORACIÓN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K9" authorId="0" shapeId="0" xr:uid="{00000000-0006-0000-0100-000001000000}">
      <text>
        <r>
          <rPr>
            <sz val="9"/>
            <rFont val="Tahoma"/>
            <family val="2"/>
          </rPr>
          <t>CONSECUTIVO DE INGRESO</t>
        </r>
      </text>
    </comment>
    <comment ref="L9" authorId="0" shapeId="0" xr:uid="{00000000-0006-0000-0100-000002000000}">
      <text>
        <r>
          <rPr>
            <sz val="9"/>
            <rFont val="Tahoma"/>
            <family val="2"/>
          </rPr>
          <t>DOS ÚLTIMOS DÍGITOS DEL AÑO DE INGRESO</t>
        </r>
      </text>
    </comment>
    <comment ref="D12" authorId="0" shapeId="0" xr:uid="{00000000-0006-0000-0100-000003000000}">
      <text>
        <r>
          <rPr>
            <b/>
            <sz val="9"/>
            <rFont val="Tahoma"/>
            <family val="2"/>
          </rPr>
          <t xml:space="preserve"># DE LA PERFORACIÓN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K9" authorId="0" shapeId="0" xr:uid="{00000000-0006-0000-0200-000001000000}">
      <text>
        <r>
          <rPr>
            <sz val="9"/>
            <rFont val="Tahoma"/>
            <family val="2"/>
          </rPr>
          <t>CONSECUTIVO DE INGRESO</t>
        </r>
      </text>
    </comment>
    <comment ref="L9" authorId="0" shapeId="0" xr:uid="{00000000-0006-0000-0200-000002000000}">
      <text>
        <r>
          <rPr>
            <sz val="9"/>
            <rFont val="Tahoma"/>
            <family val="2"/>
          </rPr>
          <t>DOS ÚLTIMOS DÍGITOS DEL AÑO DE INGRESO</t>
        </r>
      </text>
    </comment>
    <comment ref="D12" authorId="0" shapeId="0" xr:uid="{00000000-0006-0000-0200-000003000000}">
      <text>
        <r>
          <rPr>
            <b/>
            <sz val="9"/>
            <rFont val="Tahoma"/>
            <family val="2"/>
          </rPr>
          <t xml:space="preserve"># DE LA PERFORACIÓN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K9" authorId="0" shapeId="0" xr:uid="{00000000-0006-0000-0300-000001000000}">
      <text>
        <r>
          <rPr>
            <sz val="9"/>
            <rFont val="Tahoma"/>
            <family val="2"/>
          </rPr>
          <t>CONSECUTIVO DE INGRESO</t>
        </r>
      </text>
    </comment>
    <comment ref="L9" authorId="0" shapeId="0" xr:uid="{00000000-0006-0000-0300-000002000000}">
      <text>
        <r>
          <rPr>
            <sz val="9"/>
            <rFont val="Tahoma"/>
            <family val="2"/>
          </rPr>
          <t>DOS ÚLTIMOS DÍGITOS DEL AÑO DE INGRESO</t>
        </r>
      </text>
    </comment>
    <comment ref="D12" authorId="0" shapeId="0" xr:uid="{00000000-0006-0000-0300-000003000000}">
      <text>
        <r>
          <rPr>
            <b/>
            <sz val="9"/>
            <rFont val="Tahoma"/>
            <family val="2"/>
          </rPr>
          <t xml:space="preserve"># DE LA PERFORACIÓN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K9" authorId="0" shapeId="0" xr:uid="{00000000-0006-0000-0400-000001000000}">
      <text>
        <r>
          <rPr>
            <sz val="9"/>
            <rFont val="Tahoma"/>
            <family val="2"/>
          </rPr>
          <t>CONSECUTIVO DE INGRESO</t>
        </r>
      </text>
    </comment>
    <comment ref="L9" authorId="0" shapeId="0" xr:uid="{00000000-0006-0000-0400-000002000000}">
      <text>
        <r>
          <rPr>
            <sz val="9"/>
            <rFont val="Tahoma"/>
            <family val="2"/>
          </rPr>
          <t>DOS ÚLTIMOS DÍGITOS DEL AÑO DE INGRESO</t>
        </r>
      </text>
    </comment>
    <comment ref="D12" authorId="0" shapeId="0" xr:uid="{00000000-0006-0000-0400-000003000000}">
      <text>
        <r>
          <rPr>
            <b/>
            <sz val="9"/>
            <rFont val="Tahoma"/>
            <family val="2"/>
          </rPr>
          <t xml:space="preserve"># DE LA PERFORACIÓN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K9" authorId="0" shapeId="0" xr:uid="{00000000-0006-0000-0500-000001000000}">
      <text>
        <r>
          <rPr>
            <sz val="9"/>
            <rFont val="Tahoma"/>
            <family val="2"/>
          </rPr>
          <t>CONSECUTIVO DE INGRESO</t>
        </r>
      </text>
    </comment>
    <comment ref="L9" authorId="0" shapeId="0" xr:uid="{00000000-0006-0000-0500-000002000000}">
      <text>
        <r>
          <rPr>
            <sz val="9"/>
            <rFont val="Tahoma"/>
            <family val="2"/>
          </rPr>
          <t>DOS ÚLTIMOS DÍGITOS DEL AÑO DE INGRESO</t>
        </r>
      </text>
    </comment>
    <comment ref="D12" authorId="0" shapeId="0" xr:uid="{00000000-0006-0000-0500-000003000000}">
      <text>
        <r>
          <rPr>
            <b/>
            <sz val="9"/>
            <rFont val="Tahoma"/>
            <family val="2"/>
          </rPr>
          <t xml:space="preserve"># DE LA PERFORACIÓN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K9" authorId="0" shapeId="0" xr:uid="{00000000-0006-0000-0600-000001000000}">
      <text>
        <r>
          <rPr>
            <sz val="9"/>
            <rFont val="Tahoma"/>
            <family val="2"/>
          </rPr>
          <t>CONSECUTIVO DE INGRESO</t>
        </r>
      </text>
    </comment>
    <comment ref="L9" authorId="0" shapeId="0" xr:uid="{00000000-0006-0000-0600-000002000000}">
      <text>
        <r>
          <rPr>
            <sz val="9"/>
            <rFont val="Tahoma"/>
            <family val="2"/>
          </rPr>
          <t>DOS ÚLTIMOS DÍGITOS DEL AÑO DE INGRESO</t>
        </r>
      </text>
    </comment>
    <comment ref="D12" authorId="0" shapeId="0" xr:uid="{00000000-0006-0000-0600-000003000000}">
      <text>
        <r>
          <rPr>
            <b/>
            <sz val="9"/>
            <rFont val="Tahoma"/>
            <family val="2"/>
          </rPr>
          <t xml:space="preserve"># DE LA PERFORACIÓN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K9" authorId="0" shapeId="0" xr:uid="{00000000-0006-0000-0700-000001000000}">
      <text>
        <r>
          <rPr>
            <sz val="9"/>
            <rFont val="Tahoma"/>
            <family val="2"/>
          </rPr>
          <t>CONSECUTIVO DE INGRESO</t>
        </r>
      </text>
    </comment>
    <comment ref="L9" authorId="0" shapeId="0" xr:uid="{00000000-0006-0000-0700-000002000000}">
      <text>
        <r>
          <rPr>
            <sz val="9"/>
            <rFont val="Tahoma"/>
            <family val="2"/>
          </rPr>
          <t>DOS ÚLTIMOS DÍGITOS DEL AÑO DE INGRESO</t>
        </r>
      </text>
    </comment>
    <comment ref="D12" authorId="0" shapeId="0" xr:uid="{00000000-0006-0000-0700-000003000000}">
      <text>
        <r>
          <rPr>
            <b/>
            <sz val="9"/>
            <rFont val="Tahoma"/>
            <family val="2"/>
          </rPr>
          <t xml:space="preserve"># DE LA PERFORACIÓN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K9" authorId="0" shapeId="0" xr:uid="{00000000-0006-0000-0800-000001000000}">
      <text>
        <r>
          <rPr>
            <sz val="9"/>
            <rFont val="Tahoma"/>
            <family val="2"/>
          </rPr>
          <t>CONSECUTIVO DE INGRESO</t>
        </r>
      </text>
    </comment>
    <comment ref="L9" authorId="0" shapeId="0" xr:uid="{00000000-0006-0000-0800-000002000000}">
      <text>
        <r>
          <rPr>
            <sz val="9"/>
            <rFont val="Tahoma"/>
            <family val="2"/>
          </rPr>
          <t>DOS ÚLTIMOS DÍGITOS DEL AÑO DE INGRESO</t>
        </r>
      </text>
    </comment>
    <comment ref="D12" authorId="0" shapeId="0" xr:uid="{00000000-0006-0000-0800-000003000000}">
      <text>
        <r>
          <rPr>
            <b/>
            <sz val="9"/>
            <rFont val="Tahoma"/>
            <family val="2"/>
          </rPr>
          <t xml:space="preserve"># DE LA PERFORACIÓN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K9" authorId="0" shapeId="0" xr:uid="{00000000-0006-0000-0900-000001000000}">
      <text>
        <r>
          <rPr>
            <sz val="9"/>
            <rFont val="Tahoma"/>
            <family val="2"/>
          </rPr>
          <t>CONSECUTIVO DE INGRESO</t>
        </r>
      </text>
    </comment>
    <comment ref="L9" authorId="0" shapeId="0" xr:uid="{00000000-0006-0000-0900-000002000000}">
      <text>
        <r>
          <rPr>
            <sz val="9"/>
            <rFont val="Tahoma"/>
            <family val="2"/>
          </rPr>
          <t>DOS ÚLTIMOS DÍGITOS DEL AÑO DE INGRESO</t>
        </r>
      </text>
    </comment>
    <comment ref="D12" authorId="0" shapeId="0" xr:uid="{00000000-0006-0000-0900-000003000000}">
      <text>
        <r>
          <rPr>
            <b/>
            <sz val="9"/>
            <rFont val="Tahoma"/>
            <family val="2"/>
          </rPr>
          <t xml:space="preserve"># DE LA PERFORACIÓN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K9" authorId="0" shapeId="0" xr:uid="{00000000-0006-0000-0A00-000001000000}">
      <text>
        <r>
          <rPr>
            <sz val="9"/>
            <rFont val="Tahoma"/>
            <family val="2"/>
          </rPr>
          <t>CONSECUTIVO DE INGRESO</t>
        </r>
      </text>
    </comment>
    <comment ref="L9" authorId="0" shapeId="0" xr:uid="{00000000-0006-0000-0A00-000002000000}">
      <text>
        <r>
          <rPr>
            <sz val="9"/>
            <rFont val="Tahoma"/>
            <family val="2"/>
          </rPr>
          <t>DOS ÚLTIMOS DÍGITOS DEL AÑO DE INGRESO</t>
        </r>
      </text>
    </comment>
    <comment ref="D12" authorId="0" shapeId="0" xr:uid="{00000000-0006-0000-0A00-000003000000}">
      <text>
        <r>
          <rPr>
            <b/>
            <sz val="9"/>
            <rFont val="Tahoma"/>
            <family val="2"/>
          </rPr>
          <t xml:space="preserve"># DE LA PERFORACIÓN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K9" authorId="0" shapeId="0" xr:uid="{00000000-0006-0000-0B00-000001000000}">
      <text>
        <r>
          <rPr>
            <sz val="9"/>
            <rFont val="Tahoma"/>
            <family val="2"/>
          </rPr>
          <t>CONSECUTIVO DE INGRESO</t>
        </r>
      </text>
    </comment>
    <comment ref="L9" authorId="0" shapeId="0" xr:uid="{00000000-0006-0000-0B00-000002000000}">
      <text>
        <r>
          <rPr>
            <sz val="9"/>
            <rFont val="Tahoma"/>
            <family val="2"/>
          </rPr>
          <t>DOS ÚLTIMOS DÍGITOS DEL AÑO DE INGRESO</t>
        </r>
      </text>
    </comment>
    <comment ref="D12" authorId="0" shapeId="0" xr:uid="{00000000-0006-0000-0B00-000003000000}">
      <text>
        <r>
          <rPr>
            <b/>
            <sz val="9"/>
            <rFont val="Tahoma"/>
            <family val="2"/>
          </rPr>
          <t xml:space="preserve"># DE LA PERFORACIÓN
</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K9" authorId="0" shapeId="0" xr:uid="{00000000-0006-0000-0C00-000001000000}">
      <text>
        <r>
          <rPr>
            <sz val="9"/>
            <rFont val="Tahoma"/>
            <family val="2"/>
          </rPr>
          <t>CONSECUTIVO DE INGRESO</t>
        </r>
      </text>
    </comment>
    <comment ref="L9" authorId="0" shapeId="0" xr:uid="{00000000-0006-0000-0C00-000002000000}">
      <text>
        <r>
          <rPr>
            <sz val="9"/>
            <rFont val="Tahoma"/>
            <family val="2"/>
          </rPr>
          <t>DOS ÚLTIMOS DÍGITOS DEL AÑO DE INGRESO</t>
        </r>
      </text>
    </comment>
    <comment ref="D12" authorId="0" shapeId="0" xr:uid="{00000000-0006-0000-0C00-000003000000}">
      <text>
        <r>
          <rPr>
            <b/>
            <sz val="9"/>
            <rFont val="Tahoma"/>
            <family val="2"/>
          </rPr>
          <t xml:space="preserve"># DE LA PERFORACIÓN
</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K9" authorId="0" shapeId="0" xr:uid="{00000000-0006-0000-0D00-000001000000}">
      <text>
        <r>
          <rPr>
            <sz val="9"/>
            <rFont val="Tahoma"/>
            <family val="2"/>
          </rPr>
          <t>CONSECUTIVO DE INGRESO</t>
        </r>
      </text>
    </comment>
    <comment ref="L9" authorId="0" shapeId="0" xr:uid="{00000000-0006-0000-0D00-000002000000}">
      <text>
        <r>
          <rPr>
            <sz val="9"/>
            <rFont val="Tahoma"/>
            <family val="2"/>
          </rPr>
          <t>DOS ÚLTIMOS DÍGITOS DEL AÑO DE INGRESO</t>
        </r>
      </text>
    </comment>
    <comment ref="D12" authorId="0" shapeId="0" xr:uid="{00000000-0006-0000-0D00-000003000000}">
      <text>
        <r>
          <rPr>
            <b/>
            <sz val="9"/>
            <rFont val="Tahoma"/>
            <family val="2"/>
          </rPr>
          <t xml:space="preserve"># DE LA PERFORACIÓN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K9" authorId="0" shapeId="0" xr:uid="{9143627E-19B1-4E66-976A-DF2463A234E7}">
      <text>
        <r>
          <rPr>
            <sz val="9"/>
            <rFont val="Tahoma"/>
            <family val="2"/>
          </rPr>
          <t>CONSECUTIVO DE INGRESO</t>
        </r>
      </text>
    </comment>
    <comment ref="L9" authorId="0" shapeId="0" xr:uid="{8628DF96-9E40-4958-B534-8585DF91A0DE}">
      <text>
        <r>
          <rPr>
            <sz val="9"/>
            <rFont val="Tahoma"/>
            <family val="2"/>
          </rPr>
          <t>DOS ÚLTIMOS DÍGITOS DEL AÑO DE INGRESO</t>
        </r>
      </text>
    </comment>
    <comment ref="D12" authorId="0" shapeId="0" xr:uid="{B619841D-AA9A-42B5-B14E-D4A7545A45F1}">
      <text>
        <r>
          <rPr>
            <b/>
            <sz val="9"/>
            <rFont val="Tahoma"/>
            <family val="2"/>
          </rPr>
          <t xml:space="preserve"># DE LA PERFORACIÓN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K9" authorId="0" shapeId="0" xr:uid="{0300BF22-E2F5-40AC-97E0-DFBE3FD512B7}">
      <text>
        <r>
          <rPr>
            <sz val="9"/>
            <rFont val="Tahoma"/>
            <family val="2"/>
          </rPr>
          <t>CONSECUTIVO DE INGRESO</t>
        </r>
      </text>
    </comment>
    <comment ref="L9" authorId="0" shapeId="0" xr:uid="{595A35D9-80A9-4690-B4DF-F05E9987F0E2}">
      <text>
        <r>
          <rPr>
            <sz val="9"/>
            <rFont val="Tahoma"/>
            <family val="2"/>
          </rPr>
          <t>DOS ÚLTIMOS DÍGITOS DEL AÑO DE INGRESO</t>
        </r>
      </text>
    </comment>
    <comment ref="D12" authorId="0" shapeId="0" xr:uid="{5EB9AC34-3588-4880-B306-1A96F05B28F1}">
      <text>
        <r>
          <rPr>
            <b/>
            <sz val="9"/>
            <rFont val="Tahoma"/>
            <family val="2"/>
          </rPr>
          <t xml:space="preserve"># DE LA PERFORACIÓN
</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K9" authorId="0" shapeId="0" xr:uid="{4C04F1C5-9F6E-4F02-B1B5-DCDF0ACE36CD}">
      <text>
        <r>
          <rPr>
            <sz val="9"/>
            <rFont val="Tahoma"/>
            <family val="2"/>
          </rPr>
          <t>CONSECUTIVO DE INGRESO</t>
        </r>
      </text>
    </comment>
    <comment ref="L9" authorId="0" shapeId="0" xr:uid="{E6BC4646-869F-4A5D-9473-055F17FD73A7}">
      <text>
        <r>
          <rPr>
            <sz val="9"/>
            <rFont val="Tahoma"/>
            <family val="2"/>
          </rPr>
          <t>DOS ÚLTIMOS DÍGITOS DEL AÑO DE INGRESO</t>
        </r>
      </text>
    </comment>
    <comment ref="D12" authorId="0" shapeId="0" xr:uid="{3DC1863A-1713-4D5F-8A91-8E8610AACF91}">
      <text>
        <r>
          <rPr>
            <b/>
            <sz val="9"/>
            <rFont val="Tahoma"/>
            <family val="2"/>
          </rPr>
          <t xml:space="preserve"># DE LA PERFORACIÓN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K9" authorId="0" shapeId="0" xr:uid="{F44BC338-3018-4E95-9D76-71A788F4A80B}">
      <text>
        <r>
          <rPr>
            <sz val="9"/>
            <rFont val="Tahoma"/>
            <family val="2"/>
          </rPr>
          <t>CONSECUTIVO DE INGRESO</t>
        </r>
      </text>
    </comment>
    <comment ref="L9" authorId="0" shapeId="0" xr:uid="{9E395EF8-866A-4BE2-B750-8957B4111D85}">
      <text>
        <r>
          <rPr>
            <sz val="9"/>
            <rFont val="Tahoma"/>
            <family val="2"/>
          </rPr>
          <t>DOS ÚLTIMOS DÍGITOS DEL AÑO DE INGRESO</t>
        </r>
      </text>
    </comment>
    <comment ref="D12" authorId="0" shapeId="0" xr:uid="{B667D68D-FE66-45C5-B9AF-948706D02103}">
      <text>
        <r>
          <rPr>
            <b/>
            <sz val="9"/>
            <rFont val="Tahoma"/>
            <family val="2"/>
          </rPr>
          <t xml:space="preserve"># DE LA PERFORACIÓN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K9" authorId="0" shapeId="0" xr:uid="{F92C1350-180B-4E3F-8790-C92A241B6EDC}">
      <text>
        <r>
          <rPr>
            <sz val="9"/>
            <rFont val="Tahoma"/>
            <family val="2"/>
          </rPr>
          <t>CONSECUTIVO DE INGRESO</t>
        </r>
      </text>
    </comment>
    <comment ref="L9" authorId="0" shapeId="0" xr:uid="{79678E7F-C9FA-43E2-B85D-E4B7FE2298BB}">
      <text>
        <r>
          <rPr>
            <sz val="9"/>
            <rFont val="Tahoma"/>
            <family val="2"/>
          </rPr>
          <t>DOS ÚLTIMOS DÍGITOS DEL AÑO DE INGRESO</t>
        </r>
      </text>
    </comment>
    <comment ref="D12" authorId="0" shapeId="0" xr:uid="{26405743-2AF4-4FCE-A2EB-103ADF46AD98}">
      <text>
        <r>
          <rPr>
            <b/>
            <sz val="9"/>
            <rFont val="Tahoma"/>
            <family val="2"/>
          </rPr>
          <t xml:space="preserve"># DE LA PERFORACIÓN
</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K9" authorId="0" shapeId="0" xr:uid="{43E2E755-07E0-4C97-A4B7-8F5B3356189D}">
      <text>
        <r>
          <rPr>
            <sz val="9"/>
            <rFont val="Tahoma"/>
            <family val="2"/>
          </rPr>
          <t>CONSECUTIVO DE INGRESO</t>
        </r>
      </text>
    </comment>
    <comment ref="L9" authorId="0" shapeId="0" xr:uid="{52F51F5B-560E-4D88-BBFC-E676BB53F74E}">
      <text>
        <r>
          <rPr>
            <sz val="9"/>
            <rFont val="Tahoma"/>
            <family val="2"/>
          </rPr>
          <t>DOS ÚLTIMOS DÍGITOS DEL AÑO DE INGRESO</t>
        </r>
      </text>
    </comment>
    <comment ref="D12" authorId="0" shapeId="0" xr:uid="{77A3CE36-6031-4F1E-A4E5-940CCDE7E727}">
      <text>
        <r>
          <rPr>
            <b/>
            <sz val="9"/>
            <rFont val="Tahoma"/>
            <family val="2"/>
          </rPr>
          <t xml:space="preserve"># DE LA PERFORACIÓN
</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K9" authorId="0" shapeId="0" xr:uid="{B3DDE040-578F-482F-97A5-AD4B08D0D4B1}">
      <text>
        <r>
          <rPr>
            <sz val="9"/>
            <rFont val="Tahoma"/>
            <family val="2"/>
          </rPr>
          <t>CONSECUTIVO DE INGRESO</t>
        </r>
      </text>
    </comment>
    <comment ref="L9" authorId="0" shapeId="0" xr:uid="{D23ADD5F-E48B-4C01-8D7C-02737C95BBC0}">
      <text>
        <r>
          <rPr>
            <sz val="9"/>
            <rFont val="Tahoma"/>
            <family val="2"/>
          </rPr>
          <t>DOS ÚLTIMOS DÍGITOS DEL AÑO DE INGRESO</t>
        </r>
      </text>
    </comment>
    <comment ref="D12" authorId="0" shapeId="0" xr:uid="{654E3270-370E-47F5-BEF7-B754EB947CF6}">
      <text>
        <r>
          <rPr>
            <b/>
            <sz val="9"/>
            <rFont val="Tahoma"/>
            <family val="2"/>
          </rPr>
          <t xml:space="preserve"># DE LA PERFORACIÓN
</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K9" authorId="0" shapeId="0" xr:uid="{16963148-EE72-4F7F-9966-D16E66E517E5}">
      <text>
        <r>
          <rPr>
            <sz val="9"/>
            <rFont val="Tahoma"/>
            <family val="2"/>
          </rPr>
          <t>CONSECUTIVO DE INGRESO</t>
        </r>
      </text>
    </comment>
    <comment ref="L9" authorId="0" shapeId="0" xr:uid="{4F95997E-E753-480F-9533-BE344756608A}">
      <text>
        <r>
          <rPr>
            <sz val="9"/>
            <rFont val="Tahoma"/>
            <family val="2"/>
          </rPr>
          <t>DOS ÚLTIMOS DÍGITOS DEL AÑO DE INGRESO</t>
        </r>
      </text>
    </comment>
    <comment ref="D12" authorId="0" shapeId="0" xr:uid="{047D221B-1B0D-4FBB-8081-1672B1DBC50D}">
      <text>
        <r>
          <rPr>
            <b/>
            <sz val="9"/>
            <rFont val="Tahoma"/>
            <family val="2"/>
          </rPr>
          <t xml:space="preserve"># DE LA PERFORACIÓN
</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K9" authorId="0" shapeId="0" xr:uid="{59048ECA-9AE7-4FDD-A31A-8EEF779C7990}">
      <text>
        <r>
          <rPr>
            <sz val="9"/>
            <rFont val="Tahoma"/>
            <family val="2"/>
          </rPr>
          <t>CONSECUTIVO DE INGRESO</t>
        </r>
      </text>
    </comment>
    <comment ref="L9" authorId="0" shapeId="0" xr:uid="{94665938-6328-4FA0-A2AA-65F23E4494F8}">
      <text>
        <r>
          <rPr>
            <sz val="9"/>
            <rFont val="Tahoma"/>
            <family val="2"/>
          </rPr>
          <t>DOS ÚLTIMOS DÍGITOS DEL AÑO DE INGRESO</t>
        </r>
      </text>
    </comment>
    <comment ref="D12" authorId="0" shapeId="0" xr:uid="{39E0ABA8-C85F-4BEB-B4EF-68651799CAFD}">
      <text>
        <r>
          <rPr>
            <b/>
            <sz val="9"/>
            <rFont val="Tahoma"/>
            <family val="2"/>
          </rPr>
          <t xml:space="preserve"># DE LA PERFORACIÓN
</t>
        </r>
      </text>
    </comment>
  </commentList>
</comments>
</file>

<file path=xl/sharedStrings.xml><?xml version="1.0" encoding="utf-8"?>
<sst xmlns="http://schemas.openxmlformats.org/spreadsheetml/2006/main" count="2637" uniqueCount="137">
  <si>
    <t>INFORME DE RESULTADOS</t>
  </si>
  <si>
    <t>Código: GDA-FLC-013</t>
  </si>
  <si>
    <t xml:space="preserve">CBR DE SUELOS COMPACTADOS EN EL LABORATORIO Y SOBRE MUESTRA INALTERADA INV. E-148-13 </t>
  </si>
  <si>
    <t>Página 1 de 1</t>
  </si>
  <si>
    <t xml:space="preserve">tipo de perforación </t>
  </si>
  <si>
    <t>CLIENTE:</t>
  </si>
  <si>
    <t>FECHA DE RECEPCIÓN:</t>
  </si>
  <si>
    <t>SONDEO</t>
  </si>
  <si>
    <t>PROYECTO:</t>
  </si>
  <si>
    <t xml:space="preserve">FECHA DE EJECUCIÓN: </t>
  </si>
  <si>
    <t>APIQUE</t>
  </si>
  <si>
    <t>CORREO ELECTRÓNICO:</t>
  </si>
  <si>
    <t>GERENCIA.DCMING@GMAIL.COM</t>
  </si>
  <si>
    <t>FECHA DE EMISIÓN:</t>
  </si>
  <si>
    <t>TRINCHERA</t>
  </si>
  <si>
    <t>LOCALIZACIÓN:</t>
  </si>
  <si>
    <t xml:space="preserve">ORDEN INTERNA: </t>
  </si>
  <si>
    <t>GDA</t>
  </si>
  <si>
    <t>NQ</t>
  </si>
  <si>
    <t>MUESTRA TOMADA POR:</t>
  </si>
  <si>
    <t>CLIENTE</t>
  </si>
  <si>
    <t>INFORME ID No:</t>
  </si>
  <si>
    <t>N/A</t>
  </si>
  <si>
    <t>PERFORACIÓN:</t>
  </si>
  <si>
    <t>MUESTRA No. :</t>
  </si>
  <si>
    <t xml:space="preserve">PROFUNDIDAD: </t>
  </si>
  <si>
    <t>-</t>
  </si>
  <si>
    <t xml:space="preserve">DESCRIPCIÓN VISUAL: </t>
  </si>
  <si>
    <t xml:space="preserve">DATOS INICIALES </t>
  </si>
  <si>
    <t xml:space="preserve">ANTES INMERSIÓN </t>
  </si>
  <si>
    <t xml:space="preserve">DESPUÉS INMERSIÓN </t>
  </si>
  <si>
    <t>PENETRACIÓN</t>
  </si>
  <si>
    <t>ANTES DE INMERSIÓN</t>
  </si>
  <si>
    <t xml:space="preserve">DESPUÉS DE INMERSIÓN </t>
  </si>
  <si>
    <t>MOLDE No</t>
  </si>
  <si>
    <t xml:space="preserve">Fuerza </t>
  </si>
  <si>
    <t>Esfuerzo</t>
  </si>
  <si>
    <t>Fuerza</t>
  </si>
  <si>
    <t>DIÁMETRO DE LA MUESTRA</t>
  </si>
  <si>
    <t>cm</t>
  </si>
  <si>
    <t>(in)</t>
  </si>
  <si>
    <t>(mm)</t>
  </si>
  <si>
    <t>kN</t>
  </si>
  <si>
    <t>MPa</t>
  </si>
  <si>
    <t xml:space="preserve">ALTURA DE LA MUESTRA </t>
  </si>
  <si>
    <t>MASA DE LA MUESTRA + MOLDE</t>
  </si>
  <si>
    <t>g</t>
  </si>
  <si>
    <t xml:space="preserve">MASA MOLDE </t>
  </si>
  <si>
    <t xml:space="preserve">MASA DE LA MUESTRA </t>
  </si>
  <si>
    <t xml:space="preserve">VOLUMEN DE LA MUESTRA </t>
  </si>
  <si>
    <r>
      <rPr>
        <sz val="12"/>
        <rFont val="Arial"/>
        <family val="2"/>
      </rPr>
      <t>cm</t>
    </r>
    <r>
      <rPr>
        <sz val="12"/>
        <rFont val="Calibri"/>
        <family val="2"/>
      </rPr>
      <t>³</t>
    </r>
  </si>
  <si>
    <t xml:space="preserve">DENSIDAD MUESTRA HÚMEDA </t>
  </si>
  <si>
    <t>g/cm³</t>
  </si>
  <si>
    <t>DENSIDAD MUESTRA  SECA</t>
  </si>
  <si>
    <t>HUMEDAD %</t>
  </si>
  <si>
    <t xml:space="preserve">RECIPIENTE </t>
  </si>
  <si>
    <t xml:space="preserve">PESO RECIPIENTE + SUELO HÚMEDO </t>
  </si>
  <si>
    <t xml:space="preserve">PESO RECIPIENTE + SUELO SECO </t>
  </si>
  <si>
    <t>PESO RECIPIENTE</t>
  </si>
  <si>
    <t xml:space="preserve">HUMEDAD </t>
  </si>
  <si>
    <t>%</t>
  </si>
  <si>
    <t xml:space="preserve">DATOS DE EXPANSIÓN </t>
  </si>
  <si>
    <t xml:space="preserve">CONDICIONES DEL ENSAYO </t>
  </si>
  <si>
    <t xml:space="preserve">LECTURA INICIAL </t>
  </si>
  <si>
    <t>in</t>
  </si>
  <si>
    <t>RANGO</t>
  </si>
  <si>
    <t xml:space="preserve">VELOCIDAD </t>
  </si>
  <si>
    <t>1,27 mm/min</t>
  </si>
  <si>
    <t>LECTURA FINAL (in)</t>
  </si>
  <si>
    <t>PESAS DE SOBRE CARGA (g)</t>
  </si>
  <si>
    <t xml:space="preserve">TIEMPO DE INMERSIÓN (Días) </t>
  </si>
  <si>
    <t>EXPANSIÓN TOTAL (cm)</t>
  </si>
  <si>
    <t xml:space="preserve">ANTES DE INMERSIÓN </t>
  </si>
  <si>
    <t>EXPANSIÓN TOTAL %</t>
  </si>
  <si>
    <t>C.B.R.  0,100 plg</t>
  </si>
  <si>
    <t>C.B.R.  0,200 plg</t>
  </si>
  <si>
    <t>CBR</t>
  </si>
  <si>
    <t>APROBÓ</t>
  </si>
  <si>
    <t>REVISÓ</t>
  </si>
  <si>
    <t>Ing. SERGIO DURAN NÚÑEZ</t>
  </si>
  <si>
    <t>Director Técnico</t>
  </si>
  <si>
    <t xml:space="preserve">Jefe laboratorio </t>
  </si>
  <si>
    <t>DESCARGO DE RESPONSABILIDADES  GEODELTA INGENIERÍA S.A.S.</t>
  </si>
  <si>
    <t>El presente ensayo no podrá ser reproducido ni parcial ni totalmente sin previa autorización escrita del laboratorio que lo emite. Los resultados de este ensayo solo son aplicables a las muestras ensayadas. Este informe es valido únicamente si presenta firma de quien Reviso y/o Aprobó. El laboratorio es responsable de toda la información suministrada en es presente informe, excepto cuando la información es suministrada por el cliente. El laboratorio no es responsable por la información suministrada por el cliente, misma que puede afectar la validez de los resultados. (DATOS SUMINISTRADOS POR EL CLIENTE: PROCEDENCIA, PROFUNDIDAD, NUMERO DE PERFORACIÓN Y FECHA DE TOMA)</t>
  </si>
  <si>
    <t>-----------FIN DEL INFORME---------</t>
  </si>
  <si>
    <t>25</t>
  </si>
  <si>
    <t>5 kN</t>
  </si>
  <si>
    <t>MIGUEL BARÓN</t>
  </si>
  <si>
    <t>Fecha: 19-04-2024</t>
  </si>
  <si>
    <t>Versión :02</t>
  </si>
  <si>
    <t>056</t>
  </si>
  <si>
    <t>Consorcio constructor nueva malla vial del valle</t>
  </si>
  <si>
    <t>Exploración geotécnica sectores paraderos y puentes peatonales Cali</t>
  </si>
  <si>
    <t>Cali</t>
  </si>
  <si>
    <t>CAV-S1-AP2</t>
  </si>
  <si>
    <t>ARENA LIMOSA, COLOR MARRÓN VERDOSO, DE CONSISTENCIA DURA, EN CONDICIÓN HÚMEDA.</t>
  </si>
  <si>
    <t>LIMO CON ALGO DE ARENA FINA, COLOR MARRÓN CON VETAS GRISES, CONSISTENCIA FIRME, EN CONDICIÓN HÚMEDA.</t>
  </si>
  <si>
    <t>CAV-AP4</t>
  </si>
  <si>
    <t>LIMO ARENO ARCILLOSOS, COLOR MARRÓN, CONSISTENCIA BLANDA, EN CONDICIÓN HÚMEDA.</t>
  </si>
  <si>
    <t>533-C</t>
  </si>
  <si>
    <t>:ESTAMBUL AP1</t>
  </si>
  <si>
    <t>:CIAT AP1</t>
  </si>
  <si>
    <t>APIQUE:</t>
  </si>
  <si>
    <t>PALMA SECA AP2</t>
  </si>
  <si>
    <t>PALMA SECA AP1</t>
  </si>
  <si>
    <t>PALMA SECA AP3</t>
  </si>
  <si>
    <t>ARCILLA DE COLOR GRIS VERDOSO, CONSISTENCIA DURA, EN CONDICIÓN HÚMEDA.</t>
  </si>
  <si>
    <t>ARCILLA DE COLOR MARRÓN OSCURO, CONSISTENCIA DURA, EN CONDICIÓN HÚMEDA.</t>
  </si>
  <si>
    <t>:P-CIAT AP2</t>
  </si>
  <si>
    <t>ARCILLA COLOR MARRÓN OSCURO DE CONSISTENCIA FIRME EN CONDICIÓN HÚMEDA</t>
  </si>
  <si>
    <t xml:space="preserve">ARCILLA DE CONSISTENCIA DURA COLOR GRIS OSCURO EN CONDICIÓN HÚMEDA </t>
  </si>
  <si>
    <t>ARENA LIMOSA DE COLOR GRIS VERDOSO, CEMENTACIÓN MODERADA, EN CONDICIÓN HÚMEDA.</t>
  </si>
  <si>
    <t>ARCILLA DE BAJA PLASTICIDAD, CON ALGO DE ARENA, DE COLOR GRIS, CONSISTENCIA MUY BLANDA, EN CONDICIÓN HÚMEDA.</t>
  </si>
  <si>
    <t>ARCILLA DE ALTA PLASTICIDAD CON VETAS DE OXIDACIÓN, DE COLOR MARRÓN, CONSISTENCIA BLANDA, EN CONDICIÓN HÚMEDA.</t>
  </si>
  <si>
    <t>:P-VILLA RICA  AP2</t>
  </si>
  <si>
    <t>:P-VILLA RICA  AP4</t>
  </si>
  <si>
    <t>:P-VILLA RICA  AP6</t>
  </si>
  <si>
    <t>:P-VILLA RICA  AP5</t>
  </si>
  <si>
    <t>LIMO DE ALTA PLASTICIDAD, DE COLOR MARRÓN CLARO, CONSISTENCIA BLANDA, EN CONDICIÓN HÚMEDA.</t>
  </si>
  <si>
    <t>LIMO DE ALTA PLASTICIDAD, DE COLOR MARRÓN, CONSISTENCIA BLANDA, EN CONDICIÓN HÚMEDA.</t>
  </si>
  <si>
    <t>:P-ROZO AP1</t>
  </si>
  <si>
    <t>:P-CERRITO AP3</t>
  </si>
  <si>
    <t>ARENA DE GRANO FINO LIMOSA, COLOR GRIS VERDOSO, CEMENTACIÓN FUERTE, EN CONDICIÓN HÚMEDA.</t>
  </si>
  <si>
    <t>ARENA LIMOSA, COLOR MARRÓN CEMENTACIÓN FUERTE, EN CONDICIÓN HÚMEDA.</t>
  </si>
  <si>
    <t>LA T-V- ROZO AP1</t>
  </si>
  <si>
    <t>:T-CALEÑAS AP4</t>
  </si>
  <si>
    <t xml:space="preserve">UNIVALLE AP1 </t>
  </si>
  <si>
    <t xml:space="preserve">UNIVALLE AP2 </t>
  </si>
  <si>
    <t>UNIVALLE AP3</t>
  </si>
  <si>
    <t>UNIVALLE AP4</t>
  </si>
  <si>
    <t>ARCILLA COLOR MARRÓN CLARO, CONSISTENCIA BLANDA, EN CONDICIÓN HÚMEDA.</t>
  </si>
  <si>
    <t>LIMO ARCILLOSO, COLOR MARRÓN CLARO, CONSISTENCIA FIRME, EN CONDICIÓN HÚMEDA.</t>
  </si>
  <si>
    <t>ARCILLA DE ALTA PLASTICIDAD, COLOR MARRÓN, CONSISTENCIA FIRME, EN CONDICIÓN HÚMEDA.</t>
  </si>
  <si>
    <t>ARCILLA DE BAJA PLASTICIDAD, COLOR GRIS VERDOSO, CONSISTENCIA BLANDA, EN CONDICIÓN HÚMEDA.</t>
  </si>
  <si>
    <t>ARCILLA, CON ALGO DE ARENA, COLOR MARRÓN OSCURO, CONSISTENCIA BLANDA, EN CONDICIÓN HÚMEDA.</t>
  </si>
  <si>
    <t>LA T-V- ROZO AP3</t>
  </si>
  <si>
    <t>ARCILLA LIMOSA, COLOR MARRÓN, CONSISTENCIA BLANDA, EN CONDICIÓN HÚMEDA.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</si>
</sst>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
    <numFmt numFmtId="165" formatCode="0.000"/>
    <numFmt numFmtId="166" formatCode="[$-200A]d&quot; de &quot;mmmm&quot; de &quot;yyyy;@"/>
    <numFmt numFmtId="167" formatCode="@\ &quot;-&quot;"/>
    <numFmt numFmtId="168" formatCode="0.00&quot; m&quot;"/>
    <numFmt numFmtId="169" formatCode="0.0000"/>
  </numFmts>
  <fonts count="28">
    <font>
      <sz val="11"/>
      <color theme="1"/>
      <name val="Calibri"/>
      <charset val="134"/>
      <scheme val="minor"/>
    </font>
    <font>
      <sz val="12"/>
      <color theme="1"/>
      <name val="Arial"/>
      <family val="2"/>
    </font>
    <font>
      <sz val="11"/>
      <color theme="1"/>
      <name val="Arial"/>
      <family val="2"/>
    </font>
    <font>
      <b/>
      <sz val="12"/>
      <color theme="1"/>
      <name val="Arial"/>
      <family val="2"/>
    </font>
    <font>
      <b/>
      <sz val="14"/>
      <color theme="1"/>
      <name val="Arial"/>
      <family val="2"/>
    </font>
    <font>
      <sz val="12"/>
      <name val="Arial"/>
      <family val="2"/>
    </font>
    <font>
      <b/>
      <sz val="12"/>
      <name val="Arial"/>
      <family val="2"/>
    </font>
    <font>
      <sz val="12"/>
      <color indexed="8"/>
      <name val="Arial"/>
      <family val="2"/>
    </font>
    <font>
      <b/>
      <sz val="16"/>
      <color rgb="FF002060"/>
      <name val="Arial"/>
      <family val="2"/>
    </font>
    <font>
      <b/>
      <sz val="12"/>
      <color rgb="FF002060"/>
      <name val="Arial"/>
      <family val="2"/>
    </font>
    <font>
      <b/>
      <sz val="12"/>
      <color theme="4" tint="-0.249977111117893"/>
      <name val="Arial"/>
      <family val="2"/>
    </font>
    <font>
      <b/>
      <sz val="11"/>
      <color theme="1"/>
      <name val="Arial"/>
      <family val="2"/>
    </font>
    <font>
      <b/>
      <sz val="9"/>
      <color theme="1"/>
      <name val="Arial"/>
      <family val="2"/>
    </font>
    <font>
      <b/>
      <sz val="10"/>
      <color theme="1"/>
      <name val="Arial"/>
      <family val="2"/>
    </font>
    <font>
      <sz val="11"/>
      <color rgb="FFFF0000"/>
      <name val="Arial"/>
      <family val="2"/>
    </font>
    <font>
      <sz val="11"/>
      <name val="Arial"/>
      <family val="2"/>
    </font>
    <font>
      <b/>
      <sz val="14"/>
      <color rgb="FF002060"/>
      <name val="Arial"/>
      <family val="2"/>
    </font>
    <font>
      <b/>
      <sz val="11"/>
      <color rgb="FF002060"/>
      <name val="Arial"/>
      <family val="2"/>
    </font>
    <font>
      <sz val="12"/>
      <color rgb="FFFF0000"/>
      <name val="Arial"/>
      <family val="2"/>
    </font>
    <font>
      <sz val="10"/>
      <name val="Arial"/>
      <family val="2"/>
    </font>
    <font>
      <sz val="9"/>
      <color theme="1"/>
      <name val="Arial"/>
      <family val="2"/>
    </font>
    <font>
      <sz val="12"/>
      <name val="Calibri"/>
      <family val="2"/>
      <scheme val="minor"/>
    </font>
    <font>
      <u/>
      <sz val="11"/>
      <color theme="10"/>
      <name val="Calibri"/>
      <family val="2"/>
      <scheme val="minor"/>
    </font>
    <font>
      <sz val="1"/>
      <color indexed="16"/>
      <name val="Courier"/>
      <charset val="134"/>
    </font>
    <font>
      <sz val="12"/>
      <name val="Calibri"/>
      <family val="2"/>
    </font>
    <font>
      <sz val="9"/>
      <name val="Tahoma"/>
      <family val="2"/>
    </font>
    <font>
      <b/>
      <sz val="9"/>
      <name val="Tahoma"/>
      <family val="2"/>
    </font>
    <font>
      <sz val="11"/>
      <color theme="1"/>
      <name val="Calibri"/>
      <family val="2"/>
      <scheme val="minor"/>
    </font>
  </fonts>
  <fills count="6">
    <fill>
      <patternFill patternType="none"/>
    </fill>
    <fill>
      <patternFill patternType="gray125"/>
    </fill>
    <fill>
      <patternFill patternType="solid">
        <fgColor theme="0"/>
        <bgColor indexed="64"/>
      </patternFill>
    </fill>
    <fill>
      <patternFill patternType="solid">
        <fgColor theme="0" tint="-0.14996795556505021"/>
        <bgColor indexed="64"/>
      </patternFill>
    </fill>
    <fill>
      <patternFill patternType="solid">
        <fgColor theme="0" tint="-4.9989318521683403E-2"/>
        <bgColor indexed="64"/>
      </patternFill>
    </fill>
    <fill>
      <patternFill patternType="solid">
        <fgColor theme="2" tint="-9.9978637043366805E-2"/>
        <bgColor indexed="64"/>
      </patternFill>
    </fill>
  </fills>
  <borders count="55">
    <border>
      <left/>
      <right/>
      <top/>
      <bottom/>
      <diagonal/>
    </border>
    <border>
      <left style="medium">
        <color theme="0" tint="-0.499984740745262"/>
      </left>
      <right/>
      <top style="medium">
        <color theme="0" tint="-0.499984740745262"/>
      </top>
      <bottom/>
      <diagonal/>
    </border>
    <border>
      <left/>
      <right/>
      <top style="medium">
        <color theme="0" tint="-0.499984740745262"/>
      </top>
      <bottom/>
      <diagonal/>
    </border>
    <border>
      <left style="medium">
        <color theme="0" tint="-0.499984740745262"/>
      </left>
      <right/>
      <top/>
      <bottom/>
      <diagonal/>
    </border>
    <border>
      <left style="medium">
        <color theme="0" tint="-0.499984740745262"/>
      </left>
      <right/>
      <top/>
      <bottom style="medium">
        <color theme="0" tint="-0.499984740745262"/>
      </bottom>
      <diagonal/>
    </border>
    <border>
      <left/>
      <right/>
      <top/>
      <bottom style="medium">
        <color theme="0" tint="-0.499984740745262"/>
      </bottom>
      <diagonal/>
    </border>
    <border>
      <left/>
      <right/>
      <top style="medium">
        <color theme="0" tint="-0.499984740745262"/>
      </top>
      <bottom style="thin">
        <color theme="0" tint="-0.499984740745262"/>
      </bottom>
      <diagonal/>
    </border>
    <border>
      <left/>
      <right/>
      <top style="thin">
        <color theme="0" tint="-0.499984740745262"/>
      </top>
      <bottom style="thin">
        <color theme="0" tint="-0.499984740745262"/>
      </bottom>
      <diagonal/>
    </border>
    <border>
      <left/>
      <right/>
      <top/>
      <bottom style="thin">
        <color theme="0" tint="-0.499984740745262"/>
      </bottom>
      <diagonal/>
    </border>
    <border>
      <left style="medium">
        <color theme="0" tint="-0.499984740745262"/>
      </left>
      <right/>
      <top style="medium">
        <color theme="0" tint="-0.499984740745262"/>
      </top>
      <bottom style="medium">
        <color theme="0" tint="-0.499984740745262"/>
      </bottom>
      <diagonal/>
    </border>
    <border>
      <left/>
      <right/>
      <top style="medium">
        <color theme="0" tint="-0.499984740745262"/>
      </top>
      <bottom style="medium">
        <color theme="0" tint="-0.499984740745262"/>
      </bottom>
      <diagonal/>
    </border>
    <border>
      <left/>
      <right style="medium">
        <color theme="0" tint="-0.499984740745262"/>
      </right>
      <top style="medium">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right style="medium">
        <color theme="0" tint="-0.499984740745262"/>
      </right>
      <top style="medium">
        <color theme="0" tint="-0.499984740745262"/>
      </top>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right style="medium">
        <color theme="0" tint="-0.499984740745262"/>
      </right>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top style="medium">
        <color theme="0" tint="-0.499984740745262"/>
      </top>
      <bottom style="thin">
        <color theme="0" tint="-0.499984740745262"/>
      </bottom>
      <diagonal/>
    </border>
    <border>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medium">
        <color theme="0" tint="-0.499984740745262"/>
      </top>
      <bottom style="medium">
        <color theme="0" tint="-0.499984740745262"/>
      </bottom>
      <diagonal/>
    </border>
    <border>
      <left/>
      <right style="medium">
        <color theme="0" tint="-0.499984740745262"/>
      </right>
      <top style="thin">
        <color theme="0" tint="-0.499984740745262"/>
      </top>
      <bottom style="thin">
        <color theme="0" tint="-0.499984740745262"/>
      </bottom>
      <diagonal/>
    </border>
    <border>
      <left style="medium">
        <color theme="0" tint="-0.499984740745262"/>
      </left>
      <right/>
      <top style="medium">
        <color theme="0" tint="-0.499984740745262"/>
      </top>
      <bottom style="thin">
        <color theme="0" tint="-0.499984740745262"/>
      </bottom>
      <diagonal/>
    </border>
    <border>
      <left style="thin">
        <color theme="0" tint="-0.499984740745262"/>
      </left>
      <right/>
      <top style="thin">
        <color theme="0" tint="-0.499984740745262"/>
      </top>
      <bottom style="medium">
        <color theme="0" tint="-0.499984740745262"/>
      </bottom>
      <diagonal/>
    </border>
    <border>
      <left/>
      <right style="medium">
        <color theme="0" tint="-0.499984740745262"/>
      </right>
      <top style="thin">
        <color theme="0" tint="-0.499984740745262"/>
      </top>
      <bottom style="medium">
        <color theme="0" tint="-0.499984740745262"/>
      </bottom>
      <diagonal/>
    </border>
    <border>
      <left style="medium">
        <color theme="0" tint="-0.499984740745262"/>
      </left>
      <right/>
      <top style="thin">
        <color theme="0" tint="-0.499984740745262"/>
      </top>
      <bottom style="medium">
        <color theme="0" tint="-0.499984740745262"/>
      </bottom>
      <diagonal/>
    </border>
    <border>
      <left/>
      <right/>
      <top/>
      <bottom style="thin">
        <color auto="1"/>
      </bottom>
      <diagonal/>
    </border>
    <border>
      <left/>
      <right/>
      <top style="thin">
        <color auto="1"/>
      </top>
      <bottom/>
      <diagonal/>
    </border>
    <border>
      <left style="medium">
        <color theme="0" tint="-0.499984740745262"/>
      </left>
      <right/>
      <top style="thin">
        <color theme="0" tint="-0.499984740745262"/>
      </top>
      <bottom style="thin">
        <color theme="0" tint="-0.499984740745262"/>
      </bottom>
      <diagonal/>
    </border>
    <border>
      <left/>
      <right style="medium">
        <color theme="0" tint="-0.499984740745262"/>
      </right>
      <top/>
      <bottom style="medium">
        <color theme="0" tint="-0.499984740745262"/>
      </bottom>
      <diagonal/>
    </border>
    <border>
      <left/>
      <right style="medium">
        <color theme="0" tint="-0.499984740745262"/>
      </right>
      <top/>
      <bottom/>
      <diagonal/>
    </border>
    <border>
      <left style="thin">
        <color theme="0" tint="-0.499984740745262"/>
      </left>
      <right/>
      <top/>
      <bottom style="thin">
        <color theme="0" tint="-0.499984740745262"/>
      </bottom>
      <diagonal/>
    </border>
    <border>
      <left style="thin">
        <color theme="0" tint="-0.499984740745262"/>
      </left>
      <right style="medium">
        <color theme="0" tint="-0.499984740745262"/>
      </right>
      <top style="medium">
        <color theme="0" tint="-0.499984740745262"/>
      </top>
      <bottom style="medium">
        <color theme="0" tint="-0.499984740745262"/>
      </bottom>
      <diagonal/>
    </border>
    <border>
      <left style="medium">
        <color theme="0" tint="-0.499984740745262"/>
      </left>
      <right style="medium">
        <color theme="0" tint="-0.499984740745262"/>
      </right>
      <top style="medium">
        <color theme="0" tint="-0.499984740745262"/>
      </top>
      <bottom style="medium">
        <color theme="0" tint="-0.499984740745262"/>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right/>
      <top style="thin">
        <color theme="0" tint="-0.499984740745262"/>
      </top>
      <bottom style="medium">
        <color theme="0" tint="-0.499984740745262"/>
      </bottom>
      <diagonal/>
    </border>
    <border>
      <left/>
      <right style="medium">
        <color theme="0" tint="-0.499984740745262"/>
      </right>
      <top style="thin">
        <color auto="1"/>
      </top>
      <bottom/>
      <diagonal/>
    </border>
    <border>
      <left/>
      <right style="thin">
        <color theme="0" tint="-0.499984740745262"/>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right style="thin">
        <color theme="0" tint="-0.499984740745262"/>
      </right>
      <top style="thin">
        <color theme="0" tint="-0.499984740745262"/>
      </top>
      <bottom style="medium">
        <color theme="0" tint="-0.499984740745262"/>
      </bottom>
      <diagonal/>
    </border>
    <border>
      <left style="medium">
        <color theme="0" tint="-0.499984740745262"/>
      </left>
      <right/>
      <top/>
      <bottom style="thin">
        <color theme="0" tint="-0.499984740745262"/>
      </bottom>
      <diagonal/>
    </border>
    <border>
      <left style="thin">
        <color theme="0" tint="-0.499984740745262"/>
      </left>
      <right style="medium">
        <color theme="0" tint="-0.499984740745262"/>
      </right>
      <top/>
      <bottom style="thin">
        <color theme="0" tint="-0.499984740745262"/>
      </bottom>
      <diagonal/>
    </border>
    <border>
      <left style="thin">
        <color theme="0" tint="-0.499984740745262"/>
      </left>
      <right style="thin">
        <color theme="0" tint="-0.499984740745262"/>
      </right>
      <top style="medium">
        <color theme="0" tint="-0.499984740745262"/>
      </top>
      <bottom/>
      <diagonal/>
    </border>
    <border>
      <left style="thin">
        <color theme="0" tint="-0.499984740745262"/>
      </left>
      <right style="medium">
        <color theme="0" tint="-0.499984740745262"/>
      </right>
      <top style="medium">
        <color theme="0" tint="-0.499984740745262"/>
      </top>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style="thin">
        <color theme="0" tint="-0.499984740745262"/>
      </right>
      <top/>
      <bottom style="medium">
        <color theme="0" tint="-0.499984740745262"/>
      </bottom>
      <diagonal/>
    </border>
  </borders>
  <cellStyleXfs count="7">
    <xf numFmtId="0" fontId="0" fillId="0" borderId="0"/>
    <xf numFmtId="0" fontId="22" fillId="0" borderId="0" applyNumberFormat="0" applyFill="0" applyBorder="0" applyAlignment="0" applyProtection="0"/>
    <xf numFmtId="164" fontId="23" fillId="0" borderId="0">
      <protection locked="0"/>
    </xf>
    <xf numFmtId="0" fontId="19" fillId="0" borderId="0"/>
    <xf numFmtId="0" fontId="19" fillId="0" borderId="0"/>
    <xf numFmtId="0" fontId="19" fillId="0" borderId="0"/>
    <xf numFmtId="0" fontId="27" fillId="0" borderId="0"/>
  </cellStyleXfs>
  <cellXfs count="284">
    <xf numFmtId="0" fontId="0" fillId="0" borderId="0" xfId="0"/>
    <xf numFmtId="0" fontId="1" fillId="0" borderId="0" xfId="6" applyFont="1" applyAlignment="1" applyProtection="1">
      <alignment vertical="center"/>
      <protection locked="0"/>
    </xf>
    <xf numFmtId="0" fontId="2" fillId="2" borderId="0" xfId="0" applyFont="1" applyFill="1" applyAlignment="1">
      <alignment vertical="center"/>
    </xf>
    <xf numFmtId="0" fontId="2" fillId="0" borderId="0" xfId="0" applyFont="1" applyAlignment="1">
      <alignment vertical="center"/>
    </xf>
    <xf numFmtId="0" fontId="1" fillId="0" borderId="0" xfId="6" applyFont="1" applyAlignment="1" applyProtection="1">
      <alignment horizontal="center" vertical="center"/>
      <protection hidden="1"/>
    </xf>
    <xf numFmtId="0" fontId="1" fillId="0" borderId="3" xfId="6" applyFont="1" applyBorder="1" applyAlignment="1" applyProtection="1">
      <alignment vertical="center"/>
      <protection hidden="1"/>
    </xf>
    <xf numFmtId="0" fontId="1" fillId="0" borderId="1" xfId="6" applyFont="1" applyBorder="1" applyAlignment="1" applyProtection="1">
      <alignment vertical="center"/>
      <protection hidden="1"/>
    </xf>
    <xf numFmtId="0" fontId="3" fillId="2" borderId="2" xfId="6" applyFont="1" applyFill="1" applyBorder="1" applyAlignment="1" applyProtection="1">
      <alignment horizontal="left" vertical="center"/>
      <protection hidden="1"/>
    </xf>
    <xf numFmtId="0" fontId="1" fillId="2" borderId="6" xfId="6" applyFont="1" applyFill="1" applyBorder="1" applyAlignment="1" applyProtection="1">
      <alignment horizontal="center" vertical="center"/>
      <protection locked="0"/>
    </xf>
    <xf numFmtId="0" fontId="3" fillId="2" borderId="0" xfId="6" applyFont="1" applyFill="1" applyAlignment="1" applyProtection="1">
      <alignment horizontal="left" vertical="center"/>
      <protection hidden="1"/>
    </xf>
    <xf numFmtId="0" fontId="6" fillId="0" borderId="0" xfId="6" applyFont="1" applyAlignment="1" applyProtection="1">
      <alignment horizontal="left" vertical="center"/>
      <protection hidden="1"/>
    </xf>
    <xf numFmtId="0" fontId="1" fillId="0" borderId="4" xfId="6" applyFont="1" applyBorder="1" applyAlignment="1" applyProtection="1">
      <alignment vertical="center"/>
      <protection hidden="1"/>
    </xf>
    <xf numFmtId="49" fontId="1" fillId="2" borderId="6" xfId="6" applyNumberFormat="1" applyFont="1" applyFill="1" applyBorder="1" applyAlignment="1" applyProtection="1">
      <alignment horizontal="right" vertical="center"/>
      <protection locked="0"/>
    </xf>
    <xf numFmtId="0" fontId="1" fillId="2" borderId="6" xfId="6" applyFont="1" applyFill="1" applyBorder="1" applyAlignment="1" applyProtection="1">
      <alignment horizontal="left" vertical="center"/>
      <protection locked="0"/>
    </xf>
    <xf numFmtId="0" fontId="3" fillId="2" borderId="2" xfId="6" applyFont="1" applyFill="1" applyBorder="1" applyAlignment="1" applyProtection="1">
      <alignment vertical="center"/>
      <protection hidden="1"/>
    </xf>
    <xf numFmtId="0" fontId="3" fillId="2" borderId="5" xfId="6" applyFont="1" applyFill="1" applyBorder="1" applyAlignment="1" applyProtection="1">
      <alignment horizontal="left" vertical="center"/>
      <protection hidden="1"/>
    </xf>
    <xf numFmtId="0" fontId="1" fillId="2" borderId="5" xfId="6" applyFont="1" applyFill="1" applyBorder="1" applyAlignment="1" applyProtection="1">
      <alignment horizontal="left" vertical="center"/>
      <protection hidden="1"/>
    </xf>
    <xf numFmtId="0" fontId="2" fillId="0" borderId="3" xfId="0" applyFont="1" applyBorder="1" applyAlignment="1" applyProtection="1">
      <alignment vertical="center"/>
      <protection hidden="1"/>
    </xf>
    <xf numFmtId="0" fontId="2" fillId="0" borderId="0" xfId="0" applyFont="1" applyAlignment="1" applyProtection="1">
      <alignment vertical="center"/>
      <protection hidden="1"/>
    </xf>
    <xf numFmtId="0" fontId="8" fillId="0" borderId="0" xfId="0" applyFont="1" applyAlignment="1" applyProtection="1">
      <alignment horizontal="center" vertical="center"/>
      <protection hidden="1"/>
    </xf>
    <xf numFmtId="0" fontId="9" fillId="0" borderId="0" xfId="0" applyFont="1" applyAlignment="1" applyProtection="1">
      <alignment vertical="center"/>
      <protection hidden="1"/>
    </xf>
    <xf numFmtId="0" fontId="1" fillId="2" borderId="12" xfId="0" applyFont="1" applyFill="1" applyBorder="1" applyAlignment="1" applyProtection="1">
      <alignment horizontal="center" vertical="center"/>
      <protection hidden="1"/>
    </xf>
    <xf numFmtId="0" fontId="9" fillId="2" borderId="13" xfId="0" applyFont="1" applyFill="1" applyBorder="1" applyAlignment="1" applyProtection="1">
      <alignment horizontal="center" vertical="center" wrapText="1"/>
      <protection hidden="1"/>
    </xf>
    <xf numFmtId="2" fontId="9" fillId="2" borderId="14" xfId="0" applyNumberFormat="1" applyFont="1" applyFill="1" applyBorder="1" applyAlignment="1" applyProtection="1">
      <alignment horizontal="center" vertical="center" wrapText="1"/>
      <protection hidden="1"/>
    </xf>
    <xf numFmtId="2" fontId="10" fillId="0" borderId="0" xfId="0" applyNumberFormat="1" applyFont="1" applyAlignment="1" applyProtection="1">
      <alignment horizontal="center" vertical="center"/>
      <protection hidden="1"/>
    </xf>
    <xf numFmtId="0" fontId="1" fillId="2" borderId="17" xfId="0" applyFont="1" applyFill="1" applyBorder="1" applyAlignment="1" applyProtection="1">
      <alignment horizontal="center" vertical="center"/>
      <protection hidden="1"/>
    </xf>
    <xf numFmtId="0" fontId="6" fillId="0" borderId="17" xfId="0" applyFont="1" applyBorder="1" applyAlignment="1" applyProtection="1">
      <alignment horizontal="center" vertical="center"/>
      <protection locked="0"/>
    </xf>
    <xf numFmtId="0" fontId="6" fillId="0" borderId="18" xfId="0" applyFont="1" applyBorder="1" applyAlignment="1" applyProtection="1">
      <alignment horizontal="center" vertical="center"/>
      <protection hidden="1"/>
    </xf>
    <xf numFmtId="0" fontId="6" fillId="0" borderId="0" xfId="0" applyFont="1" applyAlignment="1" applyProtection="1">
      <alignment horizontal="center" vertical="center"/>
      <protection hidden="1"/>
    </xf>
    <xf numFmtId="0" fontId="5" fillId="0" borderId="17" xfId="0" applyFont="1" applyBorder="1" applyAlignment="1" applyProtection="1">
      <alignment horizontal="center" vertical="center"/>
      <protection locked="0"/>
    </xf>
    <xf numFmtId="0" fontId="5" fillId="0" borderId="18" xfId="0" applyFont="1" applyBorder="1" applyAlignment="1" applyProtection="1">
      <alignment horizontal="center" vertical="center"/>
      <protection hidden="1"/>
    </xf>
    <xf numFmtId="0" fontId="5" fillId="0" borderId="0" xfId="0" applyFont="1" applyAlignment="1" applyProtection="1">
      <alignment horizontal="center" vertical="center"/>
      <protection hidden="1"/>
    </xf>
    <xf numFmtId="0" fontId="9" fillId="2" borderId="20" xfId="0" applyFont="1" applyFill="1" applyBorder="1" applyAlignment="1" applyProtection="1">
      <alignment horizontal="center" vertical="center"/>
      <protection hidden="1"/>
    </xf>
    <xf numFmtId="165" fontId="1" fillId="2" borderId="20" xfId="0" applyNumberFormat="1" applyFont="1" applyFill="1" applyBorder="1" applyAlignment="1" applyProtection="1">
      <alignment horizontal="center" vertical="center"/>
      <protection hidden="1"/>
    </xf>
    <xf numFmtId="2" fontId="5" fillId="2" borderId="17" xfId="0" applyNumberFormat="1" applyFont="1" applyFill="1" applyBorder="1" applyAlignment="1" applyProtection="1">
      <alignment horizontal="center" vertical="center"/>
      <protection hidden="1"/>
    </xf>
    <xf numFmtId="1" fontId="1" fillId="0" borderId="17" xfId="0" applyNumberFormat="1" applyFont="1" applyBorder="1" applyAlignment="1" applyProtection="1">
      <alignment horizontal="center" vertical="center"/>
      <protection locked="0"/>
    </xf>
    <xf numFmtId="0" fontId="5" fillId="0" borderId="18" xfId="0" applyFont="1" applyBorder="1" applyAlignment="1" applyProtection="1">
      <alignment horizontal="center" vertical="center"/>
      <protection locked="0"/>
    </xf>
    <xf numFmtId="1" fontId="5" fillId="0" borderId="18" xfId="0" applyNumberFormat="1" applyFont="1" applyBorder="1" applyAlignment="1" applyProtection="1">
      <alignment horizontal="center" vertical="center"/>
      <protection hidden="1"/>
    </xf>
    <xf numFmtId="1" fontId="5" fillId="0" borderId="0" xfId="0" applyNumberFormat="1" applyFont="1" applyAlignment="1" applyProtection="1">
      <alignment horizontal="center" vertical="center"/>
      <protection hidden="1"/>
    </xf>
    <xf numFmtId="1" fontId="1" fillId="0" borderId="17" xfId="0" applyNumberFormat="1" applyFont="1" applyBorder="1" applyAlignment="1" applyProtection="1">
      <alignment horizontal="center" vertical="center"/>
      <protection hidden="1"/>
    </xf>
    <xf numFmtId="1" fontId="1" fillId="0" borderId="18" xfId="0" applyNumberFormat="1" applyFont="1" applyBorder="1" applyAlignment="1" applyProtection="1">
      <alignment horizontal="center" vertical="center"/>
      <protection hidden="1"/>
    </xf>
    <xf numFmtId="1" fontId="1" fillId="0" borderId="0" xfId="0" applyNumberFormat="1" applyFont="1" applyAlignment="1" applyProtection="1">
      <alignment horizontal="center" vertical="center"/>
      <protection hidden="1"/>
    </xf>
    <xf numFmtId="2" fontId="1" fillId="0" borderId="17" xfId="0" applyNumberFormat="1" applyFont="1" applyBorder="1" applyAlignment="1" applyProtection="1">
      <alignment horizontal="center" vertical="center"/>
      <protection hidden="1"/>
    </xf>
    <xf numFmtId="2" fontId="1" fillId="0" borderId="18" xfId="0" applyNumberFormat="1" applyFont="1" applyBorder="1" applyAlignment="1" applyProtection="1">
      <alignment horizontal="center" vertical="center"/>
      <protection hidden="1"/>
    </xf>
    <xf numFmtId="0" fontId="10" fillId="0" borderId="0" xfId="0" applyFont="1" applyAlignment="1" applyProtection="1">
      <alignment horizontal="center" vertical="center"/>
      <protection hidden="1"/>
    </xf>
    <xf numFmtId="165" fontId="1" fillId="4" borderId="20" xfId="0" applyNumberFormat="1" applyFont="1" applyFill="1" applyBorder="1" applyAlignment="1" applyProtection="1">
      <alignment horizontal="center" vertical="center"/>
      <protection hidden="1"/>
    </xf>
    <xf numFmtId="2" fontId="5" fillId="2" borderId="22" xfId="0" applyNumberFormat="1" applyFont="1" applyFill="1" applyBorder="1" applyAlignment="1" applyProtection="1">
      <alignment horizontal="center" vertical="center"/>
      <protection hidden="1"/>
    </xf>
    <xf numFmtId="2" fontId="1" fillId="2" borderId="22" xfId="0" applyNumberFormat="1" applyFont="1" applyFill="1" applyBorder="1" applyAlignment="1" applyProtection="1">
      <alignment horizontal="center" vertical="center"/>
      <protection hidden="1"/>
    </xf>
    <xf numFmtId="2" fontId="1" fillId="2" borderId="23" xfId="0" applyNumberFormat="1" applyFont="1" applyFill="1" applyBorder="1" applyAlignment="1" applyProtection="1">
      <alignment horizontal="center" vertical="center"/>
      <protection hidden="1"/>
    </xf>
    <xf numFmtId="2" fontId="1" fillId="0" borderId="0" xfId="0" applyNumberFormat="1" applyFont="1" applyAlignment="1" applyProtection="1">
      <alignment horizontal="center" vertical="center"/>
      <protection hidden="1"/>
    </xf>
    <xf numFmtId="2" fontId="5" fillId="2" borderId="13" xfId="0" applyNumberFormat="1" applyFont="1" applyFill="1" applyBorder="1" applyAlignment="1" applyProtection="1">
      <alignment horizontal="center" vertical="center"/>
      <protection hidden="1"/>
    </xf>
    <xf numFmtId="1" fontId="1" fillId="0" borderId="13" xfId="0" applyNumberFormat="1" applyFont="1" applyBorder="1" applyAlignment="1" applyProtection="1">
      <alignment horizontal="center" vertical="center"/>
      <protection locked="0"/>
    </xf>
    <xf numFmtId="1" fontId="1" fillId="0" borderId="14" xfId="0" applyNumberFormat="1" applyFont="1" applyBorder="1" applyAlignment="1" applyProtection="1">
      <alignment horizontal="center" vertical="center"/>
      <protection locked="0"/>
    </xf>
    <xf numFmtId="2" fontId="1" fillId="0" borderId="17" xfId="0" applyNumberFormat="1" applyFont="1" applyBorder="1" applyAlignment="1" applyProtection="1">
      <alignment horizontal="center" vertical="center"/>
      <protection locked="0"/>
    </xf>
    <xf numFmtId="2" fontId="1" fillId="0" borderId="18" xfId="0" applyNumberFormat="1" applyFont="1" applyBorder="1" applyAlignment="1" applyProtection="1">
      <alignment horizontal="center" vertical="center"/>
      <protection locked="0"/>
    </xf>
    <xf numFmtId="0" fontId="1" fillId="2" borderId="3" xfId="0" applyFont="1" applyFill="1" applyBorder="1" applyAlignment="1" applyProtection="1">
      <alignment horizontal="left" vertical="center"/>
      <protection hidden="1"/>
    </xf>
    <xf numFmtId="0" fontId="1" fillId="2" borderId="0" xfId="0" applyFont="1" applyFill="1" applyAlignment="1" applyProtection="1">
      <alignment horizontal="left" vertical="center"/>
      <protection hidden="1"/>
    </xf>
    <xf numFmtId="0" fontId="1" fillId="2" borderId="0" xfId="0" applyFont="1" applyFill="1" applyAlignment="1" applyProtection="1">
      <alignment horizontal="center" vertical="center"/>
      <protection hidden="1"/>
    </xf>
    <xf numFmtId="0" fontId="1" fillId="2" borderId="0" xfId="0" applyFont="1" applyFill="1" applyAlignment="1" applyProtection="1">
      <alignment vertical="center"/>
      <protection hidden="1"/>
    </xf>
    <xf numFmtId="2" fontId="1" fillId="2" borderId="0" xfId="0" applyNumberFormat="1" applyFont="1" applyFill="1" applyAlignment="1" applyProtection="1">
      <alignment horizontal="center" vertical="center"/>
      <protection hidden="1"/>
    </xf>
    <xf numFmtId="0" fontId="9" fillId="0" borderId="0" xfId="0" applyFont="1" applyAlignment="1" applyProtection="1">
      <alignment horizontal="center" vertical="center"/>
      <protection hidden="1"/>
    </xf>
    <xf numFmtId="0" fontId="5" fillId="0" borderId="25" xfId="0" applyFont="1" applyBorder="1" applyAlignment="1" applyProtection="1">
      <alignment horizontal="center" vertical="center"/>
      <protection hidden="1"/>
    </xf>
    <xf numFmtId="0" fontId="1" fillId="0" borderId="0" xfId="0" applyFont="1" applyAlignment="1" applyProtection="1">
      <alignment vertical="center"/>
      <protection hidden="1"/>
    </xf>
    <xf numFmtId="0" fontId="9" fillId="2" borderId="28" xfId="0" applyFont="1" applyFill="1" applyBorder="1" applyAlignment="1" applyProtection="1">
      <alignment horizontal="center" vertical="center"/>
      <protection hidden="1"/>
    </xf>
    <xf numFmtId="0" fontId="5" fillId="0" borderId="17" xfId="0" applyFont="1" applyBorder="1" applyAlignment="1" applyProtection="1">
      <alignment horizontal="center" vertical="center"/>
      <protection hidden="1"/>
    </xf>
    <xf numFmtId="0" fontId="5" fillId="0" borderId="17" xfId="0" applyFont="1" applyBorder="1" applyAlignment="1" applyProtection="1">
      <alignment horizontal="center" vertical="center" wrapText="1"/>
      <protection hidden="1"/>
    </xf>
    <xf numFmtId="0" fontId="1" fillId="0" borderId="30" xfId="0" applyFont="1" applyBorder="1" applyAlignment="1" applyProtection="1">
      <alignment vertical="center"/>
      <protection hidden="1"/>
    </xf>
    <xf numFmtId="0" fontId="5" fillId="0" borderId="22" xfId="0" applyFont="1" applyBorder="1" applyAlignment="1" applyProtection="1">
      <alignment horizontal="center" vertical="center"/>
      <protection hidden="1"/>
    </xf>
    <xf numFmtId="2" fontId="6" fillId="0" borderId="0" xfId="0" applyNumberFormat="1" applyFont="1" applyAlignment="1" applyProtection="1">
      <alignment horizontal="center" vertical="center"/>
      <protection hidden="1"/>
    </xf>
    <xf numFmtId="0" fontId="2" fillId="0" borderId="33" xfId="0" applyFont="1" applyBorder="1" applyAlignment="1" applyProtection="1">
      <alignment vertical="center"/>
      <protection hidden="1"/>
    </xf>
    <xf numFmtId="0" fontId="1" fillId="2" borderId="3" xfId="0" applyFont="1" applyFill="1" applyBorder="1" applyAlignment="1" applyProtection="1">
      <alignment vertical="center"/>
      <protection hidden="1"/>
    </xf>
    <xf numFmtId="165" fontId="1" fillId="2" borderId="0" xfId="0" applyNumberFormat="1" applyFont="1" applyFill="1" applyAlignment="1" applyProtection="1">
      <alignment horizontal="center" vertical="center"/>
      <protection hidden="1"/>
    </xf>
    <xf numFmtId="0" fontId="1" fillId="2" borderId="1" xfId="0" applyFont="1" applyFill="1" applyBorder="1" applyAlignment="1" applyProtection="1">
      <alignment vertical="center"/>
      <protection hidden="1"/>
    </xf>
    <xf numFmtId="0" fontId="1" fillId="2" borderId="0" xfId="0" applyFont="1" applyFill="1" applyAlignment="1" applyProtection="1">
      <alignment horizontal="center" vertical="center" textRotation="90" wrapText="1"/>
      <protection hidden="1"/>
    </xf>
    <xf numFmtId="0" fontId="1" fillId="2" borderId="21" xfId="0" applyFont="1" applyFill="1" applyBorder="1" applyAlignment="1" applyProtection="1">
      <alignment horizontal="center" vertical="center"/>
      <protection hidden="1"/>
    </xf>
    <xf numFmtId="165" fontId="1" fillId="2" borderId="0" xfId="0" applyNumberFormat="1" applyFont="1" applyFill="1" applyAlignment="1" applyProtection="1">
      <alignment horizontal="left" vertical="center"/>
      <protection hidden="1"/>
    </xf>
    <xf numFmtId="2" fontId="5" fillId="2" borderId="0" xfId="0" applyNumberFormat="1" applyFont="1" applyFill="1" applyAlignment="1" applyProtection="1">
      <alignment horizontal="center" vertical="center"/>
      <protection hidden="1"/>
    </xf>
    <xf numFmtId="0" fontId="2" fillId="0" borderId="0" xfId="6" applyFont="1" applyAlignment="1" applyProtection="1">
      <alignment vertical="center"/>
      <protection hidden="1"/>
    </xf>
    <xf numFmtId="0" fontId="11" fillId="0" borderId="34" xfId="6" applyFont="1" applyBorder="1" applyAlignment="1" applyProtection="1">
      <alignment vertical="center"/>
      <protection locked="0" hidden="1"/>
    </xf>
    <xf numFmtId="2" fontId="15" fillId="2" borderId="0" xfId="0" applyNumberFormat="1" applyFont="1" applyFill="1" applyAlignment="1">
      <alignment horizontal="center" vertical="center"/>
    </xf>
    <xf numFmtId="0" fontId="1" fillId="0" borderId="0" xfId="6" applyFont="1" applyAlignment="1" applyProtection="1">
      <alignment horizontal="center" vertical="center"/>
      <protection locked="0"/>
    </xf>
    <xf numFmtId="0" fontId="1" fillId="0" borderId="37" xfId="6" applyFont="1" applyBorder="1" applyAlignment="1" applyProtection="1">
      <alignment vertical="center"/>
      <protection hidden="1"/>
    </xf>
    <xf numFmtId="166" fontId="1" fillId="2" borderId="8" xfId="6" applyNumberFormat="1" applyFont="1" applyFill="1" applyBorder="1" applyAlignment="1" applyProtection="1">
      <alignment horizontal="right" vertical="center"/>
      <protection hidden="1"/>
    </xf>
    <xf numFmtId="167" fontId="1" fillId="2" borderId="7" xfId="6" applyNumberFormat="1" applyFont="1" applyFill="1" applyBorder="1" applyAlignment="1" applyProtection="1">
      <alignment horizontal="center" vertical="center"/>
      <protection locked="0"/>
    </xf>
    <xf numFmtId="49" fontId="1" fillId="2" borderId="29" xfId="6" applyNumberFormat="1" applyFont="1" applyFill="1" applyBorder="1" applyAlignment="1" applyProtection="1">
      <alignment vertical="center"/>
      <protection locked="0"/>
    </xf>
    <xf numFmtId="0" fontId="1" fillId="2" borderId="37" xfId="6" applyFont="1" applyFill="1" applyBorder="1" applyAlignment="1" applyProtection="1">
      <alignment vertical="center"/>
      <protection hidden="1"/>
    </xf>
    <xf numFmtId="168" fontId="1" fillId="2" borderId="6" xfId="6" applyNumberFormat="1" applyFont="1" applyFill="1" applyBorder="1" applyAlignment="1" applyProtection="1">
      <alignment horizontal="right" vertical="center"/>
      <protection locked="0"/>
    </xf>
    <xf numFmtId="168" fontId="1" fillId="2" borderId="6" xfId="6" applyNumberFormat="1" applyFont="1" applyFill="1" applyBorder="1" applyAlignment="1" applyProtection="1">
      <alignment horizontal="center" vertical="center"/>
      <protection hidden="1"/>
    </xf>
    <xf numFmtId="168" fontId="1" fillId="2" borderId="27" xfId="6" applyNumberFormat="1" applyFont="1" applyFill="1" applyBorder="1" applyAlignment="1" applyProtection="1">
      <alignment horizontal="left" vertical="center"/>
      <protection locked="0"/>
    </xf>
    <xf numFmtId="0" fontId="1" fillId="2" borderId="37" xfId="6" applyFont="1" applyFill="1" applyBorder="1" applyAlignment="1" applyProtection="1">
      <alignment horizontal="left" vertical="center"/>
      <protection hidden="1"/>
    </xf>
    <xf numFmtId="0" fontId="2" fillId="0" borderId="38" xfId="0" applyFont="1" applyBorder="1" applyAlignment="1" applyProtection="1">
      <alignment vertical="center"/>
      <protection hidden="1"/>
    </xf>
    <xf numFmtId="0" fontId="8" fillId="0" borderId="38" xfId="0" applyFont="1" applyBorder="1" applyAlignment="1" applyProtection="1">
      <alignment horizontal="center" vertical="center"/>
      <protection hidden="1"/>
    </xf>
    <xf numFmtId="0" fontId="2" fillId="2" borderId="0" xfId="0" applyFont="1" applyFill="1" applyAlignment="1">
      <alignment horizontal="center" vertical="center"/>
    </xf>
    <xf numFmtId="0" fontId="9" fillId="2" borderId="24" xfId="0" applyFont="1" applyFill="1" applyBorder="1" applyAlignment="1" applyProtection="1">
      <alignment horizontal="center" vertical="center"/>
      <protection hidden="1"/>
    </xf>
    <xf numFmtId="0" fontId="9" fillId="2" borderId="39" xfId="0" applyFont="1" applyFill="1" applyBorder="1" applyAlignment="1" applyProtection="1">
      <alignment horizontal="center" vertical="center"/>
      <protection hidden="1"/>
    </xf>
    <xf numFmtId="0" fontId="9" fillId="2" borderId="12" xfId="0" applyFont="1" applyFill="1" applyBorder="1" applyAlignment="1" applyProtection="1">
      <alignment horizontal="center" vertical="center"/>
      <protection hidden="1"/>
    </xf>
    <xf numFmtId="0" fontId="9" fillId="2" borderId="16" xfId="0" applyFont="1" applyFill="1" applyBorder="1" applyAlignment="1" applyProtection="1">
      <alignment horizontal="center" vertical="center"/>
      <protection hidden="1"/>
    </xf>
    <xf numFmtId="165" fontId="2" fillId="2" borderId="0" xfId="0" applyNumberFormat="1" applyFont="1" applyFill="1" applyAlignment="1">
      <alignment horizontal="center" vertical="center"/>
    </xf>
    <xf numFmtId="165" fontId="1" fillId="0" borderId="16" xfId="0" applyNumberFormat="1" applyFont="1" applyBorder="1" applyAlignment="1" applyProtection="1">
      <alignment horizontal="center" vertical="center"/>
      <protection locked="0"/>
    </xf>
    <xf numFmtId="0" fontId="1" fillId="2" borderId="38" xfId="0" applyFont="1" applyFill="1" applyBorder="1" applyAlignment="1" applyProtection="1">
      <alignment vertical="center"/>
      <protection hidden="1"/>
    </xf>
    <xf numFmtId="2" fontId="1" fillId="2" borderId="38" xfId="0" applyNumberFormat="1" applyFont="1" applyFill="1" applyBorder="1" applyAlignment="1" applyProtection="1">
      <alignment horizontal="center" vertical="center"/>
      <protection hidden="1"/>
    </xf>
    <xf numFmtId="0" fontId="1" fillId="0" borderId="40" xfId="0" applyFont="1" applyBorder="1" applyAlignment="1" applyProtection="1">
      <alignment horizontal="center" vertical="center"/>
      <protection locked="0"/>
    </xf>
    <xf numFmtId="0" fontId="1" fillId="2" borderId="40" xfId="0" applyFont="1" applyFill="1" applyBorder="1" applyAlignment="1" applyProtection="1">
      <alignment horizontal="center" vertical="center"/>
      <protection hidden="1"/>
    </xf>
    <xf numFmtId="0" fontId="1" fillId="0" borderId="26" xfId="0" applyFont="1" applyBorder="1" applyAlignment="1" applyProtection="1">
      <alignment horizontal="center" vertical="center"/>
      <protection hidden="1"/>
    </xf>
    <xf numFmtId="0" fontId="1" fillId="0" borderId="31" xfId="0" applyFont="1" applyBorder="1" applyAlignment="1" applyProtection="1">
      <alignment horizontal="center" vertical="center"/>
      <protection hidden="1"/>
    </xf>
    <xf numFmtId="0" fontId="16" fillId="5" borderId="10" xfId="0" applyFont="1" applyFill="1" applyBorder="1" applyAlignment="1" applyProtection="1">
      <alignment vertical="center"/>
      <protection hidden="1"/>
    </xf>
    <xf numFmtId="0" fontId="1" fillId="2" borderId="2" xfId="0" applyFont="1" applyFill="1" applyBorder="1" applyAlignment="1" applyProtection="1">
      <alignment vertical="center"/>
      <protection hidden="1"/>
    </xf>
    <xf numFmtId="0" fontId="9" fillId="3" borderId="41" xfId="0" applyFont="1" applyFill="1" applyBorder="1" applyAlignment="1" applyProtection="1">
      <alignment horizontal="center" vertical="center" wrapText="1"/>
      <protection hidden="1"/>
    </xf>
    <xf numFmtId="0" fontId="9" fillId="0" borderId="38" xfId="0" applyFont="1" applyBorder="1" applyAlignment="1" applyProtection="1">
      <alignment vertical="center"/>
      <protection hidden="1"/>
    </xf>
    <xf numFmtId="0" fontId="1" fillId="0" borderId="8" xfId="0" applyFont="1" applyBorder="1" applyAlignment="1" applyProtection="1">
      <alignment vertical="center"/>
      <protection hidden="1"/>
    </xf>
    <xf numFmtId="0" fontId="1" fillId="2" borderId="26" xfId="0" applyFont="1" applyFill="1" applyBorder="1" applyAlignment="1" applyProtection="1">
      <alignment horizontal="center" vertical="center"/>
      <protection hidden="1"/>
    </xf>
    <xf numFmtId="165" fontId="1" fillId="2" borderId="30" xfId="0" applyNumberFormat="1" applyFont="1" applyFill="1" applyBorder="1" applyAlignment="1" applyProtection="1">
      <alignment horizontal="center" vertical="center"/>
      <protection hidden="1"/>
    </xf>
    <xf numFmtId="165" fontId="1" fillId="2" borderId="42" xfId="0" applyNumberFormat="1" applyFont="1" applyFill="1" applyBorder="1" applyAlignment="1" applyProtection="1">
      <alignment horizontal="center" vertical="center"/>
      <protection hidden="1"/>
    </xf>
    <xf numFmtId="0" fontId="1" fillId="0" borderId="7" xfId="0" applyFont="1" applyBorder="1" applyAlignment="1" applyProtection="1">
      <alignment vertical="center"/>
      <protection hidden="1"/>
    </xf>
    <xf numFmtId="0" fontId="1" fillId="2" borderId="31" xfId="0" applyFont="1" applyFill="1" applyBorder="1" applyAlignment="1" applyProtection="1">
      <alignment horizontal="center" vertical="center"/>
      <protection hidden="1"/>
    </xf>
    <xf numFmtId="165" fontId="1" fillId="2" borderId="33" xfId="0" applyNumberFormat="1" applyFont="1" applyFill="1" applyBorder="1" applyAlignment="1" applyProtection="1">
      <alignment horizontal="center" vertical="center"/>
      <protection hidden="1"/>
    </xf>
    <xf numFmtId="165" fontId="1" fillId="2" borderId="43" xfId="0" applyNumberFormat="1" applyFont="1" applyFill="1" applyBorder="1" applyAlignment="1" applyProtection="1">
      <alignment horizontal="center" vertical="center"/>
      <protection hidden="1"/>
    </xf>
    <xf numFmtId="0" fontId="1" fillId="0" borderId="44" xfId="0" applyFont="1" applyBorder="1" applyAlignment="1" applyProtection="1">
      <alignment vertical="center"/>
      <protection hidden="1"/>
    </xf>
    <xf numFmtId="165" fontId="9" fillId="0" borderId="33" xfId="0" applyNumberFormat="1" applyFont="1" applyBorder="1" applyAlignment="1" applyProtection="1">
      <alignment horizontal="center" vertical="center"/>
      <protection hidden="1"/>
    </xf>
    <xf numFmtId="165" fontId="9" fillId="0" borderId="43" xfId="0" applyNumberFormat="1" applyFont="1" applyBorder="1" applyAlignment="1" applyProtection="1">
      <alignment horizontal="center" vertical="center"/>
      <protection hidden="1"/>
    </xf>
    <xf numFmtId="165" fontId="9" fillId="0" borderId="38" xfId="0" applyNumberFormat="1" applyFont="1" applyBorder="1" applyAlignment="1" applyProtection="1">
      <alignment vertical="center"/>
      <protection hidden="1"/>
    </xf>
    <xf numFmtId="165" fontId="17" fillId="0" borderId="0" xfId="0" applyNumberFormat="1" applyFont="1" applyAlignment="1" applyProtection="1">
      <alignment vertical="center"/>
      <protection hidden="1"/>
    </xf>
    <xf numFmtId="0" fontId="1" fillId="0" borderId="0" xfId="6" applyFont="1" applyAlignment="1" applyProtection="1">
      <alignment vertical="center"/>
      <protection hidden="1"/>
    </xf>
    <xf numFmtId="0" fontId="2" fillId="0" borderId="0" xfId="6" applyFont="1" applyAlignment="1" applyProtection="1">
      <alignment vertical="center"/>
      <protection locked="0" hidden="1"/>
    </xf>
    <xf numFmtId="0" fontId="2" fillId="0" borderId="38" xfId="6" applyFont="1" applyBorder="1" applyAlignment="1" applyProtection="1">
      <alignment vertical="center"/>
      <protection hidden="1"/>
    </xf>
    <xf numFmtId="0" fontId="3" fillId="2" borderId="0" xfId="0" applyFont="1" applyFill="1" applyAlignment="1" applyProtection="1">
      <alignment horizontal="center" vertical="center"/>
      <protection hidden="1"/>
    </xf>
    <xf numFmtId="0" fontId="11" fillId="2" borderId="0" xfId="0" applyFont="1" applyFill="1" applyAlignment="1">
      <alignment horizontal="center" vertical="center"/>
    </xf>
    <xf numFmtId="0" fontId="3" fillId="0" borderId="0" xfId="0" applyFont="1" applyAlignment="1" applyProtection="1">
      <alignment horizontal="center" vertical="center"/>
      <protection hidden="1"/>
    </xf>
    <xf numFmtId="0" fontId="3" fillId="2" borderId="38" xfId="0" applyFont="1" applyFill="1" applyBorder="1" applyAlignment="1" applyProtection="1">
      <alignment horizontal="center" vertical="center"/>
      <protection hidden="1"/>
    </xf>
    <xf numFmtId="0" fontId="11" fillId="0" borderId="0" xfId="0" applyFont="1" applyAlignment="1">
      <alignment horizontal="center" vertical="center"/>
    </xf>
    <xf numFmtId="0" fontId="2" fillId="0" borderId="0" xfId="0" applyFont="1" applyAlignment="1">
      <alignment horizontal="center" vertical="center"/>
    </xf>
    <xf numFmtId="2" fontId="15" fillId="2" borderId="0" xfId="0" applyNumberFormat="1" applyFont="1" applyFill="1" applyAlignment="1">
      <alignment vertical="center"/>
    </xf>
    <xf numFmtId="0" fontId="18" fillId="0" borderId="0" xfId="6" applyFont="1" applyAlignment="1" applyProtection="1">
      <alignment horizontal="center" vertical="center"/>
      <protection locked="0"/>
    </xf>
    <xf numFmtId="0" fontId="1" fillId="0" borderId="17" xfId="6" applyFont="1" applyBorder="1" applyAlignment="1" applyProtection="1">
      <alignment vertical="center"/>
      <protection locked="0"/>
    </xf>
    <xf numFmtId="0" fontId="16" fillId="5" borderId="11" xfId="0" applyFont="1" applyFill="1" applyBorder="1" applyAlignment="1" applyProtection="1">
      <alignment vertical="center"/>
      <protection hidden="1"/>
    </xf>
    <xf numFmtId="0" fontId="1" fillId="0" borderId="46" xfId="0" applyFont="1" applyBorder="1" applyAlignment="1" applyProtection="1">
      <alignment vertical="center"/>
      <protection hidden="1"/>
    </xf>
    <xf numFmtId="0" fontId="1" fillId="0" borderId="17" xfId="0" applyFont="1" applyBorder="1" applyAlignment="1" applyProtection="1">
      <alignment vertical="center"/>
      <protection locked="0" hidden="1"/>
    </xf>
    <xf numFmtId="0" fontId="1" fillId="0" borderId="47" xfId="0" applyFont="1" applyBorder="1" applyAlignment="1" applyProtection="1">
      <alignment vertical="center"/>
      <protection hidden="1"/>
    </xf>
    <xf numFmtId="0" fontId="1" fillId="0" borderId="48" xfId="0" applyFont="1" applyBorder="1" applyAlignment="1" applyProtection="1">
      <alignment vertical="center"/>
      <protection hidden="1"/>
    </xf>
    <xf numFmtId="0" fontId="1" fillId="0" borderId="22" xfId="0" applyFont="1" applyBorder="1" applyAlignment="1" applyProtection="1">
      <alignment vertical="center"/>
      <protection locked="0" hidden="1"/>
    </xf>
    <xf numFmtId="2" fontId="19" fillId="2" borderId="0" xfId="0" applyNumberFormat="1" applyFont="1" applyFill="1" applyAlignment="1">
      <alignment horizontal="center" vertical="center" wrapText="1"/>
    </xf>
    <xf numFmtId="0" fontId="20" fillId="0" borderId="0" xfId="0" applyFont="1" applyAlignment="1">
      <alignment horizontal="center" vertical="center" wrapText="1"/>
    </xf>
    <xf numFmtId="0" fontId="20" fillId="0" borderId="0" xfId="0" applyFont="1" applyAlignment="1">
      <alignment horizontal="center" vertical="center"/>
    </xf>
    <xf numFmtId="0" fontId="1" fillId="2" borderId="20" xfId="0" applyFont="1" applyFill="1" applyBorder="1" applyAlignment="1" applyProtection="1">
      <alignment horizontal="center" vertical="center"/>
      <protection hidden="1"/>
    </xf>
    <xf numFmtId="0" fontId="1" fillId="0" borderId="16" xfId="0" applyFont="1" applyBorder="1" applyAlignment="1" applyProtection="1">
      <alignment horizontal="center" vertical="center"/>
      <protection locked="0"/>
    </xf>
    <xf numFmtId="165" fontId="1" fillId="2" borderId="16" xfId="0" applyNumberFormat="1" applyFont="1" applyFill="1" applyBorder="1" applyAlignment="1" applyProtection="1">
      <alignment horizontal="center" vertical="center"/>
      <protection hidden="1"/>
    </xf>
    <xf numFmtId="165" fontId="1" fillId="4" borderId="16" xfId="0" applyNumberFormat="1" applyFont="1" applyFill="1" applyBorder="1" applyAlignment="1" applyProtection="1">
      <alignment horizontal="center" vertical="center"/>
      <protection hidden="1"/>
    </xf>
    <xf numFmtId="165" fontId="5" fillId="2" borderId="16" xfId="0" applyNumberFormat="1" applyFont="1" applyFill="1" applyBorder="1" applyAlignment="1" applyProtection="1">
      <alignment horizontal="center" vertical="center"/>
      <protection hidden="1"/>
    </xf>
    <xf numFmtId="165" fontId="1" fillId="2" borderId="21" xfId="0" applyNumberFormat="1" applyFont="1" applyFill="1" applyBorder="1" applyAlignment="1" applyProtection="1">
      <alignment horizontal="center" vertical="center"/>
      <protection hidden="1"/>
    </xf>
    <xf numFmtId="165" fontId="1" fillId="2" borderId="31" xfId="0" applyNumberFormat="1" applyFont="1" applyFill="1" applyBorder="1" applyAlignment="1" applyProtection="1">
      <alignment horizontal="center" vertical="center"/>
      <protection hidden="1"/>
    </xf>
    <xf numFmtId="0" fontId="9" fillId="2" borderId="14" xfId="0" applyFont="1" applyFill="1" applyBorder="1" applyAlignment="1" applyProtection="1">
      <alignment horizontal="center" vertical="center"/>
      <protection hidden="1"/>
    </xf>
    <xf numFmtId="0" fontId="9" fillId="2" borderId="18" xfId="0" applyFont="1" applyFill="1" applyBorder="1" applyAlignment="1" applyProtection="1">
      <alignment horizontal="center" vertical="center"/>
      <protection hidden="1"/>
    </xf>
    <xf numFmtId="0" fontId="1" fillId="2" borderId="18" xfId="0" applyFont="1" applyFill="1" applyBorder="1" applyAlignment="1" applyProtection="1">
      <alignment horizontal="center" vertical="center"/>
      <protection hidden="1"/>
    </xf>
    <xf numFmtId="165" fontId="1" fillId="2" borderId="18" xfId="0" applyNumberFormat="1" applyFont="1" applyFill="1" applyBorder="1" applyAlignment="1" applyProtection="1">
      <alignment horizontal="center" vertical="center"/>
      <protection hidden="1"/>
    </xf>
    <xf numFmtId="0" fontId="1" fillId="4" borderId="16" xfId="0" applyFont="1" applyFill="1" applyBorder="1" applyAlignment="1" applyProtection="1">
      <alignment horizontal="center" vertical="center"/>
      <protection locked="0"/>
    </xf>
    <xf numFmtId="165" fontId="1" fillId="4" borderId="18" xfId="0" applyNumberFormat="1" applyFont="1" applyFill="1" applyBorder="1" applyAlignment="1" applyProtection="1">
      <alignment horizontal="center" vertical="center"/>
      <protection hidden="1"/>
    </xf>
    <xf numFmtId="0" fontId="1" fillId="0" borderId="21" xfId="0" applyFont="1" applyBorder="1" applyAlignment="1" applyProtection="1">
      <alignment horizontal="center" vertical="center"/>
      <protection locked="0"/>
    </xf>
    <xf numFmtId="165" fontId="1" fillId="2" borderId="23" xfId="0" applyNumberFormat="1" applyFont="1" applyFill="1" applyBorder="1" applyAlignment="1" applyProtection="1">
      <alignment horizontal="center" vertical="center"/>
      <protection hidden="1"/>
    </xf>
    <xf numFmtId="165" fontId="1" fillId="4" borderId="16" xfId="0" applyNumberFormat="1" applyFont="1" applyFill="1" applyBorder="1" applyAlignment="1" applyProtection="1">
      <alignment horizontal="center" vertical="center"/>
      <protection locked="0"/>
    </xf>
    <xf numFmtId="165" fontId="1" fillId="0" borderId="21" xfId="0" applyNumberFormat="1" applyFont="1" applyBorder="1" applyAlignment="1" applyProtection="1">
      <alignment horizontal="center" vertical="center"/>
      <protection locked="0"/>
    </xf>
    <xf numFmtId="2" fontId="5" fillId="0" borderId="17" xfId="0" applyNumberFormat="1" applyFont="1" applyBorder="1" applyAlignment="1" applyProtection="1">
      <alignment horizontal="center" vertical="center"/>
      <protection locked="0"/>
    </xf>
    <xf numFmtId="2" fontId="5" fillId="0" borderId="18" xfId="0" applyNumberFormat="1" applyFont="1" applyBorder="1" applyAlignment="1" applyProtection="1">
      <alignment horizontal="center" vertical="center"/>
      <protection hidden="1"/>
    </xf>
    <xf numFmtId="1" fontId="1" fillId="2" borderId="17" xfId="0" applyNumberFormat="1" applyFont="1" applyFill="1" applyBorder="1" applyAlignment="1" applyProtection="1">
      <alignment horizontal="center" vertical="center"/>
      <protection locked="0"/>
    </xf>
    <xf numFmtId="0" fontId="1" fillId="0" borderId="12" xfId="0" applyFont="1" applyBorder="1" applyAlignment="1" applyProtection="1">
      <alignment vertical="center"/>
      <protection hidden="1"/>
    </xf>
    <xf numFmtId="0" fontId="1" fillId="0" borderId="14" xfId="0" applyFont="1" applyBorder="1" applyAlignment="1" applyProtection="1">
      <alignment horizontal="center" vertical="center"/>
      <protection hidden="1"/>
    </xf>
    <xf numFmtId="0" fontId="2" fillId="0" borderId="21" xfId="0" applyFont="1" applyBorder="1" applyAlignment="1" applyProtection="1">
      <alignment vertical="center"/>
      <protection hidden="1"/>
    </xf>
    <xf numFmtId="0" fontId="1" fillId="0" borderId="23" xfId="0" applyFont="1" applyBorder="1" applyAlignment="1" applyProtection="1">
      <alignment horizontal="center" vertical="center"/>
      <protection hidden="1"/>
    </xf>
    <xf numFmtId="1" fontId="5" fillId="2" borderId="17" xfId="0" applyNumberFormat="1" applyFont="1" applyFill="1" applyBorder="1" applyAlignment="1" applyProtection="1">
      <alignment horizontal="center" vertical="center"/>
      <protection locked="0"/>
    </xf>
    <xf numFmtId="0" fontId="9" fillId="2" borderId="50" xfId="0" applyFont="1" applyFill="1" applyBorder="1" applyAlignment="1" applyProtection="1">
      <alignment horizontal="center" vertical="center"/>
      <protection hidden="1"/>
    </xf>
    <xf numFmtId="0" fontId="5" fillId="2" borderId="18" xfId="0" applyFont="1" applyFill="1" applyBorder="1" applyAlignment="1" applyProtection="1">
      <alignment horizontal="center" vertical="center"/>
      <protection locked="0"/>
    </xf>
    <xf numFmtId="2" fontId="5" fillId="2" borderId="31" xfId="0" applyNumberFormat="1" applyFont="1" applyFill="1" applyBorder="1" applyAlignment="1" applyProtection="1">
      <alignment horizontal="center" vertical="center"/>
      <protection hidden="1"/>
    </xf>
    <xf numFmtId="1" fontId="1" fillId="0" borderId="51" xfId="0" applyNumberFormat="1" applyFont="1" applyBorder="1" applyAlignment="1" applyProtection="1">
      <alignment horizontal="center" vertical="center"/>
      <protection locked="0"/>
    </xf>
    <xf numFmtId="1" fontId="1" fillId="0" borderId="52" xfId="0" applyNumberFormat="1" applyFont="1" applyBorder="1" applyAlignment="1" applyProtection="1">
      <alignment horizontal="center" vertical="center"/>
      <protection locked="0"/>
    </xf>
    <xf numFmtId="1" fontId="5" fillId="0" borderId="29" xfId="0" applyNumberFormat="1" applyFont="1" applyBorder="1" applyAlignment="1" applyProtection="1">
      <alignment horizontal="center" vertical="center"/>
      <protection hidden="1"/>
    </xf>
    <xf numFmtId="1" fontId="1" fillId="0" borderId="29" xfId="0" applyNumberFormat="1" applyFont="1" applyBorder="1" applyAlignment="1" applyProtection="1">
      <alignment horizontal="center" vertical="center"/>
      <protection hidden="1"/>
    </xf>
    <xf numFmtId="2" fontId="1" fillId="0" borderId="29" xfId="0" applyNumberFormat="1" applyFont="1" applyBorder="1" applyAlignment="1" applyProtection="1">
      <alignment horizontal="center" vertical="center"/>
      <protection hidden="1"/>
    </xf>
    <xf numFmtId="2" fontId="5" fillId="2" borderId="20" xfId="0" applyNumberFormat="1" applyFont="1" applyFill="1" applyBorder="1" applyAlignment="1" applyProtection="1">
      <alignment horizontal="center" vertical="center"/>
      <protection hidden="1"/>
    </xf>
    <xf numFmtId="1" fontId="1" fillId="0" borderId="53" xfId="0" applyNumberFormat="1" applyFont="1" applyBorder="1" applyAlignment="1" applyProtection="1">
      <alignment horizontal="center" vertical="center"/>
      <protection hidden="1"/>
    </xf>
    <xf numFmtId="2" fontId="1" fillId="2" borderId="54" xfId="0" applyNumberFormat="1" applyFont="1" applyFill="1" applyBorder="1" applyAlignment="1" applyProtection="1">
      <alignment horizontal="center" vertical="center"/>
      <protection hidden="1"/>
    </xf>
    <xf numFmtId="0" fontId="3" fillId="0" borderId="2" xfId="6" applyFont="1" applyBorder="1" applyAlignment="1" applyProtection="1">
      <alignment horizontal="center" vertical="center"/>
      <protection hidden="1"/>
    </xf>
    <xf numFmtId="0" fontId="2" fillId="0" borderId="30" xfId="6" applyFont="1" applyBorder="1" applyAlignment="1" applyProtection="1">
      <alignment horizontal="center" vertical="center"/>
      <protection locked="0" hidden="1"/>
    </xf>
    <xf numFmtId="0" fontId="2" fillId="0" borderId="27" xfId="6" applyFont="1" applyBorder="1" applyAlignment="1" applyProtection="1">
      <alignment horizontal="center" vertical="center"/>
      <protection locked="0" hidden="1"/>
    </xf>
    <xf numFmtId="0" fontId="2" fillId="0" borderId="36" xfId="6" applyFont="1" applyBorder="1" applyAlignment="1" applyProtection="1">
      <alignment horizontal="center" vertical="center"/>
      <protection locked="0" hidden="1"/>
    </xf>
    <xf numFmtId="0" fontId="2" fillId="0" borderId="29" xfId="6" applyFont="1" applyBorder="1" applyAlignment="1" applyProtection="1">
      <alignment horizontal="center" vertical="center"/>
      <protection locked="0" hidden="1"/>
    </xf>
    <xf numFmtId="0" fontId="2" fillId="0" borderId="33" xfId="6" applyFont="1" applyBorder="1" applyAlignment="1" applyProtection="1">
      <alignment horizontal="center" vertical="center"/>
      <protection locked="0" hidden="1"/>
    </xf>
    <xf numFmtId="0" fontId="2" fillId="0" borderId="32" xfId="6" applyFont="1" applyBorder="1" applyAlignment="1" applyProtection="1">
      <alignment horizontal="center" vertical="center"/>
      <protection locked="0" hidden="1"/>
    </xf>
    <xf numFmtId="0" fontId="1" fillId="0" borderId="0" xfId="6" applyFont="1" applyAlignment="1" applyProtection="1">
      <alignment horizontal="center" vertical="center"/>
      <protection hidden="1"/>
    </xf>
    <xf numFmtId="0" fontId="2" fillId="2" borderId="6" xfId="6" applyFont="1" applyFill="1" applyBorder="1" applyAlignment="1" applyProtection="1">
      <alignment horizontal="center" vertical="center"/>
      <protection locked="0"/>
    </xf>
    <xf numFmtId="0" fontId="3" fillId="2" borderId="2" xfId="6" applyFont="1" applyFill="1" applyBorder="1" applyAlignment="1" applyProtection="1">
      <alignment horizontal="left" vertical="center"/>
      <protection hidden="1"/>
    </xf>
    <xf numFmtId="166" fontId="1" fillId="2" borderId="6" xfId="6" applyNumberFormat="1" applyFont="1" applyFill="1" applyBorder="1" applyAlignment="1" applyProtection="1">
      <alignment horizontal="center" vertical="center"/>
      <protection locked="0"/>
    </xf>
    <xf numFmtId="166" fontId="1" fillId="2" borderId="27" xfId="6" applyNumberFormat="1" applyFont="1" applyFill="1" applyBorder="1" applyAlignment="1" applyProtection="1">
      <alignment horizontal="center" vertical="center"/>
      <protection locked="0"/>
    </xf>
    <xf numFmtId="0" fontId="2" fillId="2" borderId="7" xfId="6" applyFont="1" applyFill="1" applyBorder="1" applyAlignment="1" applyProtection="1">
      <alignment horizontal="center" vertical="center"/>
      <protection locked="0"/>
    </xf>
    <xf numFmtId="0" fontId="3" fillId="2" borderId="0" xfId="6" applyFont="1" applyFill="1" applyAlignment="1" applyProtection="1">
      <alignment horizontal="left" vertical="center"/>
      <protection hidden="1"/>
    </xf>
    <xf numFmtId="166" fontId="1" fillId="2" borderId="7" xfId="6" applyNumberFormat="1" applyFont="1" applyFill="1" applyBorder="1" applyAlignment="1" applyProtection="1">
      <alignment horizontal="center" vertical="center"/>
      <protection locked="0"/>
    </xf>
    <xf numFmtId="166" fontId="1" fillId="2" borderId="29" xfId="6" applyNumberFormat="1" applyFont="1" applyFill="1" applyBorder="1" applyAlignment="1" applyProtection="1">
      <alignment horizontal="center" vertical="center"/>
      <protection locked="0"/>
    </xf>
    <xf numFmtId="0" fontId="2" fillId="2" borderId="7" xfId="1" applyFont="1" applyFill="1" applyBorder="1" applyAlignment="1" applyProtection="1">
      <alignment horizontal="center" vertical="center"/>
      <protection locked="0"/>
    </xf>
    <xf numFmtId="0" fontId="3" fillId="2" borderId="8" xfId="6" applyFont="1" applyFill="1" applyBorder="1" applyAlignment="1" applyProtection="1">
      <alignment horizontal="left" vertical="center"/>
      <protection hidden="1"/>
    </xf>
    <xf numFmtId="0" fontId="1" fillId="2" borderId="7" xfId="6" applyFont="1" applyFill="1" applyBorder="1" applyAlignment="1" applyProtection="1">
      <alignment horizontal="center" vertical="center"/>
      <protection hidden="1"/>
    </xf>
    <xf numFmtId="0" fontId="1" fillId="2" borderId="29" xfId="6" applyFont="1" applyFill="1" applyBorder="1" applyAlignment="1" applyProtection="1">
      <alignment horizontal="center" vertical="center"/>
      <protection hidden="1"/>
    </xf>
    <xf numFmtId="0" fontId="1" fillId="2" borderId="5" xfId="6" applyFont="1" applyFill="1" applyBorder="1" applyAlignment="1" applyProtection="1">
      <alignment horizontal="center" vertical="center"/>
      <protection hidden="1"/>
    </xf>
    <xf numFmtId="0" fontId="7" fillId="2" borderId="6" xfId="6" applyFont="1" applyFill="1" applyBorder="1" applyAlignment="1" applyProtection="1">
      <alignment horizontal="center" vertical="center"/>
      <protection locked="0"/>
    </xf>
    <xf numFmtId="0" fontId="3" fillId="2" borderId="2" xfId="6" applyFont="1" applyFill="1" applyBorder="1" applyAlignment="1" applyProtection="1">
      <alignment horizontal="center" vertical="center"/>
      <protection hidden="1"/>
    </xf>
    <xf numFmtId="0" fontId="1" fillId="2" borderId="7" xfId="6" applyFont="1" applyFill="1" applyBorder="1" applyAlignment="1" applyProtection="1">
      <alignment horizontal="center" vertical="center"/>
      <protection locked="0"/>
    </xf>
    <xf numFmtId="0" fontId="1" fillId="2" borderId="29" xfId="6" applyFont="1" applyFill="1" applyBorder="1" applyAlignment="1" applyProtection="1">
      <alignment horizontal="center" vertical="center"/>
      <protection locked="0"/>
    </xf>
    <xf numFmtId="0" fontId="8" fillId="3" borderId="9" xfId="0" applyFont="1" applyFill="1" applyBorder="1" applyAlignment="1" applyProtection="1">
      <alignment horizontal="center" vertical="center"/>
      <protection hidden="1"/>
    </xf>
    <xf numFmtId="0" fontId="8" fillId="3" borderId="10" xfId="0" applyFont="1" applyFill="1" applyBorder="1" applyAlignment="1" applyProtection="1">
      <alignment horizontal="center" vertical="center"/>
      <protection hidden="1"/>
    </xf>
    <xf numFmtId="0" fontId="8" fillId="3" borderId="11" xfId="0" applyFont="1" applyFill="1" applyBorder="1" applyAlignment="1" applyProtection="1">
      <alignment horizontal="center" vertical="center"/>
      <protection hidden="1"/>
    </xf>
    <xf numFmtId="0" fontId="9" fillId="3" borderId="9" xfId="0" applyFont="1" applyFill="1" applyBorder="1" applyAlignment="1" applyProtection="1">
      <alignment horizontal="center" vertical="center"/>
      <protection hidden="1"/>
    </xf>
    <xf numFmtId="0" fontId="9" fillId="3" borderId="10" xfId="0" applyFont="1" applyFill="1" applyBorder="1" applyAlignment="1" applyProtection="1">
      <alignment horizontal="center" vertical="center"/>
      <protection hidden="1"/>
    </xf>
    <xf numFmtId="0" fontId="9" fillId="3" borderId="11" xfId="0" applyFont="1" applyFill="1" applyBorder="1" applyAlignment="1" applyProtection="1">
      <alignment horizontal="center" vertical="center"/>
      <protection hidden="1"/>
    </xf>
    <xf numFmtId="0" fontId="1" fillId="2" borderId="12" xfId="0" applyFont="1" applyFill="1" applyBorder="1" applyAlignment="1" applyProtection="1">
      <alignment horizontal="center" vertical="center"/>
      <protection hidden="1"/>
    </xf>
    <xf numFmtId="0" fontId="1" fillId="2" borderId="13" xfId="0" applyFont="1" applyFill="1" applyBorder="1" applyAlignment="1" applyProtection="1">
      <alignment horizontal="center" vertical="center"/>
      <protection hidden="1"/>
    </xf>
    <xf numFmtId="0" fontId="9" fillId="2" borderId="9" xfId="0" applyFont="1" applyFill="1" applyBorder="1" applyAlignment="1" applyProtection="1">
      <alignment horizontal="center" vertical="center" wrapText="1"/>
      <protection hidden="1"/>
    </xf>
    <xf numFmtId="0" fontId="9" fillId="2" borderId="11" xfId="0" applyFont="1" applyFill="1" applyBorder="1" applyAlignment="1" applyProtection="1">
      <alignment horizontal="center" vertical="center" wrapText="1"/>
      <protection hidden="1"/>
    </xf>
    <xf numFmtId="0" fontId="9" fillId="2" borderId="1" xfId="0" applyFont="1" applyFill="1" applyBorder="1" applyAlignment="1" applyProtection="1">
      <alignment horizontal="center" vertical="center" wrapText="1"/>
      <protection hidden="1"/>
    </xf>
    <xf numFmtId="0" fontId="9" fillId="2" borderId="15" xfId="0" applyFont="1" applyFill="1" applyBorder="1" applyAlignment="1" applyProtection="1">
      <alignment horizontal="center" vertical="center" wrapText="1"/>
      <protection hidden="1"/>
    </xf>
    <xf numFmtId="0" fontId="1" fillId="2" borderId="16" xfId="0" applyFont="1" applyFill="1" applyBorder="1" applyAlignment="1" applyProtection="1">
      <alignment horizontal="left" vertical="center"/>
      <protection hidden="1"/>
    </xf>
    <xf numFmtId="0" fontId="1" fillId="2" borderId="17" xfId="0" applyFont="1" applyFill="1" applyBorder="1" applyAlignment="1" applyProtection="1">
      <alignment horizontal="left" vertical="center"/>
      <protection hidden="1"/>
    </xf>
    <xf numFmtId="0" fontId="1" fillId="2" borderId="21" xfId="0" applyFont="1" applyFill="1" applyBorder="1" applyAlignment="1" applyProtection="1">
      <alignment horizontal="left" vertical="center"/>
      <protection hidden="1"/>
    </xf>
    <xf numFmtId="0" fontId="1" fillId="2" borderId="22" xfId="0" applyFont="1" applyFill="1" applyBorder="1" applyAlignment="1" applyProtection="1">
      <alignment horizontal="left" vertical="center"/>
      <protection hidden="1"/>
    </xf>
    <xf numFmtId="0" fontId="11" fillId="0" borderId="35" xfId="6" applyFont="1" applyBorder="1" applyAlignment="1" applyProtection="1">
      <alignment horizontal="center" vertical="center"/>
      <protection locked="0" hidden="1"/>
    </xf>
    <xf numFmtId="0" fontId="11" fillId="0" borderId="45" xfId="6" applyFont="1" applyBorder="1" applyAlignment="1" applyProtection="1">
      <alignment horizontal="center" vertical="center"/>
      <protection locked="0" hidden="1"/>
    </xf>
    <xf numFmtId="0" fontId="2" fillId="0" borderId="0" xfId="6" applyFont="1" applyAlignment="1" applyProtection="1">
      <alignment horizontal="center" vertical="center"/>
      <protection locked="0" hidden="1"/>
    </xf>
    <xf numFmtId="0" fontId="2" fillId="0" borderId="38" xfId="6" applyFont="1" applyBorder="1" applyAlignment="1" applyProtection="1">
      <alignment horizontal="center" vertical="center"/>
      <protection locked="0" hidden="1"/>
    </xf>
    <xf numFmtId="0" fontId="5" fillId="0" borderId="16" xfId="0" applyFont="1" applyBorder="1" applyAlignment="1" applyProtection="1">
      <alignment horizontal="left" vertical="center"/>
      <protection hidden="1"/>
    </xf>
    <xf numFmtId="0" fontId="5" fillId="0" borderId="17" xfId="0" applyFont="1" applyBorder="1" applyAlignment="1" applyProtection="1">
      <alignment horizontal="left" vertical="center"/>
      <protection hidden="1"/>
    </xf>
    <xf numFmtId="165" fontId="5" fillId="0" borderId="20" xfId="0" applyNumberFormat="1" applyFont="1" applyBorder="1" applyAlignment="1" applyProtection="1">
      <alignment horizontal="center" vertical="center"/>
      <protection hidden="1"/>
    </xf>
    <xf numFmtId="165" fontId="5" fillId="0" borderId="29" xfId="0" applyNumberFormat="1" applyFont="1" applyBorder="1" applyAlignment="1" applyProtection="1">
      <alignment horizontal="center" vertical="center"/>
      <protection hidden="1"/>
    </xf>
    <xf numFmtId="0" fontId="1" fillId="0" borderId="30" xfId="0" applyFont="1" applyBorder="1" applyAlignment="1" applyProtection="1">
      <alignment horizontal="center" vertical="center"/>
      <protection locked="0"/>
    </xf>
    <xf numFmtId="0" fontId="1" fillId="0" borderId="27" xfId="0" applyFont="1" applyBorder="1" applyAlignment="1" applyProtection="1">
      <alignment horizontal="center" vertical="center"/>
      <protection locked="0"/>
    </xf>
    <xf numFmtId="0" fontId="5" fillId="0" borderId="21" xfId="0" applyFont="1" applyBorder="1" applyAlignment="1" applyProtection="1">
      <alignment horizontal="left" vertical="center"/>
      <protection hidden="1"/>
    </xf>
    <xf numFmtId="0" fontId="5" fillId="0" borderId="22" xfId="0" applyFont="1" applyBorder="1" applyAlignment="1" applyProtection="1">
      <alignment horizontal="left" vertical="center"/>
      <protection hidden="1"/>
    </xf>
    <xf numFmtId="2" fontId="6" fillId="0" borderId="31" xfId="0" applyNumberFormat="1" applyFont="1" applyBorder="1" applyAlignment="1" applyProtection="1">
      <alignment horizontal="center" vertical="center"/>
      <protection hidden="1"/>
    </xf>
    <xf numFmtId="2" fontId="6" fillId="0" borderId="32" xfId="0" applyNumberFormat="1" applyFont="1" applyBorder="1" applyAlignment="1" applyProtection="1">
      <alignment horizontal="center" vertical="center"/>
      <protection hidden="1"/>
    </xf>
    <xf numFmtId="0" fontId="1" fillId="0" borderId="33" xfId="0" applyFont="1" applyBorder="1" applyAlignment="1" applyProtection="1">
      <alignment horizontal="center" vertical="center"/>
      <protection locked="0"/>
    </xf>
    <xf numFmtId="0" fontId="1" fillId="0" borderId="32" xfId="0" applyFont="1" applyBorder="1" applyAlignment="1" applyProtection="1">
      <alignment horizontal="center" vertical="center"/>
      <protection locked="0"/>
    </xf>
    <xf numFmtId="0" fontId="1" fillId="0" borderId="1" xfId="6" applyFont="1" applyBorder="1" applyAlignment="1" applyProtection="1">
      <alignment horizontal="center" vertical="center"/>
      <protection hidden="1"/>
    </xf>
    <xf numFmtId="0" fontId="1" fillId="0" borderId="2" xfId="6" applyFont="1" applyBorder="1" applyAlignment="1" applyProtection="1">
      <alignment horizontal="center" vertical="center"/>
      <protection hidden="1"/>
    </xf>
    <xf numFmtId="0" fontId="1" fillId="0" borderId="3" xfId="6" applyFont="1" applyBorder="1" applyAlignment="1" applyProtection="1">
      <alignment horizontal="center" vertical="center"/>
      <protection hidden="1"/>
    </xf>
    <xf numFmtId="0" fontId="1" fillId="0" borderId="4" xfId="6" applyFont="1" applyBorder="1" applyAlignment="1" applyProtection="1">
      <alignment horizontal="center" vertical="center"/>
      <protection hidden="1"/>
    </xf>
    <xf numFmtId="0" fontId="1" fillId="0" borderId="5" xfId="6" applyFont="1" applyBorder="1" applyAlignment="1" applyProtection="1">
      <alignment horizontal="center" vertical="center"/>
      <protection hidden="1"/>
    </xf>
    <xf numFmtId="0" fontId="4" fillId="0" borderId="0" xfId="6" applyFont="1" applyAlignment="1" applyProtection="1">
      <alignment horizontal="center" vertical="center" wrapText="1"/>
      <protection hidden="1"/>
    </xf>
    <xf numFmtId="0" fontId="4" fillId="0" borderId="5" xfId="6" applyFont="1" applyBorder="1" applyAlignment="1" applyProtection="1">
      <alignment horizontal="center" vertical="center" wrapText="1"/>
      <protection hidden="1"/>
    </xf>
    <xf numFmtId="0" fontId="9" fillId="2" borderId="1" xfId="0" applyFont="1" applyFill="1" applyBorder="1" applyAlignment="1" applyProtection="1">
      <alignment horizontal="center" vertical="center"/>
      <protection hidden="1"/>
    </xf>
    <xf numFmtId="0" fontId="9" fillId="2" borderId="15" xfId="0" applyFont="1" applyFill="1" applyBorder="1" applyAlignment="1" applyProtection="1">
      <alignment horizontal="center" vertical="center"/>
      <protection hidden="1"/>
    </xf>
    <xf numFmtId="0" fontId="9" fillId="2" borderId="49" xfId="0" applyFont="1" applyFill="1" applyBorder="1" applyAlignment="1" applyProtection="1">
      <alignment horizontal="center" vertical="center"/>
      <protection hidden="1"/>
    </xf>
    <xf numFmtId="0" fontId="9" fillId="2" borderId="19" xfId="0" applyFont="1" applyFill="1" applyBorder="1" applyAlignment="1" applyProtection="1">
      <alignment horizontal="center" vertical="center"/>
      <protection hidden="1"/>
    </xf>
    <xf numFmtId="0" fontId="9" fillId="5" borderId="9" xfId="0" applyFont="1" applyFill="1" applyBorder="1" applyAlignment="1" applyProtection="1">
      <alignment horizontal="center" vertical="center"/>
      <protection hidden="1"/>
    </xf>
    <xf numFmtId="0" fontId="9" fillId="5" borderId="10" xfId="0" applyFont="1" applyFill="1" applyBorder="1" applyAlignment="1" applyProtection="1">
      <alignment horizontal="center" vertical="center"/>
      <protection hidden="1"/>
    </xf>
    <xf numFmtId="0" fontId="9" fillId="5" borderId="11" xfId="0" applyFont="1" applyFill="1" applyBorder="1" applyAlignment="1" applyProtection="1">
      <alignment horizontal="center" vertical="center"/>
      <protection hidden="1"/>
    </xf>
    <xf numFmtId="0" fontId="5" fillId="0" borderId="24" xfId="0" applyFont="1" applyBorder="1" applyAlignment="1" applyProtection="1">
      <alignment horizontal="left" vertical="center"/>
      <protection hidden="1"/>
    </xf>
    <xf numFmtId="0" fontId="5" fillId="0" borderId="25" xfId="0" applyFont="1" applyBorder="1" applyAlignment="1" applyProtection="1">
      <alignment horizontal="left" vertical="center"/>
      <protection hidden="1"/>
    </xf>
    <xf numFmtId="0" fontId="6" fillId="0" borderId="26" xfId="0" applyFont="1" applyBorder="1" applyAlignment="1" applyProtection="1">
      <alignment horizontal="center" vertical="center"/>
      <protection locked="0"/>
    </xf>
    <xf numFmtId="0" fontId="6" fillId="0" borderId="27" xfId="0" applyFont="1" applyBorder="1" applyAlignment="1" applyProtection="1">
      <alignment horizontal="center" vertical="center"/>
      <protection locked="0"/>
    </xf>
    <xf numFmtId="0" fontId="6" fillId="0" borderId="20" xfId="0" applyFont="1" applyBorder="1" applyAlignment="1" applyProtection="1">
      <alignment horizontal="center" vertical="center"/>
      <protection locked="0"/>
    </xf>
    <xf numFmtId="0" fontId="6" fillId="0" borderId="29" xfId="0" applyFont="1" applyBorder="1" applyAlignment="1" applyProtection="1">
      <alignment horizontal="center" vertical="center"/>
      <protection locked="0"/>
    </xf>
    <xf numFmtId="0" fontId="9" fillId="3" borderId="1" xfId="0" applyFont="1" applyFill="1" applyBorder="1" applyAlignment="1" applyProtection="1">
      <alignment horizontal="center" vertical="center"/>
      <protection hidden="1"/>
    </xf>
    <xf numFmtId="0" fontId="9" fillId="3" borderId="15" xfId="0" applyFont="1" applyFill="1" applyBorder="1" applyAlignment="1" applyProtection="1">
      <alignment horizontal="center" vertical="center"/>
      <protection hidden="1"/>
    </xf>
    <xf numFmtId="0" fontId="1" fillId="2" borderId="12" xfId="0" applyFont="1" applyFill="1" applyBorder="1" applyAlignment="1" applyProtection="1">
      <alignment horizontal="left" vertical="center"/>
      <protection hidden="1"/>
    </xf>
    <xf numFmtId="0" fontId="1" fillId="2" borderId="13" xfId="0" applyFont="1" applyFill="1" applyBorder="1" applyAlignment="1" applyProtection="1">
      <alignment horizontal="left" vertical="center"/>
      <protection hidden="1"/>
    </xf>
    <xf numFmtId="0" fontId="11" fillId="0" borderId="0" xfId="0" applyFont="1" applyAlignment="1" applyProtection="1">
      <alignment horizontal="center" vertical="center" wrapText="1"/>
      <protection hidden="1"/>
    </xf>
    <xf numFmtId="0" fontId="13" fillId="2" borderId="3" xfId="0" applyFont="1" applyFill="1" applyBorder="1" applyAlignment="1" applyProtection="1">
      <alignment horizontal="center" vertical="center" wrapText="1"/>
      <protection hidden="1"/>
    </xf>
    <xf numFmtId="0" fontId="13" fillId="2" borderId="0" xfId="0" applyFont="1" applyFill="1" applyAlignment="1" applyProtection="1">
      <alignment horizontal="center" vertical="center" wrapText="1"/>
      <protection hidden="1"/>
    </xf>
    <xf numFmtId="0" fontId="13" fillId="2" borderId="38" xfId="0" applyFont="1" applyFill="1" applyBorder="1" applyAlignment="1" applyProtection="1">
      <alignment horizontal="center" vertical="center" wrapText="1"/>
      <protection hidden="1"/>
    </xf>
    <xf numFmtId="0" fontId="12" fillId="2" borderId="3" xfId="0" applyFont="1" applyFill="1" applyBorder="1" applyAlignment="1" applyProtection="1">
      <alignment horizontal="center"/>
      <protection hidden="1"/>
    </xf>
    <xf numFmtId="0" fontId="12" fillId="2" borderId="0" xfId="0" applyFont="1" applyFill="1" applyAlignment="1" applyProtection="1">
      <alignment horizontal="center"/>
      <protection hidden="1"/>
    </xf>
    <xf numFmtId="0" fontId="12" fillId="2" borderId="38" xfId="0" applyFont="1" applyFill="1" applyBorder="1" applyAlignment="1" applyProtection="1">
      <alignment horizontal="center"/>
      <protection hidden="1"/>
    </xf>
    <xf numFmtId="49" fontId="14" fillId="0" borderId="4" xfId="0" applyNumberFormat="1" applyFont="1" applyBorder="1" applyAlignment="1" applyProtection="1">
      <alignment horizontal="center" vertical="center"/>
      <protection hidden="1"/>
    </xf>
    <xf numFmtId="49" fontId="14" fillId="0" borderId="5" xfId="0" applyNumberFormat="1" applyFont="1" applyBorder="1" applyAlignment="1" applyProtection="1">
      <alignment horizontal="center" vertical="center"/>
      <protection hidden="1"/>
    </xf>
    <xf numFmtId="49" fontId="14" fillId="0" borderId="37" xfId="0" applyNumberFormat="1" applyFont="1" applyBorder="1" applyAlignment="1" applyProtection="1">
      <alignment horizontal="center" vertical="center"/>
      <protection hidden="1"/>
    </xf>
    <xf numFmtId="0" fontId="3" fillId="0" borderId="0" xfId="0" applyFont="1" applyAlignment="1" applyProtection="1">
      <alignment horizontal="center" vertical="center" wrapText="1"/>
      <protection hidden="1"/>
    </xf>
    <xf numFmtId="0" fontId="21" fillId="2" borderId="7" xfId="1" applyFont="1" applyFill="1" applyBorder="1" applyAlignment="1" applyProtection="1">
      <alignment horizontal="center" vertical="center"/>
      <protection locked="0"/>
    </xf>
    <xf numFmtId="0" fontId="5" fillId="2" borderId="7" xfId="6" applyFont="1" applyFill="1" applyBorder="1" applyAlignment="1" applyProtection="1">
      <alignment horizontal="center" vertical="center"/>
      <protection locked="0"/>
    </xf>
    <xf numFmtId="0" fontId="1" fillId="2" borderId="6" xfId="6" applyFont="1" applyFill="1" applyBorder="1" applyAlignment="1" applyProtection="1">
      <alignment horizontal="center" vertical="center"/>
      <protection locked="0"/>
    </xf>
    <xf numFmtId="0" fontId="1" fillId="2" borderId="7" xfId="6" applyFont="1" applyFill="1" applyBorder="1" applyAlignment="1" applyProtection="1">
      <alignment horizontal="center" vertical="center" wrapText="1"/>
      <protection locked="0"/>
    </xf>
    <xf numFmtId="0" fontId="1" fillId="0" borderId="6" xfId="0" applyFont="1" applyBorder="1" applyAlignment="1" applyProtection="1">
      <alignment horizontal="center" vertical="center"/>
      <protection locked="0"/>
    </xf>
    <xf numFmtId="0" fontId="1" fillId="0" borderId="44" xfId="0" applyFont="1" applyBorder="1" applyAlignment="1" applyProtection="1">
      <alignment horizontal="center" vertical="center"/>
      <protection locked="0"/>
    </xf>
    <xf numFmtId="169" fontId="6" fillId="0" borderId="26" xfId="0" applyNumberFormat="1" applyFont="1" applyBorder="1" applyAlignment="1" applyProtection="1">
      <alignment horizontal="center" vertical="center"/>
      <protection locked="0"/>
    </xf>
    <xf numFmtId="169" fontId="6" fillId="0" borderId="27" xfId="0" applyNumberFormat="1" applyFont="1" applyBorder="1" applyAlignment="1" applyProtection="1">
      <alignment horizontal="center" vertical="center"/>
      <protection locked="0"/>
    </xf>
    <xf numFmtId="169" fontId="6" fillId="0" borderId="20" xfId="0" applyNumberFormat="1" applyFont="1" applyBorder="1" applyAlignment="1" applyProtection="1">
      <alignment horizontal="center" vertical="center"/>
      <protection locked="0"/>
    </xf>
    <xf numFmtId="169" fontId="6" fillId="0" borderId="29" xfId="0" applyNumberFormat="1" applyFont="1" applyBorder="1" applyAlignment="1" applyProtection="1">
      <alignment horizontal="center" vertical="center"/>
      <protection locked="0"/>
    </xf>
    <xf numFmtId="0" fontId="9" fillId="3" borderId="4" xfId="0" applyFont="1" applyFill="1" applyBorder="1" applyAlignment="1" applyProtection="1">
      <alignment horizontal="center" vertical="center"/>
      <protection hidden="1"/>
    </xf>
    <xf numFmtId="0" fontId="9" fillId="3" borderId="5" xfId="0" applyFont="1" applyFill="1" applyBorder="1" applyAlignment="1" applyProtection="1">
      <alignment horizontal="center" vertical="center"/>
      <protection hidden="1"/>
    </xf>
    <xf numFmtId="0" fontId="9" fillId="3" borderId="37" xfId="0" applyFont="1" applyFill="1" applyBorder="1" applyAlignment="1" applyProtection="1">
      <alignment horizontal="center" vertical="center"/>
      <protection hidden="1"/>
    </xf>
  </cellXfs>
  <cellStyles count="7">
    <cellStyle name="Comma" xfId="2" xr:uid="{00000000-0005-0000-0000-000000000000}"/>
    <cellStyle name="Hipervínculo" xfId="1" builtinId="8"/>
    <cellStyle name="Normal" xfId="0" builtinId="0"/>
    <cellStyle name="Normal 10" xfId="3" xr:uid="{00000000-0005-0000-0000-000003000000}"/>
    <cellStyle name="Normal 2 2" xfId="4" xr:uid="{00000000-0005-0000-0000-000004000000}"/>
    <cellStyle name="Normal 3" xfId="5" xr:uid="{00000000-0005-0000-0000-000005000000}"/>
    <cellStyle name="Normal 5" xfId="6" xr:uid="{00000000-0005-0000-0000-000006000000}"/>
  </cellStyles>
  <dxfs count="230">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patternType="solid">
          <bgColor theme="9" tint="0.79995117038483843"/>
        </patternFill>
      </fill>
    </dxf>
    <dxf>
      <fill>
        <patternFill>
          <bgColor theme="6"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r>
              <a:rPr lang="en-US" sz="1400"/>
              <a:t>CBR MUESTRA INALTERADA ESFUERZO vs PENETRACIÓN </a:t>
            </a:r>
          </a:p>
        </c:rich>
      </c:tx>
      <c:overlay val="0"/>
      <c:spPr>
        <a:noFill/>
        <a:ln>
          <a:noFill/>
        </a:ln>
        <a:effectLst/>
      </c:spPr>
      <c:txPr>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endParaRPr lang="es-MX"/>
        </a:p>
      </c:txPr>
    </c:title>
    <c:autoTitleDeleted val="0"/>
    <c:plotArea>
      <c:layout>
        <c:manualLayout>
          <c:layoutTarget val="inner"/>
          <c:xMode val="edge"/>
          <c:yMode val="edge"/>
          <c:x val="7.3621035048203304E-2"/>
          <c:y val="0.120479002624672"/>
          <c:w val="0.88620553129602597"/>
          <c:h val="0.71051364829396302"/>
        </c:manualLayout>
      </c:layout>
      <c:scatterChart>
        <c:scatterStyle val="smoothMarker"/>
        <c:varyColors val="0"/>
        <c:ser>
          <c:idx val="3"/>
          <c:order val="0"/>
          <c:tx>
            <c:v>MUESTRA SUMERGIDA</c:v>
          </c:tx>
          <c:spPr>
            <a:ln w="9525" cap="rnd">
              <a:solidFill>
                <a:schemeClr val="accent4"/>
              </a:solidFill>
              <a:round/>
            </a:ln>
            <a:effectLst/>
          </c:spPr>
          <c:marker>
            <c:symbol val="none"/>
          </c:marker>
          <c:xVal>
            <c:numRef>
              <c:f>GUIA!$H$22:$H$34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GUIA!$L$22:$L$34</c:f>
              <c:numCache>
                <c:formatCode>0.000</c:formatCode>
                <c:ptCount val="13"/>
                <c:pt idx="0" formatCode="General">
                  <c:v>0</c:v>
                </c:pt>
                <c:pt idx="1">
                  <c:v>0</c:v>
                </c:pt>
                <c:pt idx="2">
                  <c:v>0</c:v>
                </c:pt>
                <c:pt idx="3">
                  <c:v>0</c:v>
                </c:pt>
                <c:pt idx="4">
                  <c:v>0</c:v>
                </c:pt>
                <c:pt idx="5">
                  <c:v>0</c:v>
                </c:pt>
                <c:pt idx="6">
                  <c:v>0</c:v>
                </c:pt>
                <c:pt idx="7">
                  <c:v>0</c:v>
                </c:pt>
                <c:pt idx="8">
                  <c:v>0</c:v>
                </c:pt>
                <c:pt idx="9">
                  <c:v>0</c:v>
                </c:pt>
                <c:pt idx="10">
                  <c:v>0</c:v>
                </c:pt>
                <c:pt idx="11">
                  <c:v>0</c:v>
                </c:pt>
                <c:pt idx="12">
                  <c:v>0</c:v>
                </c:pt>
              </c:numCache>
            </c:numRef>
          </c:yVal>
          <c:smooth val="1"/>
          <c:extLst>
            <c:ext xmlns:c16="http://schemas.microsoft.com/office/drawing/2014/chart" uri="{C3380CC4-5D6E-409C-BE32-E72D297353CC}">
              <c16:uniqueId val="{00000000-4385-415D-BFEA-8223E268B36E}"/>
            </c:ext>
          </c:extLst>
        </c:ser>
        <c:ser>
          <c:idx val="4"/>
          <c:order val="1"/>
          <c:tx>
            <c:v>MUESTRA SIN SUMERGIR</c:v>
          </c:tx>
          <c:spPr>
            <a:ln w="9525" cap="rnd">
              <a:solidFill>
                <a:schemeClr val="accent5"/>
              </a:solidFill>
              <a:round/>
            </a:ln>
            <a:effectLst/>
          </c:spPr>
          <c:marker>
            <c:symbol val="none"/>
          </c:marker>
          <c:xVal>
            <c:numRef>
              <c:f>GUIA!$H$22:$H$34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GUIA!$J$22:$J$34</c:f>
              <c:numCache>
                <c:formatCode>0.000</c:formatCode>
                <c:ptCount val="13"/>
                <c:pt idx="0" formatCode="General">
                  <c:v>0</c:v>
                </c:pt>
                <c:pt idx="1">
                  <c:v>0</c:v>
                </c:pt>
                <c:pt idx="2">
                  <c:v>0</c:v>
                </c:pt>
                <c:pt idx="3">
                  <c:v>0</c:v>
                </c:pt>
                <c:pt idx="4">
                  <c:v>0</c:v>
                </c:pt>
                <c:pt idx="5">
                  <c:v>0</c:v>
                </c:pt>
                <c:pt idx="6">
                  <c:v>0</c:v>
                </c:pt>
                <c:pt idx="7">
                  <c:v>0</c:v>
                </c:pt>
                <c:pt idx="8">
                  <c:v>0</c:v>
                </c:pt>
                <c:pt idx="9">
                  <c:v>0</c:v>
                </c:pt>
                <c:pt idx="10">
                  <c:v>0</c:v>
                </c:pt>
                <c:pt idx="11">
                  <c:v>0</c:v>
                </c:pt>
                <c:pt idx="12">
                  <c:v>0</c:v>
                </c:pt>
              </c:numCache>
            </c:numRef>
          </c:yVal>
          <c:smooth val="1"/>
          <c:extLst>
            <c:ext xmlns:c16="http://schemas.microsoft.com/office/drawing/2014/chart" uri="{C3380CC4-5D6E-409C-BE32-E72D297353CC}">
              <c16:uniqueId val="{00000001-4385-415D-BFEA-8223E268B36E}"/>
            </c:ext>
          </c:extLst>
        </c:ser>
        <c:dLbls>
          <c:showLegendKey val="0"/>
          <c:showVal val="0"/>
          <c:showCatName val="0"/>
          <c:showSerName val="0"/>
          <c:showPercent val="0"/>
          <c:showBubbleSize val="0"/>
        </c:dLbls>
        <c:axId val="249761376"/>
        <c:axId val="249762160"/>
      </c:scatterChart>
      <c:valAx>
        <c:axId val="249761376"/>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s-CO"/>
                  <a:t>PENETRACIÓN (mm)</a:t>
                </a:r>
              </a:p>
            </c:rich>
          </c:tx>
          <c:overlay val="0"/>
          <c:spPr>
            <a:noFill/>
            <a:ln>
              <a:noFill/>
            </a:ln>
            <a:effectLst/>
          </c:spPr>
          <c:txPr>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0.000"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2160"/>
        <c:crosses val="autoZero"/>
        <c:crossBetween val="midCat"/>
      </c:valAx>
      <c:valAx>
        <c:axId val="249762160"/>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n-US"/>
                  <a:t>ESFUERZO (Mpa)</a:t>
                </a:r>
              </a:p>
            </c:rich>
          </c:tx>
          <c:overlay val="0"/>
          <c:spPr>
            <a:noFill/>
            <a:ln>
              <a:noFill/>
            </a:ln>
            <a:effectLst/>
          </c:spPr>
          <c:txPr>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1376"/>
        <c:crosses val="autoZero"/>
        <c:crossBetween val="midCat"/>
      </c:valAx>
      <c:spPr>
        <a:solidFill>
          <a:schemeClr val="lt1"/>
        </a:solidFill>
        <a:ln w="12700" cap="flat" cmpd="sng" algn="ctr">
          <a:solidFill>
            <a:schemeClr val="accent6"/>
          </a:solidFill>
          <a:prstDash val="solid"/>
          <a:miter lim="800000"/>
        </a:ln>
        <a:effectLst/>
      </c:spPr>
    </c:plotArea>
    <c:legend>
      <c:legendPos val="b"/>
      <c:layout>
        <c:manualLayout>
          <c:xMode val="edge"/>
          <c:yMode val="edge"/>
          <c:x val="1.9219567826425699E-6"/>
          <c:y val="0.91456538520920205"/>
          <c:w val="0.411132502223163"/>
          <c:h val="6.3025651205364006E-2"/>
        </c:manualLayout>
      </c:layout>
      <c:overlay val="0"/>
      <c:spPr>
        <a:noFill/>
        <a:ln>
          <a:noFill/>
        </a:ln>
        <a:effectLst/>
      </c:spPr>
      <c:txPr>
        <a:bodyPr rot="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legend>
    <c:plotVisOnly val="1"/>
    <c:dispBlanksAs val="gap"/>
    <c:showDLblsOverMax val="0"/>
    <c:extLst>
      <c:ext uri="{0b15fc19-7d7d-44ad-8c2d-2c3a37ce22c3}">
        <chartProps xmlns="https://web.wps.cn/et/2018/main" chartId="{ff9bb21e-49d7-4a43-bea7-6c5e78bc5cec}"/>
      </c:ext>
    </c:extLst>
  </c:chart>
  <c:spPr>
    <a:solidFill>
      <a:schemeClr val="lt1"/>
    </a:solidFill>
    <a:ln w="12700" cap="flat" cmpd="sng" algn="ctr">
      <a:solidFill>
        <a:schemeClr val="accent6"/>
      </a:solidFill>
      <a:prstDash val="solid"/>
      <a:miter lim="800000"/>
    </a:ln>
    <a:effectLst/>
  </c:spPr>
  <c:txPr>
    <a:bodyPr/>
    <a:lstStyle/>
    <a:p>
      <a:pPr>
        <a:defRPr lang="es-MX">
          <a:solidFill>
            <a:schemeClr val="dk1"/>
          </a:solidFill>
          <a:latin typeface="+mn-lt"/>
          <a:ea typeface="+mn-ea"/>
          <a:cs typeface="+mn-cs"/>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r>
              <a:rPr lang="en-US" sz="1400"/>
              <a:t>CBR MUESTRA INALTERADA ESFUERZO vs PENETRACIÓN </a:t>
            </a:r>
          </a:p>
        </c:rich>
      </c:tx>
      <c:overlay val="0"/>
      <c:spPr>
        <a:noFill/>
        <a:ln>
          <a:noFill/>
        </a:ln>
        <a:effectLst/>
      </c:spPr>
      <c:txPr>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endParaRPr lang="es-MX"/>
        </a:p>
      </c:txPr>
    </c:title>
    <c:autoTitleDeleted val="0"/>
    <c:plotArea>
      <c:layout>
        <c:manualLayout>
          <c:layoutTarget val="inner"/>
          <c:xMode val="edge"/>
          <c:yMode val="edge"/>
          <c:x val="7.3621035048203304E-2"/>
          <c:y val="0.120479002624672"/>
          <c:w val="0.88620553129602597"/>
          <c:h val="0.71051364829396302"/>
        </c:manualLayout>
      </c:layout>
      <c:scatterChart>
        <c:scatterStyle val="smoothMarker"/>
        <c:varyColors val="0"/>
        <c:ser>
          <c:idx val="3"/>
          <c:order val="0"/>
          <c:tx>
            <c:v>MUESTRA SUMERGIDA</c:v>
          </c:tx>
          <c:spPr>
            <a:ln w="9525" cap="rnd">
              <a:solidFill>
                <a:schemeClr val="accent4"/>
              </a:solidFill>
              <a:round/>
            </a:ln>
            <a:effectLst/>
          </c:spPr>
          <c:marker>
            <c:symbol val="none"/>
          </c:marker>
          <c:xVal>
            <c:numRef>
              <c:f>'CAV-S1-AP2-M2'!$H$22:$H$34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'CAV-S1-AP2-M2'!$L$22:$L$34</c:f>
              <c:numCache>
                <c:formatCode>0.000</c:formatCode>
                <c:ptCount val="13"/>
                <c:pt idx="0" formatCode="General">
                  <c:v>0</c:v>
                </c:pt>
                <c:pt idx="1">
                  <c:v>2.0501877851321283E-2</c:v>
                </c:pt>
                <c:pt idx="2">
                  <c:v>4.1668667593888591E-2</c:v>
                </c:pt>
                <c:pt idx="3">
                  <c:v>5.2795031055900617E-2</c:v>
                </c:pt>
                <c:pt idx="4">
                  <c:v>7.7432712215320901E-2</c:v>
                </c:pt>
                <c:pt idx="5">
                  <c:v>9.855072463768115E-2</c:v>
                </c:pt>
                <c:pt idx="6">
                  <c:v>0.11703989622360852</c:v>
                </c:pt>
                <c:pt idx="7">
                  <c:v>0.13173213851550833</c:v>
                </c:pt>
                <c:pt idx="8">
                  <c:v>0.14742046503058773</c:v>
                </c:pt>
                <c:pt idx="9">
                  <c:v>0.16086760204351302</c:v>
                </c:pt>
                <c:pt idx="10">
                  <c:v>0.22436797127121549</c:v>
                </c:pt>
                <c:pt idx="11">
                  <c:v>0.2820134575569358</c:v>
                </c:pt>
                <c:pt idx="12">
                  <c:v>0.32380952380952377</c:v>
                </c:pt>
              </c:numCache>
            </c:numRef>
          </c:yVal>
          <c:smooth val="1"/>
          <c:extLst>
            <c:ext xmlns:c16="http://schemas.microsoft.com/office/drawing/2014/chart" uri="{C3380CC4-5D6E-409C-BE32-E72D297353CC}">
              <c16:uniqueId val="{00000000-51F7-4044-ADE1-675A327CA638}"/>
            </c:ext>
          </c:extLst>
        </c:ser>
        <c:ser>
          <c:idx val="4"/>
          <c:order val="1"/>
          <c:tx>
            <c:v>MUESTRA SIN SUMERGIR</c:v>
          </c:tx>
          <c:spPr>
            <a:ln w="9525" cap="rnd">
              <a:solidFill>
                <a:schemeClr val="accent5"/>
              </a:solidFill>
              <a:round/>
            </a:ln>
            <a:effectLst/>
          </c:spPr>
          <c:marker>
            <c:symbol val="none"/>
          </c:marker>
          <c:xVal>
            <c:numRef>
              <c:f>'CAV-S1-AP2-M2'!$H$22:$H$34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'CAV-S1-AP2-M2'!$J$22:$J$34</c:f>
              <c:numCache>
                <c:formatCode>0.000</c:formatCode>
                <c:ptCount val="13"/>
                <c:pt idx="0" formatCode="General">
                  <c:v>0</c:v>
                </c:pt>
                <c:pt idx="1">
                  <c:v>7.9192546583850942E-2</c:v>
                </c:pt>
                <c:pt idx="2">
                  <c:v>0.12318840579710144</c:v>
                </c:pt>
                <c:pt idx="3">
                  <c:v>0.15631469979296067</c:v>
                </c:pt>
                <c:pt idx="4">
                  <c:v>0.18530020703933747</c:v>
                </c:pt>
                <c:pt idx="5">
                  <c:v>0.21118012422360247</c:v>
                </c:pt>
                <c:pt idx="6">
                  <c:v>0.24327122153209108</c:v>
                </c:pt>
                <c:pt idx="7">
                  <c:v>0.27380952380952384</c:v>
                </c:pt>
                <c:pt idx="8">
                  <c:v>0.30641821946169773</c:v>
                </c:pt>
                <c:pt idx="9">
                  <c:v>0.33436853002070394</c:v>
                </c:pt>
                <c:pt idx="10">
                  <c:v>0.46635610766045549</c:v>
                </c:pt>
                <c:pt idx="11">
                  <c:v>0.59627329192546574</c:v>
                </c:pt>
                <c:pt idx="12">
                  <c:v>0.70962732919254656</c:v>
                </c:pt>
              </c:numCache>
            </c:numRef>
          </c:yVal>
          <c:smooth val="1"/>
          <c:extLst>
            <c:ext xmlns:c16="http://schemas.microsoft.com/office/drawing/2014/chart" uri="{C3380CC4-5D6E-409C-BE32-E72D297353CC}">
              <c16:uniqueId val="{00000001-51F7-4044-ADE1-675A327CA638}"/>
            </c:ext>
          </c:extLst>
        </c:ser>
        <c:dLbls>
          <c:showLegendKey val="0"/>
          <c:showVal val="0"/>
          <c:showCatName val="0"/>
          <c:showSerName val="0"/>
          <c:showPercent val="0"/>
          <c:showBubbleSize val="0"/>
        </c:dLbls>
        <c:axId val="249761376"/>
        <c:axId val="249762160"/>
      </c:scatterChart>
      <c:valAx>
        <c:axId val="249761376"/>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s-CO"/>
                  <a:t>PENETRACIÓN (mm)</a:t>
                </a:r>
              </a:p>
            </c:rich>
          </c:tx>
          <c:overlay val="0"/>
          <c:spPr>
            <a:noFill/>
            <a:ln>
              <a:noFill/>
            </a:ln>
            <a:effectLst/>
          </c:spPr>
          <c:txPr>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0.000"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2160"/>
        <c:crosses val="autoZero"/>
        <c:crossBetween val="midCat"/>
      </c:valAx>
      <c:valAx>
        <c:axId val="249762160"/>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n-US"/>
                  <a:t>ESFUERZO (Mpa)</a:t>
                </a:r>
              </a:p>
            </c:rich>
          </c:tx>
          <c:overlay val="0"/>
          <c:spPr>
            <a:noFill/>
            <a:ln>
              <a:noFill/>
            </a:ln>
            <a:effectLst/>
          </c:spPr>
          <c:txPr>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1376"/>
        <c:crosses val="autoZero"/>
        <c:crossBetween val="midCat"/>
      </c:valAx>
      <c:spPr>
        <a:solidFill>
          <a:schemeClr val="lt1"/>
        </a:solidFill>
        <a:ln w="12700" cap="flat" cmpd="sng" algn="ctr">
          <a:solidFill>
            <a:schemeClr val="accent6"/>
          </a:solidFill>
          <a:prstDash val="solid"/>
          <a:miter lim="800000"/>
        </a:ln>
        <a:effectLst/>
      </c:spPr>
    </c:plotArea>
    <c:legend>
      <c:legendPos val="b"/>
      <c:layout>
        <c:manualLayout>
          <c:xMode val="edge"/>
          <c:yMode val="edge"/>
          <c:x val="1.9219567826425699E-6"/>
          <c:y val="0.91456538520920205"/>
          <c:w val="0.411132502223163"/>
          <c:h val="6.3025651205364006E-2"/>
        </c:manualLayout>
      </c:layout>
      <c:overlay val="0"/>
      <c:spPr>
        <a:noFill/>
        <a:ln>
          <a:noFill/>
        </a:ln>
        <a:effectLst/>
      </c:spPr>
      <c:txPr>
        <a:bodyPr rot="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legend>
    <c:plotVisOnly val="1"/>
    <c:dispBlanksAs val="gap"/>
    <c:showDLblsOverMax val="0"/>
    <c:extLst>
      <c:ext uri="{0b15fc19-7d7d-44ad-8c2d-2c3a37ce22c3}">
        <chartProps xmlns="https://web.wps.cn/et/2018/main" chartId="{ff9bb21e-49d7-4a43-bea7-6c5e78bc5cec}"/>
      </c:ext>
    </c:extLst>
  </c:chart>
  <c:spPr>
    <a:solidFill>
      <a:schemeClr val="lt1"/>
    </a:solidFill>
    <a:ln w="12700" cap="flat" cmpd="sng" algn="ctr">
      <a:solidFill>
        <a:schemeClr val="accent6"/>
      </a:solidFill>
      <a:prstDash val="solid"/>
      <a:miter lim="800000"/>
    </a:ln>
    <a:effectLst/>
  </c:spPr>
  <c:txPr>
    <a:bodyPr/>
    <a:lstStyle/>
    <a:p>
      <a:pPr>
        <a:defRPr lang="es-MX">
          <a:solidFill>
            <a:schemeClr val="dk1"/>
          </a:solidFill>
          <a:latin typeface="+mn-lt"/>
          <a:ea typeface="+mn-ea"/>
          <a:cs typeface="+mn-cs"/>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r>
              <a:rPr lang="en-US" sz="1400"/>
              <a:t>CBR MUESTRA INALTERADA ESFUERZO vs PENETRACIÓN </a:t>
            </a:r>
          </a:p>
        </c:rich>
      </c:tx>
      <c:overlay val="0"/>
      <c:spPr>
        <a:noFill/>
        <a:ln>
          <a:noFill/>
        </a:ln>
        <a:effectLst/>
      </c:spPr>
      <c:txPr>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endParaRPr lang="es-MX"/>
        </a:p>
      </c:txPr>
    </c:title>
    <c:autoTitleDeleted val="0"/>
    <c:plotArea>
      <c:layout>
        <c:manualLayout>
          <c:layoutTarget val="inner"/>
          <c:xMode val="edge"/>
          <c:yMode val="edge"/>
          <c:x val="7.3621035048203304E-2"/>
          <c:y val="0.120479002624672"/>
          <c:w val="0.88620553129602597"/>
          <c:h val="0.71051364829396302"/>
        </c:manualLayout>
      </c:layout>
      <c:scatterChart>
        <c:scatterStyle val="smoothMarker"/>
        <c:varyColors val="0"/>
        <c:ser>
          <c:idx val="3"/>
          <c:order val="0"/>
          <c:tx>
            <c:v>MUESTRA SUMERGIDA</c:v>
          </c:tx>
          <c:spPr>
            <a:ln w="9525" cap="rnd">
              <a:solidFill>
                <a:schemeClr val="accent4"/>
              </a:solidFill>
              <a:round/>
            </a:ln>
            <a:effectLst/>
          </c:spPr>
          <c:marker>
            <c:symbol val="none"/>
          </c:marker>
          <c:xVal>
            <c:numRef>
              <c:f>'CAV-S2-AP4-M2'!$H$22:$H$34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'CAV-S2-AP4-M2'!$L$22:$L$34</c:f>
              <c:numCache>
                <c:formatCode>0.000</c:formatCode>
                <c:ptCount val="13"/>
                <c:pt idx="0" formatCode="General">
                  <c:v>0</c:v>
                </c:pt>
                <c:pt idx="1">
                  <c:v>1.3975155279503104E-2</c:v>
                </c:pt>
                <c:pt idx="2">
                  <c:v>3.8302277432712216E-2</c:v>
                </c:pt>
                <c:pt idx="3">
                  <c:v>5.434782608695652E-2</c:v>
                </c:pt>
                <c:pt idx="4">
                  <c:v>6.5217391304347824E-2</c:v>
                </c:pt>
                <c:pt idx="5">
                  <c:v>7.2463768115942045E-2</c:v>
                </c:pt>
                <c:pt idx="6">
                  <c:v>7.9710144927536225E-2</c:v>
                </c:pt>
                <c:pt idx="7">
                  <c:v>8.7991718426501039E-2</c:v>
                </c:pt>
                <c:pt idx="8">
                  <c:v>9.5238095238095233E-2</c:v>
                </c:pt>
                <c:pt idx="9">
                  <c:v>0.10093167701863354</c:v>
                </c:pt>
                <c:pt idx="10">
                  <c:v>0.11749482401656314</c:v>
                </c:pt>
                <c:pt idx="11">
                  <c:v>0.13250517598343686</c:v>
                </c:pt>
                <c:pt idx="12">
                  <c:v>0.14285714285714288</c:v>
                </c:pt>
              </c:numCache>
            </c:numRef>
          </c:yVal>
          <c:smooth val="1"/>
          <c:extLst>
            <c:ext xmlns:c16="http://schemas.microsoft.com/office/drawing/2014/chart" uri="{C3380CC4-5D6E-409C-BE32-E72D297353CC}">
              <c16:uniqueId val="{00000000-D17E-4099-AAB7-A42679023059}"/>
            </c:ext>
          </c:extLst>
        </c:ser>
        <c:ser>
          <c:idx val="4"/>
          <c:order val="1"/>
          <c:tx>
            <c:v>MUESTRA SIN SUMERGIR</c:v>
          </c:tx>
          <c:spPr>
            <a:ln w="9525" cap="rnd">
              <a:solidFill>
                <a:schemeClr val="accent5"/>
              </a:solidFill>
              <a:round/>
            </a:ln>
            <a:effectLst/>
          </c:spPr>
          <c:marker>
            <c:symbol val="none"/>
          </c:marker>
          <c:xVal>
            <c:numRef>
              <c:f>'CAV-S2-AP4-M2'!$H$22:$H$34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'CAV-S2-AP4-M2'!$J$22:$J$34</c:f>
              <c:numCache>
                <c:formatCode>0.000</c:formatCode>
                <c:ptCount val="13"/>
                <c:pt idx="0" formatCode="General">
                  <c:v>0</c:v>
                </c:pt>
                <c:pt idx="1">
                  <c:v>1.9668737060041408E-2</c:v>
                </c:pt>
                <c:pt idx="2">
                  <c:v>4.917184265010352E-2</c:v>
                </c:pt>
                <c:pt idx="3">
                  <c:v>9.8861283643892336E-2</c:v>
                </c:pt>
                <c:pt idx="4">
                  <c:v>0.16821946169772256</c:v>
                </c:pt>
                <c:pt idx="5">
                  <c:v>0.24534161490683229</c:v>
                </c:pt>
                <c:pt idx="6">
                  <c:v>0.32349896480331264</c:v>
                </c:pt>
                <c:pt idx="7">
                  <c:v>0.39285714285714285</c:v>
                </c:pt>
                <c:pt idx="8">
                  <c:v>0.46790890269151142</c:v>
                </c:pt>
                <c:pt idx="9">
                  <c:v>0.53933747412008282</c:v>
                </c:pt>
                <c:pt idx="10">
                  <c:v>0.74637681159420277</c:v>
                </c:pt>
                <c:pt idx="11">
                  <c:v>0.90838509316770177</c:v>
                </c:pt>
                <c:pt idx="12">
                  <c:v>1.0331262939958592</c:v>
                </c:pt>
              </c:numCache>
            </c:numRef>
          </c:yVal>
          <c:smooth val="1"/>
          <c:extLst>
            <c:ext xmlns:c16="http://schemas.microsoft.com/office/drawing/2014/chart" uri="{C3380CC4-5D6E-409C-BE32-E72D297353CC}">
              <c16:uniqueId val="{00000001-D17E-4099-AAB7-A42679023059}"/>
            </c:ext>
          </c:extLst>
        </c:ser>
        <c:dLbls>
          <c:showLegendKey val="0"/>
          <c:showVal val="0"/>
          <c:showCatName val="0"/>
          <c:showSerName val="0"/>
          <c:showPercent val="0"/>
          <c:showBubbleSize val="0"/>
        </c:dLbls>
        <c:axId val="249761376"/>
        <c:axId val="249762160"/>
      </c:scatterChart>
      <c:valAx>
        <c:axId val="249761376"/>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s-CO"/>
                  <a:t>PENETRACIÓN (mm)</a:t>
                </a:r>
              </a:p>
            </c:rich>
          </c:tx>
          <c:overlay val="0"/>
          <c:spPr>
            <a:noFill/>
            <a:ln>
              <a:noFill/>
            </a:ln>
            <a:effectLst/>
          </c:spPr>
          <c:txPr>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0.000"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2160"/>
        <c:crosses val="autoZero"/>
        <c:crossBetween val="midCat"/>
      </c:valAx>
      <c:valAx>
        <c:axId val="249762160"/>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n-US"/>
                  <a:t>ESFUERZO (Mpa)</a:t>
                </a:r>
              </a:p>
            </c:rich>
          </c:tx>
          <c:overlay val="0"/>
          <c:spPr>
            <a:noFill/>
            <a:ln>
              <a:noFill/>
            </a:ln>
            <a:effectLst/>
          </c:spPr>
          <c:txPr>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1376"/>
        <c:crosses val="autoZero"/>
        <c:crossBetween val="midCat"/>
      </c:valAx>
      <c:spPr>
        <a:solidFill>
          <a:schemeClr val="lt1"/>
        </a:solidFill>
        <a:ln w="12700" cap="flat" cmpd="sng" algn="ctr">
          <a:solidFill>
            <a:schemeClr val="accent6"/>
          </a:solidFill>
          <a:prstDash val="solid"/>
          <a:miter lim="800000"/>
        </a:ln>
        <a:effectLst/>
      </c:spPr>
    </c:plotArea>
    <c:legend>
      <c:legendPos val="b"/>
      <c:layout>
        <c:manualLayout>
          <c:xMode val="edge"/>
          <c:yMode val="edge"/>
          <c:x val="1.9219567826425699E-6"/>
          <c:y val="0.91456538520920205"/>
          <c:w val="0.411132502223163"/>
          <c:h val="6.3025651205364006E-2"/>
        </c:manualLayout>
      </c:layout>
      <c:overlay val="0"/>
      <c:spPr>
        <a:noFill/>
        <a:ln>
          <a:noFill/>
        </a:ln>
        <a:effectLst/>
      </c:spPr>
      <c:txPr>
        <a:bodyPr rot="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legend>
    <c:plotVisOnly val="1"/>
    <c:dispBlanksAs val="gap"/>
    <c:showDLblsOverMax val="0"/>
    <c:extLst>
      <c:ext uri="{0b15fc19-7d7d-44ad-8c2d-2c3a37ce22c3}">
        <chartProps xmlns="https://web.wps.cn/et/2018/main" chartId="{ff9bb21e-49d7-4a43-bea7-6c5e78bc5cec}"/>
      </c:ext>
    </c:extLst>
  </c:chart>
  <c:spPr>
    <a:solidFill>
      <a:schemeClr val="lt1"/>
    </a:solidFill>
    <a:ln w="12700" cap="flat" cmpd="sng" algn="ctr">
      <a:solidFill>
        <a:schemeClr val="accent6"/>
      </a:solidFill>
      <a:prstDash val="solid"/>
      <a:miter lim="800000"/>
    </a:ln>
    <a:effectLst/>
  </c:spPr>
  <c:txPr>
    <a:bodyPr/>
    <a:lstStyle/>
    <a:p>
      <a:pPr>
        <a:defRPr lang="es-MX">
          <a:solidFill>
            <a:schemeClr val="dk1"/>
          </a:solidFill>
          <a:latin typeface="+mn-lt"/>
          <a:ea typeface="+mn-ea"/>
          <a:cs typeface="+mn-cs"/>
        </a:defRPr>
      </a:pPr>
      <a:endParaRPr lang="es-MX"/>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r>
              <a:rPr lang="en-US" sz="1400"/>
              <a:t>CBR MUESTRA INALTERADA ESFUERZO vs PENETRACIÓN </a:t>
            </a:r>
          </a:p>
        </c:rich>
      </c:tx>
      <c:overlay val="0"/>
      <c:spPr>
        <a:noFill/>
        <a:ln>
          <a:noFill/>
        </a:ln>
        <a:effectLst/>
      </c:spPr>
      <c:txPr>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endParaRPr lang="es-MX"/>
        </a:p>
      </c:txPr>
    </c:title>
    <c:autoTitleDeleted val="0"/>
    <c:plotArea>
      <c:layout>
        <c:manualLayout>
          <c:layoutTarget val="inner"/>
          <c:xMode val="edge"/>
          <c:yMode val="edge"/>
          <c:x val="7.3621035048203304E-2"/>
          <c:y val="0.120479002624672"/>
          <c:w val="0.88620553129602597"/>
          <c:h val="0.71051364829396302"/>
        </c:manualLayout>
      </c:layout>
      <c:scatterChart>
        <c:scatterStyle val="smoothMarker"/>
        <c:varyColors val="0"/>
        <c:ser>
          <c:idx val="3"/>
          <c:order val="0"/>
          <c:tx>
            <c:v>MUESTRA SUMERGIDA</c:v>
          </c:tx>
          <c:spPr>
            <a:ln w="9525" cap="rnd">
              <a:solidFill>
                <a:schemeClr val="accent4"/>
              </a:solidFill>
              <a:round/>
            </a:ln>
            <a:effectLst/>
          </c:spPr>
          <c:marker>
            <c:symbol val="none"/>
          </c:marker>
          <c:xVal>
            <c:numRef>
              <c:f>'CAV-AP4-M4'!$H$22:$H$34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'CAV-AP4-M4'!$L$22:$L$34</c:f>
              <c:numCache>
                <c:formatCode>0.000</c:formatCode>
                <c:ptCount val="13"/>
                <c:pt idx="0" formatCode="General">
                  <c:v>0</c:v>
                </c:pt>
                <c:pt idx="1">
                  <c:v>8.2815734989648039E-3</c:v>
                </c:pt>
                <c:pt idx="2">
                  <c:v>1.7598343685300208E-2</c:v>
                </c:pt>
                <c:pt idx="3">
                  <c:v>2.4844720496894412E-2</c:v>
                </c:pt>
                <c:pt idx="4">
                  <c:v>3.2608695652173912E-2</c:v>
                </c:pt>
                <c:pt idx="5">
                  <c:v>4.1407867494824016E-2</c:v>
                </c:pt>
                <c:pt idx="6">
                  <c:v>5.0724637681159424E-2</c:v>
                </c:pt>
                <c:pt idx="7">
                  <c:v>5.8488612836438927E-2</c:v>
                </c:pt>
                <c:pt idx="8">
                  <c:v>6.4699792960662528E-2</c:v>
                </c:pt>
                <c:pt idx="9">
                  <c:v>6.8840579710144928E-2</c:v>
                </c:pt>
                <c:pt idx="10">
                  <c:v>8.6956521739130432E-2</c:v>
                </c:pt>
                <c:pt idx="11">
                  <c:v>0.10455486542443064</c:v>
                </c:pt>
                <c:pt idx="12">
                  <c:v>0.12215320910973083</c:v>
                </c:pt>
              </c:numCache>
            </c:numRef>
          </c:yVal>
          <c:smooth val="1"/>
          <c:extLst>
            <c:ext xmlns:c16="http://schemas.microsoft.com/office/drawing/2014/chart" uri="{C3380CC4-5D6E-409C-BE32-E72D297353CC}">
              <c16:uniqueId val="{00000000-8763-4BC3-895E-D9649213E758}"/>
            </c:ext>
          </c:extLst>
        </c:ser>
        <c:ser>
          <c:idx val="4"/>
          <c:order val="1"/>
          <c:tx>
            <c:v>MUESTRA SIN SUMERGIR</c:v>
          </c:tx>
          <c:spPr>
            <a:ln w="9525" cap="rnd">
              <a:solidFill>
                <a:schemeClr val="accent5"/>
              </a:solidFill>
              <a:round/>
            </a:ln>
            <a:effectLst/>
          </c:spPr>
          <c:marker>
            <c:symbol val="none"/>
          </c:marker>
          <c:xVal>
            <c:numRef>
              <c:f>'CAV-AP4-M4'!$H$22:$H$34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'CAV-AP4-M4'!$J$22:$J$34</c:f>
              <c:numCache>
                <c:formatCode>0.000</c:formatCode>
                <c:ptCount val="13"/>
                <c:pt idx="0" formatCode="General">
                  <c:v>0</c:v>
                </c:pt>
                <c:pt idx="1">
                  <c:v>8.0227743271221535E-2</c:v>
                </c:pt>
                <c:pt idx="2">
                  <c:v>0.14182194616977226</c:v>
                </c:pt>
                <c:pt idx="3">
                  <c:v>0.21583850931677018</c:v>
                </c:pt>
                <c:pt idx="4">
                  <c:v>0.26966873706004141</c:v>
                </c:pt>
                <c:pt idx="5">
                  <c:v>0.31418219461697716</c:v>
                </c:pt>
                <c:pt idx="6">
                  <c:v>0.3571428571428571</c:v>
                </c:pt>
                <c:pt idx="7">
                  <c:v>0.39285714285714285</c:v>
                </c:pt>
                <c:pt idx="8">
                  <c:v>0.41925465838509318</c:v>
                </c:pt>
                <c:pt idx="9">
                  <c:v>0.44202898550724634</c:v>
                </c:pt>
                <c:pt idx="10">
                  <c:v>0.54606625258799169</c:v>
                </c:pt>
                <c:pt idx="11">
                  <c:v>0.6288819875776398</c:v>
                </c:pt>
                <c:pt idx="12">
                  <c:v>0.70082815734989645</c:v>
                </c:pt>
              </c:numCache>
            </c:numRef>
          </c:yVal>
          <c:smooth val="1"/>
          <c:extLst>
            <c:ext xmlns:c16="http://schemas.microsoft.com/office/drawing/2014/chart" uri="{C3380CC4-5D6E-409C-BE32-E72D297353CC}">
              <c16:uniqueId val="{00000001-8763-4BC3-895E-D9649213E758}"/>
            </c:ext>
          </c:extLst>
        </c:ser>
        <c:dLbls>
          <c:showLegendKey val="0"/>
          <c:showVal val="0"/>
          <c:showCatName val="0"/>
          <c:showSerName val="0"/>
          <c:showPercent val="0"/>
          <c:showBubbleSize val="0"/>
        </c:dLbls>
        <c:axId val="249761376"/>
        <c:axId val="249762160"/>
      </c:scatterChart>
      <c:valAx>
        <c:axId val="249761376"/>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s-CO"/>
                  <a:t>PENETRACIÓN (mm)</a:t>
                </a:r>
              </a:p>
            </c:rich>
          </c:tx>
          <c:overlay val="0"/>
          <c:spPr>
            <a:noFill/>
            <a:ln>
              <a:noFill/>
            </a:ln>
            <a:effectLst/>
          </c:spPr>
          <c:txPr>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0.000"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2160"/>
        <c:crosses val="autoZero"/>
        <c:crossBetween val="midCat"/>
      </c:valAx>
      <c:valAx>
        <c:axId val="249762160"/>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n-US"/>
                  <a:t>ESFUERZO (Mpa)</a:t>
                </a:r>
              </a:p>
            </c:rich>
          </c:tx>
          <c:overlay val="0"/>
          <c:spPr>
            <a:noFill/>
            <a:ln>
              <a:noFill/>
            </a:ln>
            <a:effectLst/>
          </c:spPr>
          <c:txPr>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1376"/>
        <c:crosses val="autoZero"/>
        <c:crossBetween val="midCat"/>
      </c:valAx>
      <c:spPr>
        <a:solidFill>
          <a:schemeClr val="lt1"/>
        </a:solidFill>
        <a:ln w="12700" cap="flat" cmpd="sng" algn="ctr">
          <a:solidFill>
            <a:schemeClr val="accent6"/>
          </a:solidFill>
          <a:prstDash val="solid"/>
          <a:miter lim="800000"/>
        </a:ln>
        <a:effectLst/>
      </c:spPr>
    </c:plotArea>
    <c:legend>
      <c:legendPos val="b"/>
      <c:layout>
        <c:manualLayout>
          <c:xMode val="edge"/>
          <c:yMode val="edge"/>
          <c:x val="1.9219567826425699E-6"/>
          <c:y val="0.91456538520920205"/>
          <c:w val="0.411132502223163"/>
          <c:h val="6.3025651205364006E-2"/>
        </c:manualLayout>
      </c:layout>
      <c:overlay val="0"/>
      <c:spPr>
        <a:noFill/>
        <a:ln>
          <a:noFill/>
        </a:ln>
        <a:effectLst/>
      </c:spPr>
      <c:txPr>
        <a:bodyPr rot="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legend>
    <c:plotVisOnly val="1"/>
    <c:dispBlanksAs val="gap"/>
    <c:showDLblsOverMax val="0"/>
    <c:extLst>
      <c:ext uri="{0b15fc19-7d7d-44ad-8c2d-2c3a37ce22c3}">
        <chartProps xmlns="https://web.wps.cn/et/2018/main" chartId="{ff9bb21e-49d7-4a43-bea7-6c5e78bc5cec}"/>
      </c:ext>
    </c:extLst>
  </c:chart>
  <c:spPr>
    <a:solidFill>
      <a:schemeClr val="lt1"/>
    </a:solidFill>
    <a:ln w="12700" cap="flat" cmpd="sng" algn="ctr">
      <a:solidFill>
        <a:schemeClr val="accent6"/>
      </a:solidFill>
      <a:prstDash val="solid"/>
      <a:miter lim="800000"/>
    </a:ln>
    <a:effectLst/>
  </c:spPr>
  <c:txPr>
    <a:bodyPr/>
    <a:lstStyle/>
    <a:p>
      <a:pPr>
        <a:defRPr lang="es-MX">
          <a:solidFill>
            <a:schemeClr val="dk1"/>
          </a:solidFill>
          <a:latin typeface="+mn-lt"/>
          <a:ea typeface="+mn-ea"/>
          <a:cs typeface="+mn-cs"/>
        </a:defRPr>
      </a:pPr>
      <a:endParaRPr lang="es-MX"/>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r>
              <a:rPr lang="en-US" sz="1400"/>
              <a:t>CBR MUESTRA INALTERADA ESFUERZO vs PENETRACIÓN </a:t>
            </a:r>
          </a:p>
        </c:rich>
      </c:tx>
      <c:overlay val="0"/>
      <c:spPr>
        <a:noFill/>
        <a:ln>
          <a:noFill/>
        </a:ln>
        <a:effectLst/>
      </c:spPr>
      <c:txPr>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endParaRPr lang="es-MX"/>
        </a:p>
      </c:txPr>
    </c:title>
    <c:autoTitleDeleted val="0"/>
    <c:plotArea>
      <c:layout>
        <c:manualLayout>
          <c:layoutTarget val="inner"/>
          <c:xMode val="edge"/>
          <c:yMode val="edge"/>
          <c:x val="7.3621035048203304E-2"/>
          <c:y val="0.120479002624672"/>
          <c:w val="0.88620553129602597"/>
          <c:h val="0.71051364829396302"/>
        </c:manualLayout>
      </c:layout>
      <c:scatterChart>
        <c:scatterStyle val="smoothMarker"/>
        <c:varyColors val="0"/>
        <c:ser>
          <c:idx val="3"/>
          <c:order val="0"/>
          <c:tx>
            <c:v>MUESTRA SUMERGIDA</c:v>
          </c:tx>
          <c:spPr>
            <a:ln w="9525" cap="rnd">
              <a:solidFill>
                <a:schemeClr val="accent4"/>
              </a:solidFill>
              <a:round/>
            </a:ln>
            <a:effectLst/>
          </c:spPr>
          <c:marker>
            <c:symbol val="none"/>
          </c:marker>
          <c:xVal>
            <c:numRef>
              <c:f>'PALMASECA AP1 M4'!$H$22:$H$34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'PALMASECA AP1 M4'!$L$22:$L$34</c:f>
              <c:numCache>
                <c:formatCode>0.000</c:formatCode>
                <c:ptCount val="13"/>
                <c:pt idx="0" formatCode="General">
                  <c:v>0</c:v>
                </c:pt>
                <c:pt idx="1">
                  <c:v>5.745341614906832E-2</c:v>
                </c:pt>
                <c:pt idx="2">
                  <c:v>8.9026915113871619E-2</c:v>
                </c:pt>
                <c:pt idx="3">
                  <c:v>0.10403726708074534</c:v>
                </c:pt>
                <c:pt idx="4">
                  <c:v>0.11180124223602483</c:v>
                </c:pt>
                <c:pt idx="5">
                  <c:v>0.11697722567287785</c:v>
                </c:pt>
                <c:pt idx="6">
                  <c:v>0.12215320910973083</c:v>
                </c:pt>
                <c:pt idx="7">
                  <c:v>0.12577639751552794</c:v>
                </c:pt>
                <c:pt idx="8">
                  <c:v>0.13095238095238096</c:v>
                </c:pt>
                <c:pt idx="9">
                  <c:v>0.13509316770186336</c:v>
                </c:pt>
                <c:pt idx="10">
                  <c:v>0.14544513457556937</c:v>
                </c:pt>
                <c:pt idx="11">
                  <c:v>0.15476190476190474</c:v>
                </c:pt>
                <c:pt idx="12">
                  <c:v>0.16459627329192544</c:v>
                </c:pt>
              </c:numCache>
            </c:numRef>
          </c:yVal>
          <c:smooth val="1"/>
          <c:extLst>
            <c:ext xmlns:c16="http://schemas.microsoft.com/office/drawing/2014/chart" uri="{C3380CC4-5D6E-409C-BE32-E72D297353CC}">
              <c16:uniqueId val="{00000000-D05A-4ED7-A29B-547289F5C0E2}"/>
            </c:ext>
          </c:extLst>
        </c:ser>
        <c:ser>
          <c:idx val="4"/>
          <c:order val="1"/>
          <c:tx>
            <c:v>MUESTRA SIN SUMERGIR</c:v>
          </c:tx>
          <c:spPr>
            <a:ln w="9525" cap="rnd">
              <a:solidFill>
                <a:schemeClr val="accent5"/>
              </a:solidFill>
              <a:round/>
            </a:ln>
            <a:effectLst/>
          </c:spPr>
          <c:marker>
            <c:symbol val="none"/>
          </c:marker>
          <c:xVal>
            <c:numRef>
              <c:f>'PALMASECA AP1 M4'!$H$22:$H$34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'PALMASECA AP1 M4'!$J$22:$J$34</c:f>
              <c:numCache>
                <c:formatCode>0.000</c:formatCode>
                <c:ptCount val="13"/>
                <c:pt idx="0" formatCode="General">
                  <c:v>0</c:v>
                </c:pt>
                <c:pt idx="1">
                  <c:v>6.7805383022774335E-2</c:v>
                </c:pt>
                <c:pt idx="2">
                  <c:v>0.29451345755693575</c:v>
                </c:pt>
                <c:pt idx="3">
                  <c:v>0.46480331262939961</c:v>
                </c:pt>
                <c:pt idx="4">
                  <c:v>0.55641821946169767</c:v>
                </c:pt>
                <c:pt idx="5">
                  <c:v>0.63664596273291918</c:v>
                </c:pt>
                <c:pt idx="6">
                  <c:v>0.70755693581780532</c:v>
                </c:pt>
                <c:pt idx="7">
                  <c:v>0.78519668737060044</c:v>
                </c:pt>
                <c:pt idx="8">
                  <c:v>0.86231884057971009</c:v>
                </c:pt>
                <c:pt idx="9">
                  <c:v>0.91149068322981364</c:v>
                </c:pt>
                <c:pt idx="10">
                  <c:v>1.0398550724637681</c:v>
                </c:pt>
                <c:pt idx="11">
                  <c:v>1.0719461697722568</c:v>
                </c:pt>
                <c:pt idx="12">
                  <c:v>1.0838509316770186</c:v>
                </c:pt>
              </c:numCache>
            </c:numRef>
          </c:yVal>
          <c:smooth val="1"/>
          <c:extLst>
            <c:ext xmlns:c16="http://schemas.microsoft.com/office/drawing/2014/chart" uri="{C3380CC4-5D6E-409C-BE32-E72D297353CC}">
              <c16:uniqueId val="{00000001-D05A-4ED7-A29B-547289F5C0E2}"/>
            </c:ext>
          </c:extLst>
        </c:ser>
        <c:dLbls>
          <c:showLegendKey val="0"/>
          <c:showVal val="0"/>
          <c:showCatName val="0"/>
          <c:showSerName val="0"/>
          <c:showPercent val="0"/>
          <c:showBubbleSize val="0"/>
        </c:dLbls>
        <c:axId val="249761376"/>
        <c:axId val="249762160"/>
      </c:scatterChart>
      <c:valAx>
        <c:axId val="249761376"/>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s-CO"/>
                  <a:t>PENETRACIÓN (mm)</a:t>
                </a:r>
              </a:p>
            </c:rich>
          </c:tx>
          <c:overlay val="0"/>
          <c:spPr>
            <a:noFill/>
            <a:ln>
              <a:noFill/>
            </a:ln>
            <a:effectLst/>
          </c:spPr>
          <c:txPr>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0.000"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2160"/>
        <c:crosses val="autoZero"/>
        <c:crossBetween val="midCat"/>
      </c:valAx>
      <c:valAx>
        <c:axId val="249762160"/>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n-US"/>
                  <a:t>ESFUERZO (Mpa)</a:t>
                </a:r>
              </a:p>
            </c:rich>
          </c:tx>
          <c:overlay val="0"/>
          <c:spPr>
            <a:noFill/>
            <a:ln>
              <a:noFill/>
            </a:ln>
            <a:effectLst/>
          </c:spPr>
          <c:txPr>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1376"/>
        <c:crosses val="autoZero"/>
        <c:crossBetween val="midCat"/>
      </c:valAx>
      <c:spPr>
        <a:solidFill>
          <a:schemeClr val="lt1"/>
        </a:solidFill>
        <a:ln w="12700" cap="flat" cmpd="sng" algn="ctr">
          <a:solidFill>
            <a:schemeClr val="accent6"/>
          </a:solidFill>
          <a:prstDash val="solid"/>
          <a:miter lim="800000"/>
        </a:ln>
        <a:effectLst/>
      </c:spPr>
    </c:plotArea>
    <c:legend>
      <c:legendPos val="b"/>
      <c:layout>
        <c:manualLayout>
          <c:xMode val="edge"/>
          <c:yMode val="edge"/>
          <c:x val="1.9219567826425699E-6"/>
          <c:y val="0.91456538520920205"/>
          <c:w val="0.411132502223163"/>
          <c:h val="6.3025651205364006E-2"/>
        </c:manualLayout>
      </c:layout>
      <c:overlay val="0"/>
      <c:spPr>
        <a:noFill/>
        <a:ln>
          <a:noFill/>
        </a:ln>
        <a:effectLst/>
      </c:spPr>
      <c:txPr>
        <a:bodyPr rot="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legend>
    <c:plotVisOnly val="1"/>
    <c:dispBlanksAs val="gap"/>
    <c:showDLblsOverMax val="0"/>
    <c:extLst>
      <c:ext uri="{0b15fc19-7d7d-44ad-8c2d-2c3a37ce22c3}">
        <chartProps xmlns="https://web.wps.cn/et/2018/main" chartId="{ff9bb21e-49d7-4a43-bea7-6c5e78bc5cec}"/>
      </c:ext>
    </c:extLst>
  </c:chart>
  <c:spPr>
    <a:solidFill>
      <a:schemeClr val="lt1"/>
    </a:solidFill>
    <a:ln w="12700" cap="flat" cmpd="sng" algn="ctr">
      <a:solidFill>
        <a:schemeClr val="accent6"/>
      </a:solidFill>
      <a:prstDash val="solid"/>
      <a:miter lim="800000"/>
    </a:ln>
    <a:effectLst/>
  </c:spPr>
  <c:txPr>
    <a:bodyPr/>
    <a:lstStyle/>
    <a:p>
      <a:pPr>
        <a:defRPr lang="es-MX">
          <a:solidFill>
            <a:schemeClr val="dk1"/>
          </a:solidFill>
          <a:latin typeface="+mn-lt"/>
          <a:ea typeface="+mn-ea"/>
          <a:cs typeface="+mn-cs"/>
        </a:defRPr>
      </a:pPr>
      <a:endParaRPr lang="es-MX"/>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r>
              <a:rPr lang="en-US" sz="1400"/>
              <a:t>CBR MUESTRA INALTERADA ESFUERZO vs PENETRACIÓN </a:t>
            </a:r>
          </a:p>
        </c:rich>
      </c:tx>
      <c:overlay val="0"/>
      <c:spPr>
        <a:noFill/>
        <a:ln>
          <a:noFill/>
        </a:ln>
        <a:effectLst/>
      </c:spPr>
      <c:txPr>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endParaRPr lang="es-MX"/>
        </a:p>
      </c:txPr>
    </c:title>
    <c:autoTitleDeleted val="0"/>
    <c:plotArea>
      <c:layout>
        <c:manualLayout>
          <c:layoutTarget val="inner"/>
          <c:xMode val="edge"/>
          <c:yMode val="edge"/>
          <c:x val="7.3621035048203304E-2"/>
          <c:y val="0.120479002624672"/>
          <c:w val="0.88620553129602597"/>
          <c:h val="0.71051364829396302"/>
        </c:manualLayout>
      </c:layout>
      <c:scatterChart>
        <c:scatterStyle val="smoothMarker"/>
        <c:varyColors val="0"/>
        <c:ser>
          <c:idx val="3"/>
          <c:order val="0"/>
          <c:tx>
            <c:v>MUESTRA SUMERGIDA</c:v>
          </c:tx>
          <c:spPr>
            <a:ln w="9525" cap="rnd">
              <a:solidFill>
                <a:schemeClr val="accent4"/>
              </a:solidFill>
              <a:round/>
            </a:ln>
            <a:effectLst/>
          </c:spPr>
          <c:marker>
            <c:symbol val="none"/>
          </c:marker>
          <c:xVal>
            <c:numRef>
              <c:f>'PALMASECA AP2 M3'!$H$22:$H$34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'PALMASECA AP2 M3'!$L$22:$L$34</c:f>
              <c:numCache>
                <c:formatCode>0.000</c:formatCode>
                <c:ptCount val="13"/>
                <c:pt idx="0" formatCode="General">
                  <c:v>0</c:v>
                </c:pt>
                <c:pt idx="1">
                  <c:v>1.8115942028985511E-2</c:v>
                </c:pt>
                <c:pt idx="2">
                  <c:v>4.296066252587992E-2</c:v>
                </c:pt>
                <c:pt idx="3">
                  <c:v>5.8488612836438927E-2</c:v>
                </c:pt>
                <c:pt idx="4">
                  <c:v>7.4016563146997921E-2</c:v>
                </c:pt>
                <c:pt idx="5">
                  <c:v>8.5921325051759839E-2</c:v>
                </c:pt>
                <c:pt idx="6">
                  <c:v>9.5755693581780543E-2</c:v>
                </c:pt>
                <c:pt idx="7">
                  <c:v>0.10455486542443064</c:v>
                </c:pt>
                <c:pt idx="8">
                  <c:v>0.11128364389233954</c:v>
                </c:pt>
                <c:pt idx="9">
                  <c:v>0.11956521739130435</c:v>
                </c:pt>
                <c:pt idx="10">
                  <c:v>0.14699792960662525</c:v>
                </c:pt>
                <c:pt idx="11">
                  <c:v>0.17443064182194618</c:v>
                </c:pt>
                <c:pt idx="12">
                  <c:v>0.2044513457556936</c:v>
                </c:pt>
              </c:numCache>
            </c:numRef>
          </c:yVal>
          <c:smooth val="1"/>
          <c:extLst>
            <c:ext xmlns:c16="http://schemas.microsoft.com/office/drawing/2014/chart" uri="{C3380CC4-5D6E-409C-BE32-E72D297353CC}">
              <c16:uniqueId val="{00000000-C0EE-41C5-94FB-1BD27D6E7BFB}"/>
            </c:ext>
          </c:extLst>
        </c:ser>
        <c:ser>
          <c:idx val="4"/>
          <c:order val="1"/>
          <c:tx>
            <c:v>MUESTRA SIN SUMERGIR</c:v>
          </c:tx>
          <c:spPr>
            <a:ln w="9525" cap="rnd">
              <a:solidFill>
                <a:schemeClr val="accent5"/>
              </a:solidFill>
              <a:round/>
            </a:ln>
            <a:effectLst/>
          </c:spPr>
          <c:marker>
            <c:symbol val="none"/>
          </c:marker>
          <c:xVal>
            <c:numRef>
              <c:f>'PALMASECA AP2 M3'!$H$22:$H$34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'PALMASECA AP2 M3'!$J$22:$J$34</c:f>
              <c:numCache>
                <c:formatCode>0.000</c:formatCode>
                <c:ptCount val="13"/>
                <c:pt idx="0" formatCode="General">
                  <c:v>0</c:v>
                </c:pt>
                <c:pt idx="1">
                  <c:v>7.6604554865424432E-2</c:v>
                </c:pt>
                <c:pt idx="2">
                  <c:v>0.15734989648033126</c:v>
                </c:pt>
                <c:pt idx="3">
                  <c:v>0.25414078674948237</c:v>
                </c:pt>
                <c:pt idx="4">
                  <c:v>0.33436853002070394</c:v>
                </c:pt>
                <c:pt idx="5">
                  <c:v>0.40165631469979302</c:v>
                </c:pt>
                <c:pt idx="6">
                  <c:v>0.45238095238095238</c:v>
                </c:pt>
                <c:pt idx="7">
                  <c:v>0.49275362318840576</c:v>
                </c:pt>
                <c:pt idx="8">
                  <c:v>0.53519668737060044</c:v>
                </c:pt>
                <c:pt idx="9">
                  <c:v>0.57298136645962738</c:v>
                </c:pt>
                <c:pt idx="10">
                  <c:v>0.65734989648033126</c:v>
                </c:pt>
                <c:pt idx="11">
                  <c:v>0.69979296066252594</c:v>
                </c:pt>
                <c:pt idx="12">
                  <c:v>0.72204968944099379</c:v>
                </c:pt>
              </c:numCache>
            </c:numRef>
          </c:yVal>
          <c:smooth val="1"/>
          <c:extLst>
            <c:ext xmlns:c16="http://schemas.microsoft.com/office/drawing/2014/chart" uri="{C3380CC4-5D6E-409C-BE32-E72D297353CC}">
              <c16:uniqueId val="{00000001-C0EE-41C5-94FB-1BD27D6E7BFB}"/>
            </c:ext>
          </c:extLst>
        </c:ser>
        <c:dLbls>
          <c:showLegendKey val="0"/>
          <c:showVal val="0"/>
          <c:showCatName val="0"/>
          <c:showSerName val="0"/>
          <c:showPercent val="0"/>
          <c:showBubbleSize val="0"/>
        </c:dLbls>
        <c:axId val="249761376"/>
        <c:axId val="249762160"/>
      </c:scatterChart>
      <c:valAx>
        <c:axId val="249761376"/>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s-CO"/>
                  <a:t>PENETRACIÓN (mm)</a:t>
                </a:r>
              </a:p>
            </c:rich>
          </c:tx>
          <c:overlay val="0"/>
          <c:spPr>
            <a:noFill/>
            <a:ln>
              <a:noFill/>
            </a:ln>
            <a:effectLst/>
          </c:spPr>
          <c:txPr>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0.000"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2160"/>
        <c:crosses val="autoZero"/>
        <c:crossBetween val="midCat"/>
      </c:valAx>
      <c:valAx>
        <c:axId val="249762160"/>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n-US"/>
                  <a:t>ESFUERZO (Mpa)</a:t>
                </a:r>
              </a:p>
            </c:rich>
          </c:tx>
          <c:overlay val="0"/>
          <c:spPr>
            <a:noFill/>
            <a:ln>
              <a:noFill/>
            </a:ln>
            <a:effectLst/>
          </c:spPr>
          <c:txPr>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1376"/>
        <c:crosses val="autoZero"/>
        <c:crossBetween val="midCat"/>
      </c:valAx>
      <c:spPr>
        <a:solidFill>
          <a:schemeClr val="lt1"/>
        </a:solidFill>
        <a:ln w="12700" cap="flat" cmpd="sng" algn="ctr">
          <a:solidFill>
            <a:schemeClr val="accent6"/>
          </a:solidFill>
          <a:prstDash val="solid"/>
          <a:miter lim="800000"/>
        </a:ln>
        <a:effectLst/>
      </c:spPr>
    </c:plotArea>
    <c:legend>
      <c:legendPos val="b"/>
      <c:layout>
        <c:manualLayout>
          <c:xMode val="edge"/>
          <c:yMode val="edge"/>
          <c:x val="1.9219567826425699E-6"/>
          <c:y val="0.91456538520920205"/>
          <c:w val="0.411132502223163"/>
          <c:h val="6.3025651205364006E-2"/>
        </c:manualLayout>
      </c:layout>
      <c:overlay val="0"/>
      <c:spPr>
        <a:noFill/>
        <a:ln>
          <a:noFill/>
        </a:ln>
        <a:effectLst/>
      </c:spPr>
      <c:txPr>
        <a:bodyPr rot="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legend>
    <c:plotVisOnly val="1"/>
    <c:dispBlanksAs val="gap"/>
    <c:showDLblsOverMax val="0"/>
    <c:extLst>
      <c:ext uri="{0b15fc19-7d7d-44ad-8c2d-2c3a37ce22c3}">
        <chartProps xmlns="https://web.wps.cn/et/2018/main" chartId="{ff9bb21e-49d7-4a43-bea7-6c5e78bc5cec}"/>
      </c:ext>
    </c:extLst>
  </c:chart>
  <c:spPr>
    <a:solidFill>
      <a:schemeClr val="lt1"/>
    </a:solidFill>
    <a:ln w="12700" cap="flat" cmpd="sng" algn="ctr">
      <a:solidFill>
        <a:schemeClr val="accent6"/>
      </a:solidFill>
      <a:prstDash val="solid"/>
      <a:miter lim="800000"/>
    </a:ln>
    <a:effectLst/>
  </c:spPr>
  <c:txPr>
    <a:bodyPr/>
    <a:lstStyle/>
    <a:p>
      <a:pPr>
        <a:defRPr lang="es-MX">
          <a:solidFill>
            <a:schemeClr val="dk1"/>
          </a:solidFill>
          <a:latin typeface="+mn-lt"/>
          <a:ea typeface="+mn-ea"/>
          <a:cs typeface="+mn-cs"/>
        </a:defRPr>
      </a:pPr>
      <a:endParaRPr lang="es-MX"/>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r>
              <a:rPr lang="en-US" sz="1400"/>
              <a:t>CBR MUESTRA INALTERADA ESFUERZO vs PENETRACIÓN </a:t>
            </a:r>
          </a:p>
        </c:rich>
      </c:tx>
      <c:overlay val="0"/>
      <c:spPr>
        <a:noFill/>
        <a:ln>
          <a:noFill/>
        </a:ln>
        <a:effectLst/>
      </c:spPr>
      <c:txPr>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endParaRPr lang="es-MX"/>
        </a:p>
      </c:txPr>
    </c:title>
    <c:autoTitleDeleted val="0"/>
    <c:plotArea>
      <c:layout>
        <c:manualLayout>
          <c:layoutTarget val="inner"/>
          <c:xMode val="edge"/>
          <c:yMode val="edge"/>
          <c:x val="7.3621035048203304E-2"/>
          <c:y val="0.120479002624672"/>
          <c:w val="0.88620553129602597"/>
          <c:h val="0.71051364829396302"/>
        </c:manualLayout>
      </c:layout>
      <c:scatterChart>
        <c:scatterStyle val="smoothMarker"/>
        <c:varyColors val="0"/>
        <c:ser>
          <c:idx val="3"/>
          <c:order val="0"/>
          <c:tx>
            <c:v>MUESTRA SUMERGIDA</c:v>
          </c:tx>
          <c:spPr>
            <a:ln w="9525" cap="rnd">
              <a:solidFill>
                <a:schemeClr val="accent4"/>
              </a:solidFill>
              <a:round/>
            </a:ln>
            <a:effectLst/>
          </c:spPr>
          <c:marker>
            <c:symbol val="none"/>
          </c:marker>
          <c:xVal>
            <c:numRef>
              <c:f>'PALMASECA AP3 M3'!$H$22:$H$34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'PALMASECA AP3 M3'!$L$22:$L$34</c:f>
              <c:numCache>
                <c:formatCode>0.000</c:formatCode>
                <c:ptCount val="13"/>
                <c:pt idx="0" formatCode="General">
                  <c:v>0</c:v>
                </c:pt>
                <c:pt idx="1">
                  <c:v>3.0020703933747412E-2</c:v>
                </c:pt>
                <c:pt idx="2">
                  <c:v>6.6770186335403728E-2</c:v>
                </c:pt>
                <c:pt idx="3">
                  <c:v>0.11024844720496893</c:v>
                </c:pt>
                <c:pt idx="4">
                  <c:v>0.14130434782608697</c:v>
                </c:pt>
                <c:pt idx="5">
                  <c:v>0.16200828157349897</c:v>
                </c:pt>
                <c:pt idx="6">
                  <c:v>0.18892339544513456</c:v>
                </c:pt>
                <c:pt idx="7">
                  <c:v>0.21169772256728778</c:v>
                </c:pt>
                <c:pt idx="8">
                  <c:v>0.23447204968944102</c:v>
                </c:pt>
                <c:pt idx="9">
                  <c:v>0.25051759834368531</c:v>
                </c:pt>
                <c:pt idx="10">
                  <c:v>0.31780538302277428</c:v>
                </c:pt>
                <c:pt idx="11">
                  <c:v>0.3737060041407867</c:v>
                </c:pt>
                <c:pt idx="12">
                  <c:v>0.42132505175983437</c:v>
                </c:pt>
              </c:numCache>
            </c:numRef>
          </c:yVal>
          <c:smooth val="1"/>
          <c:extLst>
            <c:ext xmlns:c16="http://schemas.microsoft.com/office/drawing/2014/chart" uri="{C3380CC4-5D6E-409C-BE32-E72D297353CC}">
              <c16:uniqueId val="{00000000-E016-4DDE-8530-6F62A368835F}"/>
            </c:ext>
          </c:extLst>
        </c:ser>
        <c:ser>
          <c:idx val="4"/>
          <c:order val="1"/>
          <c:tx>
            <c:v>MUESTRA SIN SUMERGIR</c:v>
          </c:tx>
          <c:spPr>
            <a:ln w="9525" cap="rnd">
              <a:solidFill>
                <a:schemeClr val="accent5"/>
              </a:solidFill>
              <a:round/>
            </a:ln>
            <a:effectLst/>
          </c:spPr>
          <c:marker>
            <c:symbol val="none"/>
          </c:marker>
          <c:xVal>
            <c:numRef>
              <c:f>'PALMASECA AP3 M3'!$H$22:$H$34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'PALMASECA AP3 M3'!$J$22:$J$34</c:f>
              <c:numCache>
                <c:formatCode>0.000</c:formatCode>
                <c:ptCount val="13"/>
                <c:pt idx="0" formatCode="General">
                  <c:v>0</c:v>
                </c:pt>
                <c:pt idx="1">
                  <c:v>0.10662525879917184</c:v>
                </c:pt>
                <c:pt idx="2">
                  <c:v>0.23033126293995859</c:v>
                </c:pt>
                <c:pt idx="3">
                  <c:v>0.35351966873706009</c:v>
                </c:pt>
                <c:pt idx="4">
                  <c:v>0.49999999999999994</c:v>
                </c:pt>
                <c:pt idx="5">
                  <c:v>0.61180124223602483</c:v>
                </c:pt>
                <c:pt idx="6">
                  <c:v>0.68685300207039335</c:v>
                </c:pt>
                <c:pt idx="7">
                  <c:v>0.75983436853002073</c:v>
                </c:pt>
                <c:pt idx="8">
                  <c:v>0.84730848861283636</c:v>
                </c:pt>
                <c:pt idx="9">
                  <c:v>0.91977225672877849</c:v>
                </c:pt>
                <c:pt idx="10">
                  <c:v>1.1288819875776397</c:v>
                </c:pt>
                <c:pt idx="11">
                  <c:v>1.2914078674948239</c:v>
                </c:pt>
                <c:pt idx="12">
                  <c:v>1.4280538302277432</c:v>
                </c:pt>
              </c:numCache>
            </c:numRef>
          </c:yVal>
          <c:smooth val="1"/>
          <c:extLst>
            <c:ext xmlns:c16="http://schemas.microsoft.com/office/drawing/2014/chart" uri="{C3380CC4-5D6E-409C-BE32-E72D297353CC}">
              <c16:uniqueId val="{00000001-E016-4DDE-8530-6F62A368835F}"/>
            </c:ext>
          </c:extLst>
        </c:ser>
        <c:dLbls>
          <c:showLegendKey val="0"/>
          <c:showVal val="0"/>
          <c:showCatName val="0"/>
          <c:showSerName val="0"/>
          <c:showPercent val="0"/>
          <c:showBubbleSize val="0"/>
        </c:dLbls>
        <c:axId val="249761376"/>
        <c:axId val="249762160"/>
      </c:scatterChart>
      <c:valAx>
        <c:axId val="249761376"/>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s-CO"/>
                  <a:t>PENETRACIÓN (mm)</a:t>
                </a:r>
              </a:p>
            </c:rich>
          </c:tx>
          <c:overlay val="0"/>
          <c:spPr>
            <a:noFill/>
            <a:ln>
              <a:noFill/>
            </a:ln>
            <a:effectLst/>
          </c:spPr>
          <c:txPr>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0.000"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2160"/>
        <c:crosses val="autoZero"/>
        <c:crossBetween val="midCat"/>
      </c:valAx>
      <c:valAx>
        <c:axId val="249762160"/>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n-US"/>
                  <a:t>ESFUERZO (Mpa)</a:t>
                </a:r>
              </a:p>
            </c:rich>
          </c:tx>
          <c:overlay val="0"/>
          <c:spPr>
            <a:noFill/>
            <a:ln>
              <a:noFill/>
            </a:ln>
            <a:effectLst/>
          </c:spPr>
          <c:txPr>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1376"/>
        <c:crosses val="autoZero"/>
        <c:crossBetween val="midCat"/>
      </c:valAx>
      <c:spPr>
        <a:solidFill>
          <a:schemeClr val="lt1"/>
        </a:solidFill>
        <a:ln w="12700" cap="flat" cmpd="sng" algn="ctr">
          <a:solidFill>
            <a:schemeClr val="accent6"/>
          </a:solidFill>
          <a:prstDash val="solid"/>
          <a:miter lim="800000"/>
        </a:ln>
        <a:effectLst/>
      </c:spPr>
    </c:plotArea>
    <c:legend>
      <c:legendPos val="b"/>
      <c:layout>
        <c:manualLayout>
          <c:xMode val="edge"/>
          <c:yMode val="edge"/>
          <c:x val="1.9219567826425699E-6"/>
          <c:y val="0.91456538520920205"/>
          <c:w val="0.411132502223163"/>
          <c:h val="6.3025651205364006E-2"/>
        </c:manualLayout>
      </c:layout>
      <c:overlay val="0"/>
      <c:spPr>
        <a:noFill/>
        <a:ln>
          <a:noFill/>
        </a:ln>
        <a:effectLst/>
      </c:spPr>
      <c:txPr>
        <a:bodyPr rot="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legend>
    <c:plotVisOnly val="1"/>
    <c:dispBlanksAs val="gap"/>
    <c:showDLblsOverMax val="0"/>
    <c:extLst>
      <c:ext uri="{0b15fc19-7d7d-44ad-8c2d-2c3a37ce22c3}">
        <chartProps xmlns="https://web.wps.cn/et/2018/main" chartId="{ff9bb21e-49d7-4a43-bea7-6c5e78bc5cec}"/>
      </c:ext>
    </c:extLst>
  </c:chart>
  <c:spPr>
    <a:solidFill>
      <a:schemeClr val="lt1"/>
    </a:solidFill>
    <a:ln w="12700" cap="flat" cmpd="sng" algn="ctr">
      <a:solidFill>
        <a:schemeClr val="accent6"/>
      </a:solidFill>
      <a:prstDash val="solid"/>
      <a:miter lim="800000"/>
    </a:ln>
    <a:effectLst/>
  </c:spPr>
  <c:txPr>
    <a:bodyPr/>
    <a:lstStyle/>
    <a:p>
      <a:pPr>
        <a:defRPr lang="es-MX">
          <a:solidFill>
            <a:schemeClr val="dk1"/>
          </a:solidFill>
          <a:latin typeface="+mn-lt"/>
          <a:ea typeface="+mn-ea"/>
          <a:cs typeface="+mn-cs"/>
        </a:defRPr>
      </a:pPr>
      <a:endParaRPr lang="es-MX"/>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r>
              <a:rPr lang="en-US" sz="1400"/>
              <a:t>CBR MUESTRA INALTERADA ESFUERZO vs PENETRACIÓN </a:t>
            </a:r>
          </a:p>
        </c:rich>
      </c:tx>
      <c:overlay val="0"/>
      <c:spPr>
        <a:noFill/>
        <a:ln>
          <a:noFill/>
        </a:ln>
        <a:effectLst/>
      </c:spPr>
      <c:txPr>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endParaRPr lang="es-MX"/>
        </a:p>
      </c:txPr>
    </c:title>
    <c:autoTitleDeleted val="0"/>
    <c:plotArea>
      <c:layout>
        <c:manualLayout>
          <c:layoutTarget val="inner"/>
          <c:xMode val="edge"/>
          <c:yMode val="edge"/>
          <c:x val="7.3621035048203304E-2"/>
          <c:y val="0.120479002624672"/>
          <c:w val="0.88620553129602597"/>
          <c:h val="0.71051364829396302"/>
        </c:manualLayout>
      </c:layout>
      <c:scatterChart>
        <c:scatterStyle val="smoothMarker"/>
        <c:varyColors val="0"/>
        <c:ser>
          <c:idx val="3"/>
          <c:order val="0"/>
          <c:tx>
            <c:v>MUESTRA SUMERGIDA</c:v>
          </c:tx>
          <c:spPr>
            <a:ln w="9525" cap="rnd">
              <a:solidFill>
                <a:schemeClr val="accent4"/>
              </a:solidFill>
              <a:round/>
            </a:ln>
            <a:effectLst/>
          </c:spPr>
          <c:marker>
            <c:symbol val="none"/>
          </c:marker>
          <c:xVal>
            <c:numRef>
              <c:f>'ESTAMBUL AP1 M3'!$H$22:$H$34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'ESTAMBUL AP1 M3'!$L$22:$L$34</c:f>
              <c:numCache>
                <c:formatCode>0.000</c:formatCode>
                <c:ptCount val="13"/>
                <c:pt idx="0" formatCode="General">
                  <c:v>0</c:v>
                </c:pt>
                <c:pt idx="1">
                  <c:v>1.0869565217391304E-2</c:v>
                </c:pt>
                <c:pt idx="2">
                  <c:v>3.9337474120082816E-2</c:v>
                </c:pt>
                <c:pt idx="3">
                  <c:v>8.2815734989648032E-2</c:v>
                </c:pt>
                <c:pt idx="4">
                  <c:v>0.14078674948240166</c:v>
                </c:pt>
                <c:pt idx="5">
                  <c:v>0.20962732919254659</c:v>
                </c:pt>
                <c:pt idx="6">
                  <c:v>0.30072463768115942</c:v>
                </c:pt>
                <c:pt idx="7">
                  <c:v>0.40372670807453415</c:v>
                </c:pt>
                <c:pt idx="8">
                  <c:v>0.49948240165631463</c:v>
                </c:pt>
                <c:pt idx="9">
                  <c:v>0.5522774327122153</c:v>
                </c:pt>
                <c:pt idx="10">
                  <c:v>0.73706004140786752</c:v>
                </c:pt>
                <c:pt idx="11">
                  <c:v>0.88043478260869568</c:v>
                </c:pt>
                <c:pt idx="12">
                  <c:v>0.98964803312629401</c:v>
                </c:pt>
              </c:numCache>
            </c:numRef>
          </c:yVal>
          <c:smooth val="1"/>
          <c:extLst>
            <c:ext xmlns:c16="http://schemas.microsoft.com/office/drawing/2014/chart" uri="{C3380CC4-5D6E-409C-BE32-E72D297353CC}">
              <c16:uniqueId val="{00000000-7A9D-467B-BC40-143FDFE0E8AE}"/>
            </c:ext>
          </c:extLst>
        </c:ser>
        <c:ser>
          <c:idx val="4"/>
          <c:order val="1"/>
          <c:tx>
            <c:v>MUESTRA SIN SUMERGIR</c:v>
          </c:tx>
          <c:spPr>
            <a:ln w="9525" cap="rnd">
              <a:solidFill>
                <a:schemeClr val="accent5"/>
              </a:solidFill>
              <a:round/>
            </a:ln>
            <a:effectLst/>
          </c:spPr>
          <c:marker>
            <c:symbol val="none"/>
          </c:marker>
          <c:xVal>
            <c:numRef>
              <c:f>'ESTAMBUL AP1 M3'!$H$22:$H$34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'ESTAMBUL AP1 M3'!$J$22:$J$34</c:f>
              <c:numCache>
                <c:formatCode>0.000</c:formatCode>
                <c:ptCount val="13"/>
                <c:pt idx="0" formatCode="General">
                  <c:v>0</c:v>
                </c:pt>
                <c:pt idx="1">
                  <c:v>2.7432712215320912E-2</c:v>
                </c:pt>
                <c:pt idx="2">
                  <c:v>0.13768115942028986</c:v>
                </c:pt>
                <c:pt idx="3">
                  <c:v>0.21221532091097309</c:v>
                </c:pt>
                <c:pt idx="4">
                  <c:v>0.26811594202898548</c:v>
                </c:pt>
                <c:pt idx="5">
                  <c:v>0.34886128364389235</c:v>
                </c:pt>
                <c:pt idx="6">
                  <c:v>0.43426501035196685</c:v>
                </c:pt>
                <c:pt idx="7">
                  <c:v>0.51708074534161497</c:v>
                </c:pt>
                <c:pt idx="8">
                  <c:v>0.58643892339544512</c:v>
                </c:pt>
                <c:pt idx="9">
                  <c:v>0.66407867494824013</c:v>
                </c:pt>
                <c:pt idx="10">
                  <c:v>1.0300207039337475</c:v>
                </c:pt>
                <c:pt idx="11">
                  <c:v>1.4653209109730849</c:v>
                </c:pt>
                <c:pt idx="12">
                  <c:v>1.8457556935817805</c:v>
                </c:pt>
              </c:numCache>
            </c:numRef>
          </c:yVal>
          <c:smooth val="1"/>
          <c:extLst>
            <c:ext xmlns:c16="http://schemas.microsoft.com/office/drawing/2014/chart" uri="{C3380CC4-5D6E-409C-BE32-E72D297353CC}">
              <c16:uniqueId val="{00000001-7A9D-467B-BC40-143FDFE0E8AE}"/>
            </c:ext>
          </c:extLst>
        </c:ser>
        <c:dLbls>
          <c:showLegendKey val="0"/>
          <c:showVal val="0"/>
          <c:showCatName val="0"/>
          <c:showSerName val="0"/>
          <c:showPercent val="0"/>
          <c:showBubbleSize val="0"/>
        </c:dLbls>
        <c:axId val="249761376"/>
        <c:axId val="249762160"/>
      </c:scatterChart>
      <c:valAx>
        <c:axId val="249761376"/>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s-CO"/>
                  <a:t>PENETRACIÓN (mm)</a:t>
                </a:r>
              </a:p>
            </c:rich>
          </c:tx>
          <c:overlay val="0"/>
          <c:spPr>
            <a:noFill/>
            <a:ln>
              <a:noFill/>
            </a:ln>
            <a:effectLst/>
          </c:spPr>
          <c:txPr>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0.000"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2160"/>
        <c:crosses val="autoZero"/>
        <c:crossBetween val="midCat"/>
      </c:valAx>
      <c:valAx>
        <c:axId val="249762160"/>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n-US"/>
                  <a:t>ESFUERZO (Mpa)</a:t>
                </a:r>
              </a:p>
            </c:rich>
          </c:tx>
          <c:overlay val="0"/>
          <c:spPr>
            <a:noFill/>
            <a:ln>
              <a:noFill/>
            </a:ln>
            <a:effectLst/>
          </c:spPr>
          <c:txPr>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1376"/>
        <c:crosses val="autoZero"/>
        <c:crossBetween val="midCat"/>
      </c:valAx>
      <c:spPr>
        <a:solidFill>
          <a:schemeClr val="lt1"/>
        </a:solidFill>
        <a:ln w="12700" cap="flat" cmpd="sng" algn="ctr">
          <a:solidFill>
            <a:schemeClr val="accent6"/>
          </a:solidFill>
          <a:prstDash val="solid"/>
          <a:miter lim="800000"/>
        </a:ln>
        <a:effectLst/>
      </c:spPr>
    </c:plotArea>
    <c:legend>
      <c:legendPos val="b"/>
      <c:layout>
        <c:manualLayout>
          <c:xMode val="edge"/>
          <c:yMode val="edge"/>
          <c:x val="1.9219567826425699E-6"/>
          <c:y val="0.91456538520920205"/>
          <c:w val="0.411132502223163"/>
          <c:h val="6.3025651205364006E-2"/>
        </c:manualLayout>
      </c:layout>
      <c:overlay val="0"/>
      <c:spPr>
        <a:noFill/>
        <a:ln>
          <a:noFill/>
        </a:ln>
        <a:effectLst/>
      </c:spPr>
      <c:txPr>
        <a:bodyPr rot="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legend>
    <c:plotVisOnly val="1"/>
    <c:dispBlanksAs val="gap"/>
    <c:showDLblsOverMax val="0"/>
    <c:extLst>
      <c:ext uri="{0b15fc19-7d7d-44ad-8c2d-2c3a37ce22c3}">
        <chartProps xmlns="https://web.wps.cn/et/2018/main" chartId="{ff9bb21e-49d7-4a43-bea7-6c5e78bc5cec}"/>
      </c:ext>
    </c:extLst>
  </c:chart>
  <c:spPr>
    <a:solidFill>
      <a:schemeClr val="lt1"/>
    </a:solidFill>
    <a:ln w="12700" cap="flat" cmpd="sng" algn="ctr">
      <a:solidFill>
        <a:schemeClr val="accent6"/>
      </a:solidFill>
      <a:prstDash val="solid"/>
      <a:miter lim="800000"/>
    </a:ln>
    <a:effectLst/>
  </c:spPr>
  <c:txPr>
    <a:bodyPr/>
    <a:lstStyle/>
    <a:p>
      <a:pPr>
        <a:defRPr lang="es-MX">
          <a:solidFill>
            <a:schemeClr val="dk1"/>
          </a:solidFill>
          <a:latin typeface="+mn-lt"/>
          <a:ea typeface="+mn-ea"/>
          <a:cs typeface="+mn-cs"/>
        </a:defRPr>
      </a:pPr>
      <a:endParaRPr lang="es-MX"/>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r>
              <a:rPr lang="en-US" sz="1400"/>
              <a:t>CBR MUESTRA INALTERADA ESFUERZO vs PENETRACIÓN </a:t>
            </a:r>
          </a:p>
        </c:rich>
      </c:tx>
      <c:overlay val="0"/>
      <c:spPr>
        <a:noFill/>
        <a:ln>
          <a:noFill/>
        </a:ln>
        <a:effectLst/>
      </c:spPr>
      <c:txPr>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endParaRPr lang="es-MX"/>
        </a:p>
      </c:txPr>
    </c:title>
    <c:autoTitleDeleted val="0"/>
    <c:plotArea>
      <c:layout>
        <c:manualLayout>
          <c:layoutTarget val="inner"/>
          <c:xMode val="edge"/>
          <c:yMode val="edge"/>
          <c:x val="7.3621035048203304E-2"/>
          <c:y val="0.120479002624672"/>
          <c:w val="0.88620553129602597"/>
          <c:h val="0.71051364829396302"/>
        </c:manualLayout>
      </c:layout>
      <c:scatterChart>
        <c:scatterStyle val="smoothMarker"/>
        <c:varyColors val="0"/>
        <c:ser>
          <c:idx val="3"/>
          <c:order val="0"/>
          <c:tx>
            <c:v>MUESTRA SUMERGIDA</c:v>
          </c:tx>
          <c:spPr>
            <a:ln w="9525" cap="rnd">
              <a:solidFill>
                <a:schemeClr val="accent4"/>
              </a:solidFill>
              <a:round/>
            </a:ln>
            <a:effectLst/>
          </c:spPr>
          <c:marker>
            <c:symbol val="none"/>
          </c:marker>
          <c:xVal>
            <c:numRef>
              <c:f>'CIAT AP2 M2'!$H$22:$H$34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'CIAT AP2 M2'!$L$22:$L$34</c:f>
              <c:numCache>
                <c:formatCode>0.000</c:formatCode>
                <c:ptCount val="13"/>
                <c:pt idx="0" formatCode="General">
                  <c:v>0</c:v>
                </c:pt>
                <c:pt idx="1">
                  <c:v>1.1387163561076604E-2</c:v>
                </c:pt>
                <c:pt idx="2">
                  <c:v>2.4844720496894412E-2</c:v>
                </c:pt>
                <c:pt idx="3">
                  <c:v>3.4679089026915112E-2</c:v>
                </c:pt>
                <c:pt idx="4">
                  <c:v>4.2443064182194616E-2</c:v>
                </c:pt>
                <c:pt idx="5">
                  <c:v>4.7101449275362313E-2</c:v>
                </c:pt>
                <c:pt idx="6">
                  <c:v>5.2795031055900617E-2</c:v>
                </c:pt>
                <c:pt idx="7">
                  <c:v>5.7971014492753624E-2</c:v>
                </c:pt>
                <c:pt idx="8">
                  <c:v>6.2629399585921328E-2</c:v>
                </c:pt>
                <c:pt idx="9">
                  <c:v>6.7805383022774335E-2</c:v>
                </c:pt>
                <c:pt idx="10">
                  <c:v>7.8674948240165632E-2</c:v>
                </c:pt>
                <c:pt idx="11">
                  <c:v>8.2298136645962722E-2</c:v>
                </c:pt>
                <c:pt idx="12">
                  <c:v>8.4886128364389232E-2</c:v>
                </c:pt>
              </c:numCache>
            </c:numRef>
          </c:yVal>
          <c:smooth val="1"/>
          <c:extLst>
            <c:ext xmlns:c16="http://schemas.microsoft.com/office/drawing/2014/chart" uri="{C3380CC4-5D6E-409C-BE32-E72D297353CC}">
              <c16:uniqueId val="{00000000-FAC4-426E-BC01-A9D444623508}"/>
            </c:ext>
          </c:extLst>
        </c:ser>
        <c:ser>
          <c:idx val="4"/>
          <c:order val="1"/>
          <c:tx>
            <c:v>MUESTRA SIN SUMERGIR</c:v>
          </c:tx>
          <c:spPr>
            <a:ln w="9525" cap="rnd">
              <a:solidFill>
                <a:schemeClr val="accent5"/>
              </a:solidFill>
              <a:round/>
            </a:ln>
            <a:effectLst/>
          </c:spPr>
          <c:marker>
            <c:symbol val="none"/>
          </c:marker>
          <c:xVal>
            <c:numRef>
              <c:f>'CIAT AP2 M2'!$H$22:$H$34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'CIAT AP2 M2'!$J$22:$J$34</c:f>
              <c:numCache>
                <c:formatCode>0.000</c:formatCode>
                <c:ptCount val="13"/>
                <c:pt idx="0" formatCode="General">
                  <c:v>0</c:v>
                </c:pt>
                <c:pt idx="1">
                  <c:v>0.10973084886128365</c:v>
                </c:pt>
                <c:pt idx="2">
                  <c:v>0.19824016563146998</c:v>
                </c:pt>
                <c:pt idx="3">
                  <c:v>0.27587991718426502</c:v>
                </c:pt>
                <c:pt idx="4">
                  <c:v>0.33902691511387167</c:v>
                </c:pt>
                <c:pt idx="5">
                  <c:v>0.37008281573498958</c:v>
                </c:pt>
                <c:pt idx="6">
                  <c:v>0.38819875776397511</c:v>
                </c:pt>
                <c:pt idx="7">
                  <c:v>0.39906832298136641</c:v>
                </c:pt>
                <c:pt idx="8">
                  <c:v>0.40527950310559008</c:v>
                </c:pt>
                <c:pt idx="9">
                  <c:v>0.41511387163561075</c:v>
                </c:pt>
                <c:pt idx="10">
                  <c:v>0.44720496894409933</c:v>
                </c:pt>
                <c:pt idx="11">
                  <c:v>0.49275362318840576</c:v>
                </c:pt>
                <c:pt idx="12">
                  <c:v>0.55279503105590067</c:v>
                </c:pt>
              </c:numCache>
            </c:numRef>
          </c:yVal>
          <c:smooth val="1"/>
          <c:extLst>
            <c:ext xmlns:c16="http://schemas.microsoft.com/office/drawing/2014/chart" uri="{C3380CC4-5D6E-409C-BE32-E72D297353CC}">
              <c16:uniqueId val="{00000001-FAC4-426E-BC01-A9D444623508}"/>
            </c:ext>
          </c:extLst>
        </c:ser>
        <c:dLbls>
          <c:showLegendKey val="0"/>
          <c:showVal val="0"/>
          <c:showCatName val="0"/>
          <c:showSerName val="0"/>
          <c:showPercent val="0"/>
          <c:showBubbleSize val="0"/>
        </c:dLbls>
        <c:axId val="249761376"/>
        <c:axId val="249762160"/>
      </c:scatterChart>
      <c:valAx>
        <c:axId val="249761376"/>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s-CO"/>
                  <a:t>PENETRACIÓN (mm)</a:t>
                </a:r>
              </a:p>
            </c:rich>
          </c:tx>
          <c:overlay val="0"/>
          <c:spPr>
            <a:noFill/>
            <a:ln>
              <a:noFill/>
            </a:ln>
            <a:effectLst/>
          </c:spPr>
          <c:txPr>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0.000"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2160"/>
        <c:crosses val="autoZero"/>
        <c:crossBetween val="midCat"/>
      </c:valAx>
      <c:valAx>
        <c:axId val="249762160"/>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n-US"/>
                  <a:t>ESFUERZO (Mpa)</a:t>
                </a:r>
              </a:p>
            </c:rich>
          </c:tx>
          <c:overlay val="0"/>
          <c:spPr>
            <a:noFill/>
            <a:ln>
              <a:noFill/>
            </a:ln>
            <a:effectLst/>
          </c:spPr>
          <c:txPr>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1376"/>
        <c:crosses val="autoZero"/>
        <c:crossBetween val="midCat"/>
      </c:valAx>
      <c:spPr>
        <a:solidFill>
          <a:schemeClr val="lt1"/>
        </a:solidFill>
        <a:ln w="12700" cap="flat" cmpd="sng" algn="ctr">
          <a:solidFill>
            <a:schemeClr val="accent6"/>
          </a:solidFill>
          <a:prstDash val="solid"/>
          <a:miter lim="800000"/>
        </a:ln>
        <a:effectLst/>
      </c:spPr>
    </c:plotArea>
    <c:legend>
      <c:legendPos val="b"/>
      <c:layout>
        <c:manualLayout>
          <c:xMode val="edge"/>
          <c:yMode val="edge"/>
          <c:x val="1.9219567826425699E-6"/>
          <c:y val="0.91456538520920205"/>
          <c:w val="0.411132502223163"/>
          <c:h val="6.3025651205364006E-2"/>
        </c:manualLayout>
      </c:layout>
      <c:overlay val="0"/>
      <c:spPr>
        <a:noFill/>
        <a:ln>
          <a:noFill/>
        </a:ln>
        <a:effectLst/>
      </c:spPr>
      <c:txPr>
        <a:bodyPr rot="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legend>
    <c:plotVisOnly val="1"/>
    <c:dispBlanksAs val="gap"/>
    <c:showDLblsOverMax val="0"/>
    <c:extLst>
      <c:ext uri="{0b15fc19-7d7d-44ad-8c2d-2c3a37ce22c3}">
        <chartProps xmlns="https://web.wps.cn/et/2018/main" chartId="{ff9bb21e-49d7-4a43-bea7-6c5e78bc5cec}"/>
      </c:ext>
    </c:extLst>
  </c:chart>
  <c:spPr>
    <a:solidFill>
      <a:schemeClr val="lt1"/>
    </a:solidFill>
    <a:ln w="12700" cap="flat" cmpd="sng" algn="ctr">
      <a:solidFill>
        <a:schemeClr val="accent6"/>
      </a:solidFill>
      <a:prstDash val="solid"/>
      <a:miter lim="800000"/>
    </a:ln>
    <a:effectLst/>
  </c:spPr>
  <c:txPr>
    <a:bodyPr/>
    <a:lstStyle/>
    <a:p>
      <a:pPr>
        <a:defRPr lang="es-MX">
          <a:solidFill>
            <a:schemeClr val="dk1"/>
          </a:solidFill>
          <a:latin typeface="+mn-lt"/>
          <a:ea typeface="+mn-ea"/>
          <a:cs typeface="+mn-cs"/>
        </a:defRPr>
      </a:pPr>
      <a:endParaRPr lang="es-MX"/>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r>
              <a:rPr lang="en-US" sz="1400"/>
              <a:t>CBR MUESTRA INALTERADA ESFUERZO vs PENETRACIÓN </a:t>
            </a:r>
          </a:p>
        </c:rich>
      </c:tx>
      <c:overlay val="0"/>
      <c:spPr>
        <a:noFill/>
        <a:ln>
          <a:noFill/>
        </a:ln>
        <a:effectLst/>
      </c:spPr>
      <c:txPr>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endParaRPr lang="es-MX"/>
        </a:p>
      </c:txPr>
    </c:title>
    <c:autoTitleDeleted val="0"/>
    <c:plotArea>
      <c:layout>
        <c:manualLayout>
          <c:layoutTarget val="inner"/>
          <c:xMode val="edge"/>
          <c:yMode val="edge"/>
          <c:x val="7.3621035048203304E-2"/>
          <c:y val="0.120479002624672"/>
          <c:w val="0.88620553129602597"/>
          <c:h val="0.71051364829396302"/>
        </c:manualLayout>
      </c:layout>
      <c:scatterChart>
        <c:scatterStyle val="smoothMarker"/>
        <c:varyColors val="0"/>
        <c:ser>
          <c:idx val="3"/>
          <c:order val="0"/>
          <c:tx>
            <c:v>MUESTRA SUMERGIDA</c:v>
          </c:tx>
          <c:spPr>
            <a:ln w="9525" cap="rnd">
              <a:solidFill>
                <a:schemeClr val="accent4"/>
              </a:solidFill>
              <a:round/>
            </a:ln>
            <a:effectLst/>
          </c:spPr>
          <c:marker>
            <c:symbol val="none"/>
          </c:marker>
          <c:xVal>
            <c:numRef>
              <c:f>'CIAT AP1 M3'!$H$22:$H$34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'CIAT AP1 M3'!$L$22:$L$34</c:f>
              <c:numCache>
                <c:formatCode>0.000</c:formatCode>
                <c:ptCount val="13"/>
                <c:pt idx="0" formatCode="General">
                  <c:v>0</c:v>
                </c:pt>
                <c:pt idx="1">
                  <c:v>1.3457556935817804E-2</c:v>
                </c:pt>
                <c:pt idx="2">
                  <c:v>3.4161490683229816E-2</c:v>
                </c:pt>
                <c:pt idx="3">
                  <c:v>5.8488612836438927E-2</c:v>
                </c:pt>
                <c:pt idx="4">
                  <c:v>7.8157349896480335E-2</c:v>
                </c:pt>
                <c:pt idx="5">
                  <c:v>9.0579710144927522E-2</c:v>
                </c:pt>
                <c:pt idx="6">
                  <c:v>0.10351966873706003</c:v>
                </c:pt>
                <c:pt idx="7">
                  <c:v>0.11438923395445136</c:v>
                </c:pt>
                <c:pt idx="8">
                  <c:v>0.12215320910973083</c:v>
                </c:pt>
                <c:pt idx="9">
                  <c:v>0.12991718426501037</c:v>
                </c:pt>
                <c:pt idx="10">
                  <c:v>0.15631469979296067</c:v>
                </c:pt>
                <c:pt idx="11">
                  <c:v>0.17908902691511386</c:v>
                </c:pt>
                <c:pt idx="12">
                  <c:v>0.2003105590062112</c:v>
                </c:pt>
              </c:numCache>
            </c:numRef>
          </c:yVal>
          <c:smooth val="1"/>
          <c:extLst>
            <c:ext xmlns:c16="http://schemas.microsoft.com/office/drawing/2014/chart" uri="{C3380CC4-5D6E-409C-BE32-E72D297353CC}">
              <c16:uniqueId val="{00000000-C253-4852-B666-D7DEA2602AA2}"/>
            </c:ext>
          </c:extLst>
        </c:ser>
        <c:ser>
          <c:idx val="4"/>
          <c:order val="1"/>
          <c:tx>
            <c:v>MUESTRA SIN SUMERGIR</c:v>
          </c:tx>
          <c:spPr>
            <a:ln w="9525" cap="rnd">
              <a:solidFill>
                <a:schemeClr val="accent5"/>
              </a:solidFill>
              <a:round/>
            </a:ln>
            <a:effectLst/>
          </c:spPr>
          <c:marker>
            <c:symbol val="none"/>
          </c:marker>
          <c:xVal>
            <c:numRef>
              <c:f>'CIAT AP1 M3'!$H$22:$H$34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'CIAT AP1 M3'!$J$22:$J$34</c:f>
              <c:numCache>
                <c:formatCode>0.000</c:formatCode>
                <c:ptCount val="13"/>
                <c:pt idx="0" formatCode="General">
                  <c:v>0</c:v>
                </c:pt>
                <c:pt idx="1">
                  <c:v>7.5051759834368514E-2</c:v>
                </c:pt>
                <c:pt idx="2">
                  <c:v>0.11594202898550725</c:v>
                </c:pt>
                <c:pt idx="3">
                  <c:v>0.15993788819875776</c:v>
                </c:pt>
                <c:pt idx="4">
                  <c:v>0.20755693581780538</c:v>
                </c:pt>
                <c:pt idx="5">
                  <c:v>0.24896480331262938</c:v>
                </c:pt>
                <c:pt idx="6">
                  <c:v>0.28778467908902694</c:v>
                </c:pt>
                <c:pt idx="7">
                  <c:v>0.31987577639751552</c:v>
                </c:pt>
                <c:pt idx="8">
                  <c:v>0.35093167701863354</c:v>
                </c:pt>
                <c:pt idx="9">
                  <c:v>0.37991718426501037</c:v>
                </c:pt>
                <c:pt idx="10">
                  <c:v>0.48602484472049684</c:v>
                </c:pt>
                <c:pt idx="11">
                  <c:v>0.57712215320910965</c:v>
                </c:pt>
                <c:pt idx="12">
                  <c:v>0.65631469979296075</c:v>
                </c:pt>
              </c:numCache>
            </c:numRef>
          </c:yVal>
          <c:smooth val="1"/>
          <c:extLst>
            <c:ext xmlns:c16="http://schemas.microsoft.com/office/drawing/2014/chart" uri="{C3380CC4-5D6E-409C-BE32-E72D297353CC}">
              <c16:uniqueId val="{00000001-C253-4852-B666-D7DEA2602AA2}"/>
            </c:ext>
          </c:extLst>
        </c:ser>
        <c:dLbls>
          <c:showLegendKey val="0"/>
          <c:showVal val="0"/>
          <c:showCatName val="0"/>
          <c:showSerName val="0"/>
          <c:showPercent val="0"/>
          <c:showBubbleSize val="0"/>
        </c:dLbls>
        <c:axId val="249761376"/>
        <c:axId val="249762160"/>
      </c:scatterChart>
      <c:valAx>
        <c:axId val="249761376"/>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s-CO"/>
                  <a:t>PENETRACIÓN (mm)</a:t>
                </a:r>
              </a:p>
            </c:rich>
          </c:tx>
          <c:overlay val="0"/>
          <c:spPr>
            <a:noFill/>
            <a:ln>
              <a:noFill/>
            </a:ln>
            <a:effectLst/>
          </c:spPr>
          <c:txPr>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0.000"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2160"/>
        <c:crosses val="autoZero"/>
        <c:crossBetween val="midCat"/>
      </c:valAx>
      <c:valAx>
        <c:axId val="249762160"/>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n-US"/>
                  <a:t>ESFUERZO (Mpa)</a:t>
                </a:r>
              </a:p>
            </c:rich>
          </c:tx>
          <c:overlay val="0"/>
          <c:spPr>
            <a:noFill/>
            <a:ln>
              <a:noFill/>
            </a:ln>
            <a:effectLst/>
          </c:spPr>
          <c:txPr>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1376"/>
        <c:crosses val="autoZero"/>
        <c:crossBetween val="midCat"/>
      </c:valAx>
      <c:spPr>
        <a:solidFill>
          <a:schemeClr val="lt1"/>
        </a:solidFill>
        <a:ln w="12700" cap="flat" cmpd="sng" algn="ctr">
          <a:solidFill>
            <a:schemeClr val="accent6"/>
          </a:solidFill>
          <a:prstDash val="solid"/>
          <a:miter lim="800000"/>
        </a:ln>
        <a:effectLst/>
      </c:spPr>
    </c:plotArea>
    <c:legend>
      <c:legendPos val="b"/>
      <c:layout>
        <c:manualLayout>
          <c:xMode val="edge"/>
          <c:yMode val="edge"/>
          <c:x val="1.9219567826425699E-6"/>
          <c:y val="0.91456538520920205"/>
          <c:w val="0.411132502223163"/>
          <c:h val="6.3025651205364006E-2"/>
        </c:manualLayout>
      </c:layout>
      <c:overlay val="0"/>
      <c:spPr>
        <a:noFill/>
        <a:ln>
          <a:noFill/>
        </a:ln>
        <a:effectLst/>
      </c:spPr>
      <c:txPr>
        <a:bodyPr rot="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legend>
    <c:plotVisOnly val="1"/>
    <c:dispBlanksAs val="gap"/>
    <c:showDLblsOverMax val="0"/>
    <c:extLst>
      <c:ext uri="{0b15fc19-7d7d-44ad-8c2d-2c3a37ce22c3}">
        <chartProps xmlns="https://web.wps.cn/et/2018/main" chartId="{ff9bb21e-49d7-4a43-bea7-6c5e78bc5cec}"/>
      </c:ext>
    </c:extLst>
  </c:chart>
  <c:spPr>
    <a:solidFill>
      <a:schemeClr val="lt1"/>
    </a:solidFill>
    <a:ln w="12700" cap="flat" cmpd="sng" algn="ctr">
      <a:solidFill>
        <a:schemeClr val="accent6"/>
      </a:solidFill>
      <a:prstDash val="solid"/>
      <a:miter lim="800000"/>
    </a:ln>
    <a:effectLst/>
  </c:spPr>
  <c:txPr>
    <a:bodyPr/>
    <a:lstStyle/>
    <a:p>
      <a:pPr>
        <a:defRPr lang="es-MX">
          <a:solidFill>
            <a:schemeClr val="dk1"/>
          </a:solidFill>
          <a:latin typeface="+mn-lt"/>
          <a:ea typeface="+mn-ea"/>
          <a:cs typeface="+mn-cs"/>
        </a:defRPr>
      </a:pPr>
      <a:endParaRPr lang="es-MX"/>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r>
              <a:rPr lang="en-US" sz="1400"/>
              <a:t>CBR MUESTRA INALTERADA ESFUERZO vs PENETRACIÓN </a:t>
            </a:r>
          </a:p>
        </c:rich>
      </c:tx>
      <c:overlay val="0"/>
      <c:spPr>
        <a:noFill/>
        <a:ln>
          <a:noFill/>
        </a:ln>
        <a:effectLst/>
      </c:spPr>
      <c:txPr>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endParaRPr lang="es-MX"/>
        </a:p>
      </c:txPr>
    </c:title>
    <c:autoTitleDeleted val="0"/>
    <c:plotArea>
      <c:layout>
        <c:manualLayout>
          <c:layoutTarget val="inner"/>
          <c:xMode val="edge"/>
          <c:yMode val="edge"/>
          <c:x val="7.3621035048203304E-2"/>
          <c:y val="0.120479002624672"/>
          <c:w val="0.88620553129602597"/>
          <c:h val="0.71051364829396302"/>
        </c:manualLayout>
      </c:layout>
      <c:scatterChart>
        <c:scatterStyle val="smoothMarker"/>
        <c:varyColors val="0"/>
        <c:ser>
          <c:idx val="3"/>
          <c:order val="0"/>
          <c:tx>
            <c:v>MUESTRA SUMERGIDA</c:v>
          </c:tx>
          <c:spPr>
            <a:ln w="9525" cap="rnd">
              <a:solidFill>
                <a:schemeClr val="accent4"/>
              </a:solidFill>
              <a:round/>
            </a:ln>
            <a:effectLst/>
          </c:spPr>
          <c:marker>
            <c:symbol val="none"/>
          </c:marker>
          <c:xVal>
            <c:numRef>
              <c:f>'P-VILARICA AP2 M2'!$H$22:$H$34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'P-VILARICA AP2 M2'!$L$22:$L$34</c:f>
              <c:numCache>
                <c:formatCode>0.000</c:formatCode>
                <c:ptCount val="13"/>
                <c:pt idx="0" formatCode="General">
                  <c:v>0</c:v>
                </c:pt>
                <c:pt idx="1">
                  <c:v>8.2815734989648039E-3</c:v>
                </c:pt>
                <c:pt idx="2">
                  <c:v>1.7080745341614908E-2</c:v>
                </c:pt>
                <c:pt idx="3">
                  <c:v>2.3809523809523808E-2</c:v>
                </c:pt>
                <c:pt idx="4">
                  <c:v>2.9503105590062112E-2</c:v>
                </c:pt>
                <c:pt idx="5">
                  <c:v>3.4161490683229816E-2</c:v>
                </c:pt>
                <c:pt idx="6">
                  <c:v>3.9337474120082816E-2</c:v>
                </c:pt>
                <c:pt idx="7">
                  <c:v>4.296066252587992E-2</c:v>
                </c:pt>
                <c:pt idx="8">
                  <c:v>4.7619047619047616E-2</c:v>
                </c:pt>
                <c:pt idx="9">
                  <c:v>5.0724637681159424E-2</c:v>
                </c:pt>
                <c:pt idx="10">
                  <c:v>6.0559006211180127E-2</c:v>
                </c:pt>
                <c:pt idx="11">
                  <c:v>6.6770186335403728E-2</c:v>
                </c:pt>
                <c:pt idx="12">
                  <c:v>7.1428571428571438E-2</c:v>
                </c:pt>
              </c:numCache>
            </c:numRef>
          </c:yVal>
          <c:smooth val="1"/>
          <c:extLst>
            <c:ext xmlns:c16="http://schemas.microsoft.com/office/drawing/2014/chart" uri="{C3380CC4-5D6E-409C-BE32-E72D297353CC}">
              <c16:uniqueId val="{00000000-B378-4458-9730-E6289612264A}"/>
            </c:ext>
          </c:extLst>
        </c:ser>
        <c:ser>
          <c:idx val="4"/>
          <c:order val="1"/>
          <c:tx>
            <c:v>MUESTRA SIN SUMERGIR</c:v>
          </c:tx>
          <c:spPr>
            <a:ln w="9525" cap="rnd">
              <a:solidFill>
                <a:schemeClr val="accent5"/>
              </a:solidFill>
              <a:round/>
            </a:ln>
            <a:effectLst/>
          </c:spPr>
          <c:marker>
            <c:symbol val="none"/>
          </c:marker>
          <c:xVal>
            <c:numRef>
              <c:f>'P-VILARICA AP2 M2'!$H$22:$H$34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'P-VILARICA AP2 M2'!$J$22:$J$34</c:f>
              <c:numCache>
                <c:formatCode>0.000</c:formatCode>
                <c:ptCount val="13"/>
                <c:pt idx="0" formatCode="General">
                  <c:v>0</c:v>
                </c:pt>
                <c:pt idx="1">
                  <c:v>2.2774327122153208E-2</c:v>
                </c:pt>
                <c:pt idx="2">
                  <c:v>3.2608695652173912E-2</c:v>
                </c:pt>
                <c:pt idx="3">
                  <c:v>3.8819875776397512E-2</c:v>
                </c:pt>
                <c:pt idx="4">
                  <c:v>4.3478260869565216E-2</c:v>
                </c:pt>
                <c:pt idx="5">
                  <c:v>4.6583850931677023E-2</c:v>
                </c:pt>
                <c:pt idx="6">
                  <c:v>4.8654244306418216E-2</c:v>
                </c:pt>
                <c:pt idx="7">
                  <c:v>5.227743271221532E-2</c:v>
                </c:pt>
                <c:pt idx="8">
                  <c:v>5.538302277432712E-2</c:v>
                </c:pt>
                <c:pt idx="9">
                  <c:v>5.7971014492753624E-2</c:v>
                </c:pt>
                <c:pt idx="10">
                  <c:v>6.4699792960662528E-2</c:v>
                </c:pt>
                <c:pt idx="11">
                  <c:v>6.9875776397515535E-2</c:v>
                </c:pt>
                <c:pt idx="12">
                  <c:v>7.4016563146997921E-2</c:v>
                </c:pt>
              </c:numCache>
            </c:numRef>
          </c:yVal>
          <c:smooth val="1"/>
          <c:extLst>
            <c:ext xmlns:c16="http://schemas.microsoft.com/office/drawing/2014/chart" uri="{C3380CC4-5D6E-409C-BE32-E72D297353CC}">
              <c16:uniqueId val="{00000001-B378-4458-9730-E6289612264A}"/>
            </c:ext>
          </c:extLst>
        </c:ser>
        <c:dLbls>
          <c:showLegendKey val="0"/>
          <c:showVal val="0"/>
          <c:showCatName val="0"/>
          <c:showSerName val="0"/>
          <c:showPercent val="0"/>
          <c:showBubbleSize val="0"/>
        </c:dLbls>
        <c:axId val="249761376"/>
        <c:axId val="249762160"/>
      </c:scatterChart>
      <c:valAx>
        <c:axId val="249761376"/>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s-CO"/>
                  <a:t>PENETRACIÓN (mm)</a:t>
                </a:r>
              </a:p>
            </c:rich>
          </c:tx>
          <c:overlay val="0"/>
          <c:spPr>
            <a:noFill/>
            <a:ln>
              <a:noFill/>
            </a:ln>
            <a:effectLst/>
          </c:spPr>
          <c:txPr>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0.000"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2160"/>
        <c:crosses val="autoZero"/>
        <c:crossBetween val="midCat"/>
      </c:valAx>
      <c:valAx>
        <c:axId val="249762160"/>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n-US"/>
                  <a:t>ESFUERZO (Mpa)</a:t>
                </a:r>
              </a:p>
            </c:rich>
          </c:tx>
          <c:overlay val="0"/>
          <c:spPr>
            <a:noFill/>
            <a:ln>
              <a:noFill/>
            </a:ln>
            <a:effectLst/>
          </c:spPr>
          <c:txPr>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1376"/>
        <c:crosses val="autoZero"/>
        <c:crossBetween val="midCat"/>
      </c:valAx>
      <c:spPr>
        <a:solidFill>
          <a:schemeClr val="lt1"/>
        </a:solidFill>
        <a:ln w="12700" cap="flat" cmpd="sng" algn="ctr">
          <a:solidFill>
            <a:schemeClr val="accent6"/>
          </a:solidFill>
          <a:prstDash val="solid"/>
          <a:miter lim="800000"/>
        </a:ln>
        <a:effectLst/>
      </c:spPr>
    </c:plotArea>
    <c:legend>
      <c:legendPos val="b"/>
      <c:layout>
        <c:manualLayout>
          <c:xMode val="edge"/>
          <c:yMode val="edge"/>
          <c:x val="1.9219567826425699E-6"/>
          <c:y val="0.91456538520920205"/>
          <c:w val="0.411132502223163"/>
          <c:h val="6.3025651205364006E-2"/>
        </c:manualLayout>
      </c:layout>
      <c:overlay val="0"/>
      <c:spPr>
        <a:noFill/>
        <a:ln>
          <a:noFill/>
        </a:ln>
        <a:effectLst/>
      </c:spPr>
      <c:txPr>
        <a:bodyPr rot="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legend>
    <c:plotVisOnly val="1"/>
    <c:dispBlanksAs val="gap"/>
    <c:showDLblsOverMax val="0"/>
    <c:extLst>
      <c:ext uri="{0b15fc19-7d7d-44ad-8c2d-2c3a37ce22c3}">
        <chartProps xmlns="https://web.wps.cn/et/2018/main" chartId="{ff9bb21e-49d7-4a43-bea7-6c5e78bc5cec}"/>
      </c:ext>
    </c:extLst>
  </c:chart>
  <c:spPr>
    <a:solidFill>
      <a:schemeClr val="lt1"/>
    </a:solidFill>
    <a:ln w="12700" cap="flat" cmpd="sng" algn="ctr">
      <a:solidFill>
        <a:schemeClr val="accent6"/>
      </a:solidFill>
      <a:prstDash val="solid"/>
      <a:miter lim="800000"/>
    </a:ln>
    <a:effectLst/>
  </c:spPr>
  <c:txPr>
    <a:bodyPr/>
    <a:lstStyle/>
    <a:p>
      <a:pPr>
        <a:defRPr lang="es-MX">
          <a:solidFill>
            <a:schemeClr val="dk1"/>
          </a:solidFill>
          <a:latin typeface="+mn-lt"/>
          <a:ea typeface="+mn-ea"/>
          <a:cs typeface="+mn-cs"/>
        </a:defRPr>
      </a:pPr>
      <a:endParaRPr lang="es-MX"/>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r>
              <a:rPr lang="en-US" sz="1400"/>
              <a:t>CBR MUESTRA INALTERADA ESFUERZO vs PENETRACIÓN </a:t>
            </a:r>
          </a:p>
        </c:rich>
      </c:tx>
      <c:overlay val="0"/>
      <c:spPr>
        <a:noFill/>
        <a:ln>
          <a:noFill/>
        </a:ln>
        <a:effectLst/>
      </c:spPr>
      <c:txPr>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endParaRPr lang="es-MX"/>
        </a:p>
      </c:txPr>
    </c:title>
    <c:autoTitleDeleted val="0"/>
    <c:plotArea>
      <c:layout>
        <c:manualLayout>
          <c:layoutTarget val="inner"/>
          <c:xMode val="edge"/>
          <c:yMode val="edge"/>
          <c:x val="7.3621035048203304E-2"/>
          <c:y val="0.120479002624672"/>
          <c:w val="0.88620553129602597"/>
          <c:h val="0.71051364829396302"/>
        </c:manualLayout>
      </c:layout>
      <c:scatterChart>
        <c:scatterStyle val="smoothMarker"/>
        <c:varyColors val="0"/>
        <c:ser>
          <c:idx val="3"/>
          <c:order val="0"/>
          <c:tx>
            <c:v>MUESTRA SUMERGIDA</c:v>
          </c:tx>
          <c:spPr>
            <a:ln w="9525" cap="rnd">
              <a:solidFill>
                <a:schemeClr val="accent4"/>
              </a:solidFill>
              <a:round/>
            </a:ln>
            <a:effectLst/>
          </c:spPr>
          <c:marker>
            <c:symbol val="none"/>
          </c:marker>
          <c:xVal>
            <c:numRef>
              <c:f>'P-VILARICA AP4 M3'!$H$22:$H$34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'P-VILARICA AP4 M3'!$L$22:$L$34</c:f>
              <c:numCache>
                <c:formatCode>0.000</c:formatCode>
                <c:ptCount val="13"/>
                <c:pt idx="0" formatCode="General">
                  <c:v>0</c:v>
                </c:pt>
                <c:pt idx="1">
                  <c:v>3.1573498964803312E-2</c:v>
                </c:pt>
                <c:pt idx="2">
                  <c:v>0.11128364389233954</c:v>
                </c:pt>
                <c:pt idx="3">
                  <c:v>0.20703933747412007</c:v>
                </c:pt>
                <c:pt idx="4">
                  <c:v>0.31677018633540377</c:v>
                </c:pt>
                <c:pt idx="5">
                  <c:v>0.42960662525879911</c:v>
                </c:pt>
                <c:pt idx="6">
                  <c:v>0.5600414078674949</c:v>
                </c:pt>
                <c:pt idx="7">
                  <c:v>0.67805383022774335</c:v>
                </c:pt>
                <c:pt idx="8">
                  <c:v>0.76449275362318836</c:v>
                </c:pt>
                <c:pt idx="9">
                  <c:v>0.83488612836438925</c:v>
                </c:pt>
                <c:pt idx="10">
                  <c:v>1.0020703933747412</c:v>
                </c:pt>
                <c:pt idx="11">
                  <c:v>1.139751552795031</c:v>
                </c:pt>
                <c:pt idx="12">
                  <c:v>1.2639751552795031</c:v>
                </c:pt>
              </c:numCache>
            </c:numRef>
          </c:yVal>
          <c:smooth val="1"/>
          <c:extLst>
            <c:ext xmlns:c16="http://schemas.microsoft.com/office/drawing/2014/chart" uri="{C3380CC4-5D6E-409C-BE32-E72D297353CC}">
              <c16:uniqueId val="{00000000-2830-4B67-A501-F6E002A84FDE}"/>
            </c:ext>
          </c:extLst>
        </c:ser>
        <c:ser>
          <c:idx val="4"/>
          <c:order val="1"/>
          <c:tx>
            <c:v>MUESTRA SIN SUMERGIR</c:v>
          </c:tx>
          <c:spPr>
            <a:ln w="9525" cap="rnd">
              <a:solidFill>
                <a:schemeClr val="accent5"/>
              </a:solidFill>
              <a:round/>
            </a:ln>
            <a:effectLst/>
          </c:spPr>
          <c:marker>
            <c:symbol val="none"/>
          </c:marker>
          <c:xVal>
            <c:numRef>
              <c:f>'P-VILARICA AP4 M3'!$H$22:$H$34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'P-VILARICA AP4 M3'!$J$22:$J$34</c:f>
              <c:numCache>
                <c:formatCode>0.000</c:formatCode>
                <c:ptCount val="13"/>
                <c:pt idx="0" formatCode="General">
                  <c:v>0</c:v>
                </c:pt>
                <c:pt idx="1">
                  <c:v>0.17805383022774324</c:v>
                </c:pt>
                <c:pt idx="2">
                  <c:v>0.3711180124223602</c:v>
                </c:pt>
                <c:pt idx="3">
                  <c:v>0.5165631469979296</c:v>
                </c:pt>
                <c:pt idx="4">
                  <c:v>0.62939958592132506</c:v>
                </c:pt>
                <c:pt idx="5">
                  <c:v>0.74430641821946164</c:v>
                </c:pt>
                <c:pt idx="6">
                  <c:v>0.85144927536231885</c:v>
                </c:pt>
                <c:pt idx="7">
                  <c:v>0.96014492753623182</c:v>
                </c:pt>
                <c:pt idx="8">
                  <c:v>1.0900621118012421</c:v>
                </c:pt>
                <c:pt idx="9">
                  <c:v>1.1889233954451346</c:v>
                </c:pt>
                <c:pt idx="10">
                  <c:v>1.6759834368530022</c:v>
                </c:pt>
                <c:pt idx="11">
                  <c:v>2.070910973084886</c:v>
                </c:pt>
                <c:pt idx="12">
                  <c:v>2.3462732919254661</c:v>
                </c:pt>
              </c:numCache>
            </c:numRef>
          </c:yVal>
          <c:smooth val="1"/>
          <c:extLst>
            <c:ext xmlns:c16="http://schemas.microsoft.com/office/drawing/2014/chart" uri="{C3380CC4-5D6E-409C-BE32-E72D297353CC}">
              <c16:uniqueId val="{00000001-2830-4B67-A501-F6E002A84FDE}"/>
            </c:ext>
          </c:extLst>
        </c:ser>
        <c:dLbls>
          <c:showLegendKey val="0"/>
          <c:showVal val="0"/>
          <c:showCatName val="0"/>
          <c:showSerName val="0"/>
          <c:showPercent val="0"/>
          <c:showBubbleSize val="0"/>
        </c:dLbls>
        <c:axId val="249761376"/>
        <c:axId val="249762160"/>
      </c:scatterChart>
      <c:valAx>
        <c:axId val="249761376"/>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s-CO"/>
                  <a:t>PENETRACIÓN (mm)</a:t>
                </a:r>
              </a:p>
            </c:rich>
          </c:tx>
          <c:overlay val="0"/>
          <c:spPr>
            <a:noFill/>
            <a:ln>
              <a:noFill/>
            </a:ln>
            <a:effectLst/>
          </c:spPr>
          <c:txPr>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0.000"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2160"/>
        <c:crosses val="autoZero"/>
        <c:crossBetween val="midCat"/>
      </c:valAx>
      <c:valAx>
        <c:axId val="249762160"/>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n-US"/>
                  <a:t>ESFUERZO (Mpa)</a:t>
                </a:r>
              </a:p>
            </c:rich>
          </c:tx>
          <c:overlay val="0"/>
          <c:spPr>
            <a:noFill/>
            <a:ln>
              <a:noFill/>
            </a:ln>
            <a:effectLst/>
          </c:spPr>
          <c:txPr>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1376"/>
        <c:crosses val="autoZero"/>
        <c:crossBetween val="midCat"/>
      </c:valAx>
      <c:spPr>
        <a:solidFill>
          <a:schemeClr val="lt1"/>
        </a:solidFill>
        <a:ln w="12700" cap="flat" cmpd="sng" algn="ctr">
          <a:solidFill>
            <a:schemeClr val="accent6"/>
          </a:solidFill>
          <a:prstDash val="solid"/>
          <a:miter lim="800000"/>
        </a:ln>
        <a:effectLst/>
      </c:spPr>
    </c:plotArea>
    <c:legend>
      <c:legendPos val="b"/>
      <c:layout>
        <c:manualLayout>
          <c:xMode val="edge"/>
          <c:yMode val="edge"/>
          <c:x val="1.9219567826425699E-6"/>
          <c:y val="0.91456538520920205"/>
          <c:w val="0.411132502223163"/>
          <c:h val="6.3025651205364006E-2"/>
        </c:manualLayout>
      </c:layout>
      <c:overlay val="0"/>
      <c:spPr>
        <a:noFill/>
        <a:ln>
          <a:noFill/>
        </a:ln>
        <a:effectLst/>
      </c:spPr>
      <c:txPr>
        <a:bodyPr rot="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legend>
    <c:plotVisOnly val="1"/>
    <c:dispBlanksAs val="gap"/>
    <c:showDLblsOverMax val="0"/>
    <c:extLst>
      <c:ext uri="{0b15fc19-7d7d-44ad-8c2d-2c3a37ce22c3}">
        <chartProps xmlns="https://web.wps.cn/et/2018/main" chartId="{ff9bb21e-49d7-4a43-bea7-6c5e78bc5cec}"/>
      </c:ext>
    </c:extLst>
  </c:chart>
  <c:spPr>
    <a:solidFill>
      <a:schemeClr val="lt1"/>
    </a:solidFill>
    <a:ln w="12700" cap="flat" cmpd="sng" algn="ctr">
      <a:solidFill>
        <a:schemeClr val="accent6"/>
      </a:solidFill>
      <a:prstDash val="solid"/>
      <a:miter lim="800000"/>
    </a:ln>
    <a:effectLst/>
  </c:spPr>
  <c:txPr>
    <a:bodyPr/>
    <a:lstStyle/>
    <a:p>
      <a:pPr>
        <a:defRPr lang="es-MX">
          <a:solidFill>
            <a:schemeClr val="dk1"/>
          </a:solidFill>
          <a:latin typeface="+mn-lt"/>
          <a:ea typeface="+mn-ea"/>
          <a:cs typeface="+mn-cs"/>
        </a:defRPr>
      </a:pPr>
      <a:endParaRPr lang="es-MX"/>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r>
              <a:rPr lang="en-US" sz="1400"/>
              <a:t>CBR MUESTRA INALTERADA ESFUERZO vs PENETRACIÓN </a:t>
            </a:r>
          </a:p>
        </c:rich>
      </c:tx>
      <c:overlay val="0"/>
      <c:spPr>
        <a:noFill/>
        <a:ln>
          <a:noFill/>
        </a:ln>
        <a:effectLst/>
      </c:spPr>
      <c:txPr>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endParaRPr lang="es-MX"/>
        </a:p>
      </c:txPr>
    </c:title>
    <c:autoTitleDeleted val="0"/>
    <c:plotArea>
      <c:layout>
        <c:manualLayout>
          <c:layoutTarget val="inner"/>
          <c:xMode val="edge"/>
          <c:yMode val="edge"/>
          <c:x val="7.3621035048203304E-2"/>
          <c:y val="0.120479002624672"/>
          <c:w val="0.88620553129602597"/>
          <c:h val="0.71051364829396302"/>
        </c:manualLayout>
      </c:layout>
      <c:scatterChart>
        <c:scatterStyle val="smoothMarker"/>
        <c:varyColors val="0"/>
        <c:ser>
          <c:idx val="3"/>
          <c:order val="0"/>
          <c:tx>
            <c:v>MUESTRA SUMERGIDA</c:v>
          </c:tx>
          <c:spPr>
            <a:ln w="9525" cap="rnd">
              <a:solidFill>
                <a:schemeClr val="accent4"/>
              </a:solidFill>
              <a:round/>
            </a:ln>
            <a:effectLst/>
          </c:spPr>
          <c:marker>
            <c:symbol val="none"/>
          </c:marker>
          <c:xVal>
            <c:numRef>
              <c:f>'P-VILARICA AP6 M3'!$H$22:$H$34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'P-VILARICA AP6 M3'!$L$22:$L$34</c:f>
              <c:numCache>
                <c:formatCode>0.000</c:formatCode>
                <c:ptCount val="13"/>
                <c:pt idx="0" formatCode="General">
                  <c:v>0</c:v>
                </c:pt>
                <c:pt idx="1">
                  <c:v>2.2256728778467905E-2</c:v>
                </c:pt>
                <c:pt idx="2">
                  <c:v>5.8488612836438927E-2</c:v>
                </c:pt>
                <c:pt idx="3">
                  <c:v>0.12577639751552794</c:v>
                </c:pt>
                <c:pt idx="4">
                  <c:v>0.20755693581780538</c:v>
                </c:pt>
                <c:pt idx="5">
                  <c:v>0.33695652173913043</c:v>
                </c:pt>
                <c:pt idx="6">
                  <c:v>0.47619047619047622</c:v>
                </c:pt>
                <c:pt idx="7">
                  <c:v>0.60973084886128359</c:v>
                </c:pt>
                <c:pt idx="8">
                  <c:v>0.71635610766045543</c:v>
                </c:pt>
                <c:pt idx="9">
                  <c:v>0.80900621118012428</c:v>
                </c:pt>
                <c:pt idx="10">
                  <c:v>1.0031055900621118</c:v>
                </c:pt>
                <c:pt idx="11">
                  <c:v>1.1009316770186333</c:v>
                </c:pt>
                <c:pt idx="12">
                  <c:v>1.2349896480331264</c:v>
                </c:pt>
              </c:numCache>
            </c:numRef>
          </c:yVal>
          <c:smooth val="1"/>
          <c:extLst>
            <c:ext xmlns:c16="http://schemas.microsoft.com/office/drawing/2014/chart" uri="{C3380CC4-5D6E-409C-BE32-E72D297353CC}">
              <c16:uniqueId val="{00000000-78AD-406D-91C1-CDAE0BD606E5}"/>
            </c:ext>
          </c:extLst>
        </c:ser>
        <c:ser>
          <c:idx val="4"/>
          <c:order val="1"/>
          <c:tx>
            <c:v>MUESTRA SIN SUMERGIR</c:v>
          </c:tx>
          <c:spPr>
            <a:ln w="9525" cap="rnd">
              <a:solidFill>
                <a:schemeClr val="accent5"/>
              </a:solidFill>
              <a:round/>
            </a:ln>
            <a:effectLst/>
          </c:spPr>
          <c:marker>
            <c:symbol val="none"/>
          </c:marker>
          <c:xVal>
            <c:numRef>
              <c:f>'P-VILARICA AP6 M3'!$H$22:$H$34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'P-VILARICA AP6 M3'!$J$22:$J$34</c:f>
              <c:numCache>
                <c:formatCode>0.000</c:formatCode>
                <c:ptCount val="13"/>
                <c:pt idx="0" formatCode="General">
                  <c:v>0</c:v>
                </c:pt>
                <c:pt idx="1">
                  <c:v>0.10610766045548654</c:v>
                </c:pt>
                <c:pt idx="2">
                  <c:v>0.72101449275362317</c:v>
                </c:pt>
                <c:pt idx="3">
                  <c:v>1.7888198757763973</c:v>
                </c:pt>
                <c:pt idx="4">
                  <c:v>2.514492753623188</c:v>
                </c:pt>
                <c:pt idx="5">
                  <c:v>2.7546583850931676</c:v>
                </c:pt>
                <c:pt idx="6">
                  <c:v>2.9037267080745344</c:v>
                </c:pt>
                <c:pt idx="7">
                  <c:v>3.0952380952380953</c:v>
                </c:pt>
                <c:pt idx="8">
                  <c:v>3.2795031055900621</c:v>
                </c:pt>
                <c:pt idx="9">
                  <c:v>3.4280538302277437</c:v>
                </c:pt>
                <c:pt idx="10">
                  <c:v>3.88768115942029</c:v>
                </c:pt>
                <c:pt idx="11">
                  <c:v>4.2375776397515521</c:v>
                </c:pt>
                <c:pt idx="12">
                  <c:v>4.5429606625258794</c:v>
                </c:pt>
              </c:numCache>
            </c:numRef>
          </c:yVal>
          <c:smooth val="1"/>
          <c:extLst>
            <c:ext xmlns:c16="http://schemas.microsoft.com/office/drawing/2014/chart" uri="{C3380CC4-5D6E-409C-BE32-E72D297353CC}">
              <c16:uniqueId val="{00000001-78AD-406D-91C1-CDAE0BD606E5}"/>
            </c:ext>
          </c:extLst>
        </c:ser>
        <c:dLbls>
          <c:showLegendKey val="0"/>
          <c:showVal val="0"/>
          <c:showCatName val="0"/>
          <c:showSerName val="0"/>
          <c:showPercent val="0"/>
          <c:showBubbleSize val="0"/>
        </c:dLbls>
        <c:axId val="249761376"/>
        <c:axId val="249762160"/>
      </c:scatterChart>
      <c:valAx>
        <c:axId val="249761376"/>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s-CO"/>
                  <a:t>PENETRACIÓN (mm)</a:t>
                </a:r>
              </a:p>
            </c:rich>
          </c:tx>
          <c:overlay val="0"/>
          <c:spPr>
            <a:noFill/>
            <a:ln>
              <a:noFill/>
            </a:ln>
            <a:effectLst/>
          </c:spPr>
          <c:txPr>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0.000"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2160"/>
        <c:crosses val="autoZero"/>
        <c:crossBetween val="midCat"/>
      </c:valAx>
      <c:valAx>
        <c:axId val="249762160"/>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n-US"/>
                  <a:t>ESFUERZO (Mpa)</a:t>
                </a:r>
              </a:p>
            </c:rich>
          </c:tx>
          <c:overlay val="0"/>
          <c:spPr>
            <a:noFill/>
            <a:ln>
              <a:noFill/>
            </a:ln>
            <a:effectLst/>
          </c:spPr>
          <c:txPr>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1376"/>
        <c:crosses val="autoZero"/>
        <c:crossBetween val="midCat"/>
      </c:valAx>
      <c:spPr>
        <a:solidFill>
          <a:schemeClr val="lt1"/>
        </a:solidFill>
        <a:ln w="12700" cap="flat" cmpd="sng" algn="ctr">
          <a:solidFill>
            <a:schemeClr val="accent6"/>
          </a:solidFill>
          <a:prstDash val="solid"/>
          <a:miter lim="800000"/>
        </a:ln>
        <a:effectLst/>
      </c:spPr>
    </c:plotArea>
    <c:legend>
      <c:legendPos val="b"/>
      <c:layout>
        <c:manualLayout>
          <c:xMode val="edge"/>
          <c:yMode val="edge"/>
          <c:x val="1.9219567826425699E-6"/>
          <c:y val="0.91456538520920205"/>
          <c:w val="0.411132502223163"/>
          <c:h val="6.3025651205364006E-2"/>
        </c:manualLayout>
      </c:layout>
      <c:overlay val="0"/>
      <c:spPr>
        <a:noFill/>
        <a:ln>
          <a:noFill/>
        </a:ln>
        <a:effectLst/>
      </c:spPr>
      <c:txPr>
        <a:bodyPr rot="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legend>
    <c:plotVisOnly val="1"/>
    <c:dispBlanksAs val="gap"/>
    <c:showDLblsOverMax val="0"/>
    <c:extLst>
      <c:ext uri="{0b15fc19-7d7d-44ad-8c2d-2c3a37ce22c3}">
        <chartProps xmlns="https://web.wps.cn/et/2018/main" chartId="{ff9bb21e-49d7-4a43-bea7-6c5e78bc5cec}"/>
      </c:ext>
    </c:extLst>
  </c:chart>
  <c:spPr>
    <a:solidFill>
      <a:schemeClr val="lt1"/>
    </a:solidFill>
    <a:ln w="12700" cap="flat" cmpd="sng" algn="ctr">
      <a:solidFill>
        <a:schemeClr val="accent6"/>
      </a:solidFill>
      <a:prstDash val="solid"/>
      <a:miter lim="800000"/>
    </a:ln>
    <a:effectLst/>
  </c:spPr>
  <c:txPr>
    <a:bodyPr/>
    <a:lstStyle/>
    <a:p>
      <a:pPr>
        <a:defRPr lang="es-MX">
          <a:solidFill>
            <a:schemeClr val="dk1"/>
          </a:solidFill>
          <a:latin typeface="+mn-lt"/>
          <a:ea typeface="+mn-ea"/>
          <a:cs typeface="+mn-cs"/>
        </a:defRPr>
      </a:pPr>
      <a:endParaRPr lang="es-MX"/>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r>
              <a:rPr lang="en-US" sz="1400"/>
              <a:t>CBR MUESTRA INALTERADA ESFUERZO vs PENETRACIÓN </a:t>
            </a:r>
          </a:p>
        </c:rich>
      </c:tx>
      <c:overlay val="0"/>
      <c:spPr>
        <a:noFill/>
        <a:ln>
          <a:noFill/>
        </a:ln>
        <a:effectLst/>
      </c:spPr>
      <c:txPr>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endParaRPr lang="es-MX"/>
        </a:p>
      </c:txPr>
    </c:title>
    <c:autoTitleDeleted val="0"/>
    <c:plotArea>
      <c:layout>
        <c:manualLayout>
          <c:layoutTarget val="inner"/>
          <c:xMode val="edge"/>
          <c:yMode val="edge"/>
          <c:x val="7.3621035048203304E-2"/>
          <c:y val="0.120479002624672"/>
          <c:w val="0.88620553129602597"/>
          <c:h val="0.71051364829396302"/>
        </c:manualLayout>
      </c:layout>
      <c:scatterChart>
        <c:scatterStyle val="smoothMarker"/>
        <c:varyColors val="0"/>
        <c:ser>
          <c:idx val="3"/>
          <c:order val="0"/>
          <c:tx>
            <c:v>MUESTRA SUMERGIDA</c:v>
          </c:tx>
          <c:spPr>
            <a:ln w="9525" cap="rnd">
              <a:solidFill>
                <a:schemeClr val="accent4"/>
              </a:solidFill>
              <a:round/>
            </a:ln>
            <a:effectLst/>
          </c:spPr>
          <c:marker>
            <c:symbol val="none"/>
          </c:marker>
          <c:xVal>
            <c:numRef>
              <c:f>'P-VILARICA AP5 M3'!$H$22:$H$34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'P-VILARICA AP5 M3'!$L$22:$L$34</c:f>
              <c:numCache>
                <c:formatCode>0.000</c:formatCode>
                <c:ptCount val="13"/>
                <c:pt idx="0" formatCode="General">
                  <c:v>0</c:v>
                </c:pt>
                <c:pt idx="1">
                  <c:v>6.2629399585921328E-2</c:v>
                </c:pt>
                <c:pt idx="2">
                  <c:v>0.19668737060041408</c:v>
                </c:pt>
                <c:pt idx="3">
                  <c:v>0.36956521739130432</c:v>
                </c:pt>
                <c:pt idx="4">
                  <c:v>0.48654244306418215</c:v>
                </c:pt>
                <c:pt idx="5">
                  <c:v>0.52432712215320909</c:v>
                </c:pt>
                <c:pt idx="6">
                  <c:v>0.54296066252587993</c:v>
                </c:pt>
                <c:pt idx="7">
                  <c:v>0.56211180124223603</c:v>
                </c:pt>
                <c:pt idx="8">
                  <c:v>0.57763975155279512</c:v>
                </c:pt>
                <c:pt idx="9">
                  <c:v>0.58747412008281574</c:v>
                </c:pt>
                <c:pt idx="10">
                  <c:v>0.64751552795031042</c:v>
                </c:pt>
                <c:pt idx="11">
                  <c:v>0.69616977225672882</c:v>
                </c:pt>
                <c:pt idx="12">
                  <c:v>0.74430641821946164</c:v>
                </c:pt>
              </c:numCache>
            </c:numRef>
          </c:yVal>
          <c:smooth val="1"/>
          <c:extLst>
            <c:ext xmlns:c16="http://schemas.microsoft.com/office/drawing/2014/chart" uri="{C3380CC4-5D6E-409C-BE32-E72D297353CC}">
              <c16:uniqueId val="{00000000-9D47-4FD4-990E-6CAB1B0A3FDD}"/>
            </c:ext>
          </c:extLst>
        </c:ser>
        <c:ser>
          <c:idx val="4"/>
          <c:order val="1"/>
          <c:tx>
            <c:v>MUESTRA SIN SUMERGIR</c:v>
          </c:tx>
          <c:spPr>
            <a:ln w="9525" cap="rnd">
              <a:solidFill>
                <a:schemeClr val="accent5"/>
              </a:solidFill>
              <a:round/>
            </a:ln>
            <a:effectLst/>
          </c:spPr>
          <c:marker>
            <c:symbol val="none"/>
          </c:marker>
          <c:xVal>
            <c:numRef>
              <c:f>'P-VILARICA AP5 M3'!$H$22:$H$34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'P-VILARICA AP5 M3'!$J$22:$J$34</c:f>
              <c:numCache>
                <c:formatCode>0.000</c:formatCode>
                <c:ptCount val="13"/>
                <c:pt idx="0" formatCode="General">
                  <c:v>0</c:v>
                </c:pt>
                <c:pt idx="1">
                  <c:v>0.12939958592132506</c:v>
                </c:pt>
                <c:pt idx="2">
                  <c:v>0.27587991718426502</c:v>
                </c:pt>
                <c:pt idx="3">
                  <c:v>0.44772256728778465</c:v>
                </c:pt>
                <c:pt idx="4">
                  <c:v>0.57039337474120089</c:v>
                </c:pt>
                <c:pt idx="5">
                  <c:v>0.67236024844720488</c:v>
                </c:pt>
                <c:pt idx="6">
                  <c:v>0.80279503105590055</c:v>
                </c:pt>
                <c:pt idx="7">
                  <c:v>0.92546583850931674</c:v>
                </c:pt>
                <c:pt idx="8">
                  <c:v>1.0481366459627328</c:v>
                </c:pt>
                <c:pt idx="9">
                  <c:v>1.1842650103519667</c:v>
                </c:pt>
                <c:pt idx="10">
                  <c:v>1.5036231884057969</c:v>
                </c:pt>
                <c:pt idx="11">
                  <c:v>1.7355072463768118</c:v>
                </c:pt>
                <c:pt idx="12">
                  <c:v>1.9280538302277432</c:v>
                </c:pt>
              </c:numCache>
            </c:numRef>
          </c:yVal>
          <c:smooth val="1"/>
          <c:extLst>
            <c:ext xmlns:c16="http://schemas.microsoft.com/office/drawing/2014/chart" uri="{C3380CC4-5D6E-409C-BE32-E72D297353CC}">
              <c16:uniqueId val="{00000001-9D47-4FD4-990E-6CAB1B0A3FDD}"/>
            </c:ext>
          </c:extLst>
        </c:ser>
        <c:dLbls>
          <c:showLegendKey val="0"/>
          <c:showVal val="0"/>
          <c:showCatName val="0"/>
          <c:showSerName val="0"/>
          <c:showPercent val="0"/>
          <c:showBubbleSize val="0"/>
        </c:dLbls>
        <c:axId val="249761376"/>
        <c:axId val="249762160"/>
      </c:scatterChart>
      <c:valAx>
        <c:axId val="249761376"/>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s-CO"/>
                  <a:t>PENETRACIÓN (mm)</a:t>
                </a:r>
              </a:p>
            </c:rich>
          </c:tx>
          <c:overlay val="0"/>
          <c:spPr>
            <a:noFill/>
            <a:ln>
              <a:noFill/>
            </a:ln>
            <a:effectLst/>
          </c:spPr>
          <c:txPr>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0.000"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2160"/>
        <c:crosses val="autoZero"/>
        <c:crossBetween val="midCat"/>
      </c:valAx>
      <c:valAx>
        <c:axId val="249762160"/>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n-US"/>
                  <a:t>ESFUERZO (Mpa)</a:t>
                </a:r>
              </a:p>
            </c:rich>
          </c:tx>
          <c:overlay val="0"/>
          <c:spPr>
            <a:noFill/>
            <a:ln>
              <a:noFill/>
            </a:ln>
            <a:effectLst/>
          </c:spPr>
          <c:txPr>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1376"/>
        <c:crosses val="autoZero"/>
        <c:crossBetween val="midCat"/>
      </c:valAx>
      <c:spPr>
        <a:solidFill>
          <a:schemeClr val="lt1"/>
        </a:solidFill>
        <a:ln w="12700" cap="flat" cmpd="sng" algn="ctr">
          <a:solidFill>
            <a:schemeClr val="accent6"/>
          </a:solidFill>
          <a:prstDash val="solid"/>
          <a:miter lim="800000"/>
        </a:ln>
        <a:effectLst/>
      </c:spPr>
    </c:plotArea>
    <c:legend>
      <c:legendPos val="b"/>
      <c:layout>
        <c:manualLayout>
          <c:xMode val="edge"/>
          <c:yMode val="edge"/>
          <c:x val="1.9219567826425699E-6"/>
          <c:y val="0.91456538520920205"/>
          <c:w val="0.411132502223163"/>
          <c:h val="6.3025651205364006E-2"/>
        </c:manualLayout>
      </c:layout>
      <c:overlay val="0"/>
      <c:spPr>
        <a:noFill/>
        <a:ln>
          <a:noFill/>
        </a:ln>
        <a:effectLst/>
      </c:spPr>
      <c:txPr>
        <a:bodyPr rot="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legend>
    <c:plotVisOnly val="1"/>
    <c:dispBlanksAs val="gap"/>
    <c:showDLblsOverMax val="0"/>
    <c:extLst>
      <c:ext uri="{0b15fc19-7d7d-44ad-8c2d-2c3a37ce22c3}">
        <chartProps xmlns="https://web.wps.cn/et/2018/main" chartId="{ff9bb21e-49d7-4a43-bea7-6c5e78bc5cec}"/>
      </c:ext>
    </c:extLst>
  </c:chart>
  <c:spPr>
    <a:solidFill>
      <a:schemeClr val="lt1"/>
    </a:solidFill>
    <a:ln w="12700" cap="flat" cmpd="sng" algn="ctr">
      <a:solidFill>
        <a:schemeClr val="accent6"/>
      </a:solidFill>
      <a:prstDash val="solid"/>
      <a:miter lim="800000"/>
    </a:ln>
    <a:effectLst/>
  </c:spPr>
  <c:txPr>
    <a:bodyPr/>
    <a:lstStyle/>
    <a:p>
      <a:pPr>
        <a:defRPr lang="es-MX">
          <a:solidFill>
            <a:schemeClr val="dk1"/>
          </a:solidFill>
          <a:latin typeface="+mn-lt"/>
          <a:ea typeface="+mn-ea"/>
          <a:cs typeface="+mn-cs"/>
        </a:defRPr>
      </a:pPr>
      <a:endParaRPr lang="es-MX"/>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r>
              <a:rPr lang="en-US" sz="1400"/>
              <a:t>CBR MUESTRA INALTERADA ESFUERZO vs PENETRACIÓN </a:t>
            </a:r>
          </a:p>
        </c:rich>
      </c:tx>
      <c:overlay val="0"/>
      <c:spPr>
        <a:noFill/>
        <a:ln>
          <a:noFill/>
        </a:ln>
        <a:effectLst/>
      </c:spPr>
      <c:txPr>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endParaRPr lang="es-MX"/>
        </a:p>
      </c:txPr>
    </c:title>
    <c:autoTitleDeleted val="0"/>
    <c:plotArea>
      <c:layout>
        <c:manualLayout>
          <c:layoutTarget val="inner"/>
          <c:xMode val="edge"/>
          <c:yMode val="edge"/>
          <c:x val="7.3621035048203304E-2"/>
          <c:y val="0.120479002624672"/>
          <c:w val="0.88620553129602597"/>
          <c:h val="0.71051364829396302"/>
        </c:manualLayout>
      </c:layout>
      <c:scatterChart>
        <c:scatterStyle val="smoothMarker"/>
        <c:varyColors val="0"/>
        <c:ser>
          <c:idx val="3"/>
          <c:order val="0"/>
          <c:tx>
            <c:v>MUESTRA SUMERGIDA</c:v>
          </c:tx>
          <c:spPr>
            <a:ln w="9525" cap="rnd">
              <a:solidFill>
                <a:schemeClr val="accent4"/>
              </a:solidFill>
              <a:round/>
            </a:ln>
            <a:effectLst/>
          </c:spPr>
          <c:marker>
            <c:symbol val="none"/>
          </c:marker>
          <c:xVal>
            <c:numRef>
              <c:f>'P-ROZO AP1 M3'!$H$22:$H$34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'P-ROZO AP1 M3'!$L$22:$L$34</c:f>
              <c:numCache>
                <c:formatCode>0.000</c:formatCode>
                <c:ptCount val="13"/>
                <c:pt idx="0" formatCode="General">
                  <c:v>0</c:v>
                </c:pt>
                <c:pt idx="1">
                  <c:v>1.1387163561076604E-2</c:v>
                </c:pt>
                <c:pt idx="2">
                  <c:v>2.7432712215320912E-2</c:v>
                </c:pt>
                <c:pt idx="3">
                  <c:v>4.296066252587992E-2</c:v>
                </c:pt>
                <c:pt idx="4">
                  <c:v>6.1594202898550721E-2</c:v>
                </c:pt>
                <c:pt idx="5">
                  <c:v>7.8157349896480335E-2</c:v>
                </c:pt>
                <c:pt idx="6">
                  <c:v>9.213250517598344E-2</c:v>
                </c:pt>
                <c:pt idx="7">
                  <c:v>0.10507246376811595</c:v>
                </c:pt>
                <c:pt idx="8">
                  <c:v>0.11956521739130435</c:v>
                </c:pt>
                <c:pt idx="9">
                  <c:v>0.13612836438923395</c:v>
                </c:pt>
                <c:pt idx="10">
                  <c:v>0.2101449275362319</c:v>
                </c:pt>
                <c:pt idx="11">
                  <c:v>0.29451345755693575</c:v>
                </c:pt>
                <c:pt idx="12">
                  <c:v>0.37474120082815732</c:v>
                </c:pt>
              </c:numCache>
            </c:numRef>
          </c:yVal>
          <c:smooth val="1"/>
          <c:extLst>
            <c:ext xmlns:c16="http://schemas.microsoft.com/office/drawing/2014/chart" uri="{C3380CC4-5D6E-409C-BE32-E72D297353CC}">
              <c16:uniqueId val="{00000000-BB27-4009-AE8F-128072E5ABF9}"/>
            </c:ext>
          </c:extLst>
        </c:ser>
        <c:ser>
          <c:idx val="4"/>
          <c:order val="1"/>
          <c:tx>
            <c:v>MUESTRA SIN SUMERGIR</c:v>
          </c:tx>
          <c:spPr>
            <a:ln w="9525" cap="rnd">
              <a:solidFill>
                <a:schemeClr val="accent5"/>
              </a:solidFill>
              <a:round/>
            </a:ln>
            <a:effectLst/>
          </c:spPr>
          <c:marker>
            <c:symbol val="none"/>
          </c:marker>
          <c:xVal>
            <c:numRef>
              <c:f>'P-ROZO AP1 M3'!$H$22:$H$34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'P-ROZO AP1 M3'!$J$22:$J$34</c:f>
              <c:numCache>
                <c:formatCode>0.000</c:formatCode>
                <c:ptCount val="13"/>
                <c:pt idx="0" formatCode="General">
                  <c:v>0</c:v>
                </c:pt>
                <c:pt idx="1">
                  <c:v>4.917184265010352E-2</c:v>
                </c:pt>
                <c:pt idx="2">
                  <c:v>0.12888198757763975</c:v>
                </c:pt>
                <c:pt idx="3">
                  <c:v>0.19099378881987578</c:v>
                </c:pt>
                <c:pt idx="4">
                  <c:v>0.25362318840579706</c:v>
                </c:pt>
                <c:pt idx="5">
                  <c:v>0.31469979296066253</c:v>
                </c:pt>
                <c:pt idx="6">
                  <c:v>0.37060041407867494</c:v>
                </c:pt>
                <c:pt idx="7">
                  <c:v>0.42287784679089024</c:v>
                </c:pt>
                <c:pt idx="8">
                  <c:v>0.46480331262939961</c:v>
                </c:pt>
                <c:pt idx="9">
                  <c:v>0.5139751552795031</c:v>
                </c:pt>
                <c:pt idx="10">
                  <c:v>0.71739130434782594</c:v>
                </c:pt>
                <c:pt idx="11">
                  <c:v>0.93322981366459623</c:v>
                </c:pt>
                <c:pt idx="12">
                  <c:v>1.1490683229813665</c:v>
                </c:pt>
              </c:numCache>
            </c:numRef>
          </c:yVal>
          <c:smooth val="1"/>
          <c:extLst>
            <c:ext xmlns:c16="http://schemas.microsoft.com/office/drawing/2014/chart" uri="{C3380CC4-5D6E-409C-BE32-E72D297353CC}">
              <c16:uniqueId val="{00000001-BB27-4009-AE8F-128072E5ABF9}"/>
            </c:ext>
          </c:extLst>
        </c:ser>
        <c:dLbls>
          <c:showLegendKey val="0"/>
          <c:showVal val="0"/>
          <c:showCatName val="0"/>
          <c:showSerName val="0"/>
          <c:showPercent val="0"/>
          <c:showBubbleSize val="0"/>
        </c:dLbls>
        <c:axId val="249761376"/>
        <c:axId val="249762160"/>
      </c:scatterChart>
      <c:valAx>
        <c:axId val="249761376"/>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s-CO"/>
                  <a:t>PENETRACIÓN (mm)</a:t>
                </a:r>
              </a:p>
            </c:rich>
          </c:tx>
          <c:overlay val="0"/>
          <c:spPr>
            <a:noFill/>
            <a:ln>
              <a:noFill/>
            </a:ln>
            <a:effectLst/>
          </c:spPr>
          <c:txPr>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0.000"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2160"/>
        <c:crosses val="autoZero"/>
        <c:crossBetween val="midCat"/>
      </c:valAx>
      <c:valAx>
        <c:axId val="249762160"/>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n-US"/>
                  <a:t>ESFUERZO (Mpa)</a:t>
                </a:r>
              </a:p>
            </c:rich>
          </c:tx>
          <c:overlay val="0"/>
          <c:spPr>
            <a:noFill/>
            <a:ln>
              <a:noFill/>
            </a:ln>
            <a:effectLst/>
          </c:spPr>
          <c:txPr>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1376"/>
        <c:crosses val="autoZero"/>
        <c:crossBetween val="midCat"/>
      </c:valAx>
      <c:spPr>
        <a:solidFill>
          <a:schemeClr val="lt1"/>
        </a:solidFill>
        <a:ln w="12700" cap="flat" cmpd="sng" algn="ctr">
          <a:solidFill>
            <a:schemeClr val="accent6"/>
          </a:solidFill>
          <a:prstDash val="solid"/>
          <a:miter lim="800000"/>
        </a:ln>
        <a:effectLst/>
      </c:spPr>
    </c:plotArea>
    <c:legend>
      <c:legendPos val="b"/>
      <c:layout>
        <c:manualLayout>
          <c:xMode val="edge"/>
          <c:yMode val="edge"/>
          <c:x val="1.9219567826425699E-6"/>
          <c:y val="0.91456538520920205"/>
          <c:w val="0.411132502223163"/>
          <c:h val="6.3025651205364006E-2"/>
        </c:manualLayout>
      </c:layout>
      <c:overlay val="0"/>
      <c:spPr>
        <a:noFill/>
        <a:ln>
          <a:noFill/>
        </a:ln>
        <a:effectLst/>
      </c:spPr>
      <c:txPr>
        <a:bodyPr rot="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legend>
    <c:plotVisOnly val="1"/>
    <c:dispBlanksAs val="gap"/>
    <c:showDLblsOverMax val="0"/>
    <c:extLst>
      <c:ext uri="{0b15fc19-7d7d-44ad-8c2d-2c3a37ce22c3}">
        <chartProps xmlns="https://web.wps.cn/et/2018/main" chartId="{ff9bb21e-49d7-4a43-bea7-6c5e78bc5cec}"/>
      </c:ext>
    </c:extLst>
  </c:chart>
  <c:spPr>
    <a:solidFill>
      <a:schemeClr val="lt1"/>
    </a:solidFill>
    <a:ln w="12700" cap="flat" cmpd="sng" algn="ctr">
      <a:solidFill>
        <a:schemeClr val="accent6"/>
      </a:solidFill>
      <a:prstDash val="solid"/>
      <a:miter lim="800000"/>
    </a:ln>
    <a:effectLst/>
  </c:spPr>
  <c:txPr>
    <a:bodyPr/>
    <a:lstStyle/>
    <a:p>
      <a:pPr>
        <a:defRPr lang="es-MX">
          <a:solidFill>
            <a:schemeClr val="dk1"/>
          </a:solidFill>
          <a:latin typeface="+mn-lt"/>
          <a:ea typeface="+mn-ea"/>
          <a:cs typeface="+mn-cs"/>
        </a:defRPr>
      </a:pPr>
      <a:endParaRPr lang="es-MX"/>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r>
              <a:rPr lang="en-US" sz="1400"/>
              <a:t>CBR MUESTRA INALTERADA ESFUERZO vs PENETRACIÓN </a:t>
            </a:r>
          </a:p>
        </c:rich>
      </c:tx>
      <c:overlay val="0"/>
      <c:spPr>
        <a:noFill/>
        <a:ln>
          <a:noFill/>
        </a:ln>
        <a:effectLst/>
      </c:spPr>
      <c:txPr>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endParaRPr lang="es-MX"/>
        </a:p>
      </c:txPr>
    </c:title>
    <c:autoTitleDeleted val="0"/>
    <c:plotArea>
      <c:layout>
        <c:manualLayout>
          <c:layoutTarget val="inner"/>
          <c:xMode val="edge"/>
          <c:yMode val="edge"/>
          <c:x val="7.3621035048203304E-2"/>
          <c:y val="0.120479002624672"/>
          <c:w val="0.88620553129602597"/>
          <c:h val="0.71051364829396302"/>
        </c:manualLayout>
      </c:layout>
      <c:scatterChart>
        <c:scatterStyle val="smoothMarker"/>
        <c:varyColors val="0"/>
        <c:ser>
          <c:idx val="3"/>
          <c:order val="0"/>
          <c:tx>
            <c:v>MUESTRA SUMERGIDA</c:v>
          </c:tx>
          <c:spPr>
            <a:ln w="9525" cap="rnd">
              <a:solidFill>
                <a:schemeClr val="accent4"/>
              </a:solidFill>
              <a:round/>
            </a:ln>
            <a:effectLst/>
          </c:spPr>
          <c:marker>
            <c:symbol val="none"/>
          </c:marker>
          <c:xVal>
            <c:numRef>
              <c:f>'P-CERRITO AP2 M2'!$H$22:$H$34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'P-CERRITO AP2 M2'!$L$22:$L$34</c:f>
              <c:numCache>
                <c:formatCode>0.000</c:formatCode>
                <c:ptCount val="13"/>
                <c:pt idx="0" formatCode="General">
                  <c:v>0</c:v>
                </c:pt>
                <c:pt idx="1">
                  <c:v>1.3975155279503104E-2</c:v>
                </c:pt>
                <c:pt idx="2">
                  <c:v>5.331262939958592E-2</c:v>
                </c:pt>
                <c:pt idx="3">
                  <c:v>7.1428571428571438E-2</c:v>
                </c:pt>
                <c:pt idx="4">
                  <c:v>8.4368530020703936E-2</c:v>
                </c:pt>
                <c:pt idx="5">
                  <c:v>9.4720496894409936E-2</c:v>
                </c:pt>
                <c:pt idx="6">
                  <c:v>0.10610766045548654</c:v>
                </c:pt>
                <c:pt idx="7">
                  <c:v>0.11697722567287785</c:v>
                </c:pt>
                <c:pt idx="8">
                  <c:v>0.12888198757763975</c:v>
                </c:pt>
                <c:pt idx="9">
                  <c:v>0.13975155279503107</c:v>
                </c:pt>
                <c:pt idx="10">
                  <c:v>0.18944099378881987</c:v>
                </c:pt>
                <c:pt idx="11">
                  <c:v>0.24378881987577639</c:v>
                </c:pt>
                <c:pt idx="12">
                  <c:v>0.29347826086956519</c:v>
                </c:pt>
              </c:numCache>
            </c:numRef>
          </c:yVal>
          <c:smooth val="1"/>
          <c:extLst>
            <c:ext xmlns:c16="http://schemas.microsoft.com/office/drawing/2014/chart" uri="{C3380CC4-5D6E-409C-BE32-E72D297353CC}">
              <c16:uniqueId val="{00000000-0B86-416E-B8E8-2D762BEDE383}"/>
            </c:ext>
          </c:extLst>
        </c:ser>
        <c:ser>
          <c:idx val="4"/>
          <c:order val="1"/>
          <c:tx>
            <c:v>MUESTRA SIN SUMERGIR</c:v>
          </c:tx>
          <c:spPr>
            <a:ln w="9525" cap="rnd">
              <a:solidFill>
                <a:schemeClr val="accent5"/>
              </a:solidFill>
              <a:round/>
            </a:ln>
            <a:effectLst/>
          </c:spPr>
          <c:marker>
            <c:symbol val="none"/>
          </c:marker>
          <c:xVal>
            <c:numRef>
              <c:f>'P-CERRITO AP2 M2'!$H$22:$H$34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'P-CERRITO AP2 M2'!$J$22:$J$34</c:f>
              <c:numCache>
                <c:formatCode>0.000</c:formatCode>
                <c:ptCount val="13"/>
                <c:pt idx="0" formatCode="General">
                  <c:v>0</c:v>
                </c:pt>
                <c:pt idx="1">
                  <c:v>6.6252587991718431E-2</c:v>
                </c:pt>
                <c:pt idx="2">
                  <c:v>0.21790890269151139</c:v>
                </c:pt>
                <c:pt idx="3">
                  <c:v>0.40631469979296064</c:v>
                </c:pt>
                <c:pt idx="4">
                  <c:v>0.59161490683229823</c:v>
                </c:pt>
                <c:pt idx="5">
                  <c:v>0.75310559006211186</c:v>
                </c:pt>
                <c:pt idx="6">
                  <c:v>0.85093167701863348</c:v>
                </c:pt>
                <c:pt idx="7">
                  <c:v>0.92494824016563149</c:v>
                </c:pt>
                <c:pt idx="8">
                  <c:v>0.99275362318840576</c:v>
                </c:pt>
                <c:pt idx="9">
                  <c:v>1.0445134575569357</c:v>
                </c:pt>
                <c:pt idx="10">
                  <c:v>1.2116977225672878</c:v>
                </c:pt>
                <c:pt idx="11">
                  <c:v>1.3509316770186337</c:v>
                </c:pt>
                <c:pt idx="12">
                  <c:v>1.4725672877846789</c:v>
                </c:pt>
              </c:numCache>
            </c:numRef>
          </c:yVal>
          <c:smooth val="1"/>
          <c:extLst>
            <c:ext xmlns:c16="http://schemas.microsoft.com/office/drawing/2014/chart" uri="{C3380CC4-5D6E-409C-BE32-E72D297353CC}">
              <c16:uniqueId val="{00000001-0B86-416E-B8E8-2D762BEDE383}"/>
            </c:ext>
          </c:extLst>
        </c:ser>
        <c:dLbls>
          <c:showLegendKey val="0"/>
          <c:showVal val="0"/>
          <c:showCatName val="0"/>
          <c:showSerName val="0"/>
          <c:showPercent val="0"/>
          <c:showBubbleSize val="0"/>
        </c:dLbls>
        <c:axId val="249761376"/>
        <c:axId val="249762160"/>
      </c:scatterChart>
      <c:valAx>
        <c:axId val="249761376"/>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s-CO"/>
                  <a:t>PENETRACIÓN (mm)</a:t>
                </a:r>
              </a:p>
            </c:rich>
          </c:tx>
          <c:overlay val="0"/>
          <c:spPr>
            <a:noFill/>
            <a:ln>
              <a:noFill/>
            </a:ln>
            <a:effectLst/>
          </c:spPr>
          <c:txPr>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0.000"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2160"/>
        <c:crosses val="autoZero"/>
        <c:crossBetween val="midCat"/>
      </c:valAx>
      <c:valAx>
        <c:axId val="249762160"/>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n-US"/>
                  <a:t>ESFUERZO (Mpa)</a:t>
                </a:r>
              </a:p>
            </c:rich>
          </c:tx>
          <c:overlay val="0"/>
          <c:spPr>
            <a:noFill/>
            <a:ln>
              <a:noFill/>
            </a:ln>
            <a:effectLst/>
          </c:spPr>
          <c:txPr>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1376"/>
        <c:crosses val="autoZero"/>
        <c:crossBetween val="midCat"/>
      </c:valAx>
      <c:spPr>
        <a:solidFill>
          <a:schemeClr val="lt1"/>
        </a:solidFill>
        <a:ln w="12700" cap="flat" cmpd="sng" algn="ctr">
          <a:solidFill>
            <a:schemeClr val="accent6"/>
          </a:solidFill>
          <a:prstDash val="solid"/>
          <a:miter lim="800000"/>
        </a:ln>
        <a:effectLst/>
      </c:spPr>
    </c:plotArea>
    <c:legend>
      <c:legendPos val="b"/>
      <c:layout>
        <c:manualLayout>
          <c:xMode val="edge"/>
          <c:yMode val="edge"/>
          <c:x val="1.9219567826425699E-6"/>
          <c:y val="0.91456538520920205"/>
          <c:w val="0.411132502223163"/>
          <c:h val="6.3025651205364006E-2"/>
        </c:manualLayout>
      </c:layout>
      <c:overlay val="0"/>
      <c:spPr>
        <a:noFill/>
        <a:ln>
          <a:noFill/>
        </a:ln>
        <a:effectLst/>
      </c:spPr>
      <c:txPr>
        <a:bodyPr rot="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legend>
    <c:plotVisOnly val="1"/>
    <c:dispBlanksAs val="gap"/>
    <c:showDLblsOverMax val="0"/>
    <c:extLst>
      <c:ext uri="{0b15fc19-7d7d-44ad-8c2d-2c3a37ce22c3}">
        <chartProps xmlns="https://web.wps.cn/et/2018/main" chartId="{ff9bb21e-49d7-4a43-bea7-6c5e78bc5cec}"/>
      </c:ext>
    </c:extLst>
  </c:chart>
  <c:spPr>
    <a:solidFill>
      <a:schemeClr val="lt1"/>
    </a:solidFill>
    <a:ln w="12700" cap="flat" cmpd="sng" algn="ctr">
      <a:solidFill>
        <a:schemeClr val="accent6"/>
      </a:solidFill>
      <a:prstDash val="solid"/>
      <a:miter lim="800000"/>
    </a:ln>
    <a:effectLst/>
  </c:spPr>
  <c:txPr>
    <a:bodyPr/>
    <a:lstStyle/>
    <a:p>
      <a:pPr>
        <a:defRPr lang="es-MX">
          <a:solidFill>
            <a:schemeClr val="dk1"/>
          </a:solidFill>
          <a:latin typeface="+mn-lt"/>
          <a:ea typeface="+mn-ea"/>
          <a:cs typeface="+mn-cs"/>
        </a:defRPr>
      </a:pPr>
      <a:endParaRPr lang="es-MX"/>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r>
              <a:rPr lang="en-US" sz="1400"/>
              <a:t>CBR MUESTRA INALTERADA ESFUERZO vs PENETRACIÓN </a:t>
            </a:r>
          </a:p>
        </c:rich>
      </c:tx>
      <c:overlay val="0"/>
      <c:spPr>
        <a:noFill/>
        <a:ln>
          <a:noFill/>
        </a:ln>
        <a:effectLst/>
      </c:spPr>
      <c:txPr>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endParaRPr lang="es-MX"/>
        </a:p>
      </c:txPr>
    </c:title>
    <c:autoTitleDeleted val="0"/>
    <c:plotArea>
      <c:layout>
        <c:manualLayout>
          <c:layoutTarget val="inner"/>
          <c:xMode val="edge"/>
          <c:yMode val="edge"/>
          <c:x val="7.3621035048203304E-2"/>
          <c:y val="0.120479002624672"/>
          <c:w val="0.88620553129602597"/>
          <c:h val="0.71051364829396302"/>
        </c:manualLayout>
      </c:layout>
      <c:scatterChart>
        <c:scatterStyle val="smoothMarker"/>
        <c:varyColors val="0"/>
        <c:ser>
          <c:idx val="3"/>
          <c:order val="0"/>
          <c:tx>
            <c:v>MUESTRA SUMERGIDA</c:v>
          </c:tx>
          <c:spPr>
            <a:ln w="9525" cap="rnd">
              <a:solidFill>
                <a:schemeClr val="accent4"/>
              </a:solidFill>
              <a:round/>
            </a:ln>
            <a:effectLst/>
          </c:spPr>
          <c:marker>
            <c:symbol val="none"/>
          </c:marker>
          <c:xVal>
            <c:numRef>
              <c:f>'LA TORRE VARIANTE ROZO AP1 M4'!$H$22:$H$34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'LA TORRE VARIANTE ROZO AP1 M4'!$L$22:$L$34</c:f>
              <c:numCache>
                <c:formatCode>0.000</c:formatCode>
                <c:ptCount val="13"/>
                <c:pt idx="0" formatCode="General">
                  <c:v>0</c:v>
                </c:pt>
                <c:pt idx="1">
                  <c:v>2.3291925465838512E-2</c:v>
                </c:pt>
                <c:pt idx="2">
                  <c:v>5.8488612836438927E-2</c:v>
                </c:pt>
                <c:pt idx="3">
                  <c:v>9.0579710144927522E-2</c:v>
                </c:pt>
                <c:pt idx="4">
                  <c:v>0.11438923395445136</c:v>
                </c:pt>
                <c:pt idx="5">
                  <c:v>0.13198757763975155</c:v>
                </c:pt>
                <c:pt idx="6">
                  <c:v>0.15165631469979296</c:v>
                </c:pt>
                <c:pt idx="7">
                  <c:v>0.16977225672877846</c:v>
                </c:pt>
                <c:pt idx="8">
                  <c:v>0.18633540372670809</c:v>
                </c:pt>
                <c:pt idx="9">
                  <c:v>0.19513457556935818</c:v>
                </c:pt>
                <c:pt idx="10">
                  <c:v>0.24896480331262938</c:v>
                </c:pt>
                <c:pt idx="11">
                  <c:v>0.29917184265010349</c:v>
                </c:pt>
                <c:pt idx="12">
                  <c:v>0.34627329192546585</c:v>
                </c:pt>
              </c:numCache>
            </c:numRef>
          </c:yVal>
          <c:smooth val="1"/>
          <c:extLst>
            <c:ext xmlns:c16="http://schemas.microsoft.com/office/drawing/2014/chart" uri="{C3380CC4-5D6E-409C-BE32-E72D297353CC}">
              <c16:uniqueId val="{00000000-5671-4052-9729-B367A745763F}"/>
            </c:ext>
          </c:extLst>
        </c:ser>
        <c:ser>
          <c:idx val="4"/>
          <c:order val="1"/>
          <c:tx>
            <c:v>MUESTRA SIN SUMERGIR</c:v>
          </c:tx>
          <c:spPr>
            <a:ln w="9525" cap="rnd">
              <a:solidFill>
                <a:schemeClr val="accent5"/>
              </a:solidFill>
              <a:round/>
            </a:ln>
            <a:effectLst/>
          </c:spPr>
          <c:marker>
            <c:symbol val="none"/>
          </c:marker>
          <c:xVal>
            <c:numRef>
              <c:f>'LA TORRE VARIANTE ROZO AP1 M4'!$H$22:$H$34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'LA TORRE VARIANTE ROZO AP1 M4'!$J$22:$J$34</c:f>
              <c:numCache>
                <c:formatCode>0.000</c:formatCode>
                <c:ptCount val="13"/>
                <c:pt idx="0" formatCode="General">
                  <c:v>0</c:v>
                </c:pt>
                <c:pt idx="1">
                  <c:v>6.0559006211180127E-2</c:v>
                </c:pt>
                <c:pt idx="2">
                  <c:v>9.4720496894409936E-2</c:v>
                </c:pt>
                <c:pt idx="3">
                  <c:v>0.13354037267080746</c:v>
                </c:pt>
                <c:pt idx="4">
                  <c:v>0.16770186335403728</c:v>
                </c:pt>
                <c:pt idx="5">
                  <c:v>0.19461697722567287</c:v>
                </c:pt>
                <c:pt idx="6">
                  <c:v>0.22412008281573498</c:v>
                </c:pt>
                <c:pt idx="7">
                  <c:v>0.25155279503105588</c:v>
                </c:pt>
                <c:pt idx="8">
                  <c:v>0.27639751552795033</c:v>
                </c:pt>
                <c:pt idx="9">
                  <c:v>0.29761904761904762</c:v>
                </c:pt>
                <c:pt idx="10">
                  <c:v>0.38561076604554867</c:v>
                </c:pt>
                <c:pt idx="11">
                  <c:v>0.47153209109730854</c:v>
                </c:pt>
                <c:pt idx="12">
                  <c:v>0.5548654244306418</c:v>
                </c:pt>
              </c:numCache>
            </c:numRef>
          </c:yVal>
          <c:smooth val="1"/>
          <c:extLst>
            <c:ext xmlns:c16="http://schemas.microsoft.com/office/drawing/2014/chart" uri="{C3380CC4-5D6E-409C-BE32-E72D297353CC}">
              <c16:uniqueId val="{00000001-5671-4052-9729-B367A745763F}"/>
            </c:ext>
          </c:extLst>
        </c:ser>
        <c:dLbls>
          <c:showLegendKey val="0"/>
          <c:showVal val="0"/>
          <c:showCatName val="0"/>
          <c:showSerName val="0"/>
          <c:showPercent val="0"/>
          <c:showBubbleSize val="0"/>
        </c:dLbls>
        <c:axId val="249761376"/>
        <c:axId val="249762160"/>
      </c:scatterChart>
      <c:valAx>
        <c:axId val="249761376"/>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s-CO"/>
                  <a:t>PENETRACIÓN (mm)</a:t>
                </a:r>
              </a:p>
            </c:rich>
          </c:tx>
          <c:overlay val="0"/>
          <c:spPr>
            <a:noFill/>
            <a:ln>
              <a:noFill/>
            </a:ln>
            <a:effectLst/>
          </c:spPr>
          <c:txPr>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0.000"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2160"/>
        <c:crosses val="autoZero"/>
        <c:crossBetween val="midCat"/>
      </c:valAx>
      <c:valAx>
        <c:axId val="249762160"/>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n-US"/>
                  <a:t>ESFUERZO (Mpa)</a:t>
                </a:r>
              </a:p>
            </c:rich>
          </c:tx>
          <c:overlay val="0"/>
          <c:spPr>
            <a:noFill/>
            <a:ln>
              <a:noFill/>
            </a:ln>
            <a:effectLst/>
          </c:spPr>
          <c:txPr>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1376"/>
        <c:crosses val="autoZero"/>
        <c:crossBetween val="midCat"/>
      </c:valAx>
      <c:spPr>
        <a:solidFill>
          <a:schemeClr val="lt1"/>
        </a:solidFill>
        <a:ln w="12700" cap="flat" cmpd="sng" algn="ctr">
          <a:solidFill>
            <a:schemeClr val="accent6"/>
          </a:solidFill>
          <a:prstDash val="solid"/>
          <a:miter lim="800000"/>
        </a:ln>
        <a:effectLst/>
      </c:spPr>
    </c:plotArea>
    <c:legend>
      <c:legendPos val="b"/>
      <c:layout>
        <c:manualLayout>
          <c:xMode val="edge"/>
          <c:yMode val="edge"/>
          <c:x val="1.9219567826425699E-6"/>
          <c:y val="0.91456538520920205"/>
          <c:w val="0.411132502223163"/>
          <c:h val="6.3025651205364006E-2"/>
        </c:manualLayout>
      </c:layout>
      <c:overlay val="0"/>
      <c:spPr>
        <a:noFill/>
        <a:ln>
          <a:noFill/>
        </a:ln>
        <a:effectLst/>
      </c:spPr>
      <c:txPr>
        <a:bodyPr rot="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legend>
    <c:plotVisOnly val="1"/>
    <c:dispBlanksAs val="gap"/>
    <c:showDLblsOverMax val="0"/>
    <c:extLst>
      <c:ext uri="{0b15fc19-7d7d-44ad-8c2d-2c3a37ce22c3}">
        <chartProps xmlns="https://web.wps.cn/et/2018/main" chartId="{ff9bb21e-49d7-4a43-bea7-6c5e78bc5cec}"/>
      </c:ext>
    </c:extLst>
  </c:chart>
  <c:spPr>
    <a:solidFill>
      <a:schemeClr val="lt1"/>
    </a:solidFill>
    <a:ln w="12700" cap="flat" cmpd="sng" algn="ctr">
      <a:solidFill>
        <a:schemeClr val="accent6"/>
      </a:solidFill>
      <a:prstDash val="solid"/>
      <a:miter lim="800000"/>
    </a:ln>
    <a:effectLst/>
  </c:spPr>
  <c:txPr>
    <a:bodyPr/>
    <a:lstStyle/>
    <a:p>
      <a:pPr>
        <a:defRPr lang="es-MX">
          <a:solidFill>
            <a:schemeClr val="dk1"/>
          </a:solidFill>
          <a:latin typeface="+mn-lt"/>
          <a:ea typeface="+mn-ea"/>
          <a:cs typeface="+mn-cs"/>
        </a:defRPr>
      </a:pPr>
      <a:endParaRPr lang="es-MX"/>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r>
              <a:rPr lang="en-US" sz="1400"/>
              <a:t>CBR MUESTRA INALTERADA ESFUERZO vs PENETRACIÓN </a:t>
            </a:r>
          </a:p>
        </c:rich>
      </c:tx>
      <c:overlay val="0"/>
      <c:spPr>
        <a:noFill/>
        <a:ln>
          <a:noFill/>
        </a:ln>
        <a:effectLst/>
      </c:spPr>
      <c:txPr>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endParaRPr lang="es-MX"/>
        </a:p>
      </c:txPr>
    </c:title>
    <c:autoTitleDeleted val="0"/>
    <c:plotArea>
      <c:layout>
        <c:manualLayout>
          <c:layoutTarget val="inner"/>
          <c:xMode val="edge"/>
          <c:yMode val="edge"/>
          <c:x val="7.3621035048203304E-2"/>
          <c:y val="0.120479002624672"/>
          <c:w val="0.88620553129602597"/>
          <c:h val="0.71051364829396302"/>
        </c:manualLayout>
      </c:layout>
      <c:scatterChart>
        <c:scatterStyle val="smoothMarker"/>
        <c:varyColors val="0"/>
        <c:ser>
          <c:idx val="3"/>
          <c:order val="0"/>
          <c:tx>
            <c:v>MUESTRA SUMERGIDA</c:v>
          </c:tx>
          <c:spPr>
            <a:ln w="9525" cap="rnd">
              <a:solidFill>
                <a:schemeClr val="accent4"/>
              </a:solidFill>
              <a:round/>
            </a:ln>
            <a:effectLst/>
          </c:spPr>
          <c:marker>
            <c:symbol val="none"/>
          </c:marker>
          <c:xVal>
            <c:numRef>
              <c:f>'LA TORRE VARIANTE ROZO AP3 M3'!$H$22:$H$34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'LA TORRE VARIANTE ROZO AP3 M3'!$L$22:$L$34</c:f>
              <c:numCache>
                <c:formatCode>0.000</c:formatCode>
                <c:ptCount val="13"/>
                <c:pt idx="0" formatCode="General">
                  <c:v>0</c:v>
                </c:pt>
                <c:pt idx="1">
                  <c:v>1.9151138716356108E-2</c:v>
                </c:pt>
                <c:pt idx="2">
                  <c:v>3.8302277432712216E-2</c:v>
                </c:pt>
                <c:pt idx="3">
                  <c:v>4.6583850931677023E-2</c:v>
                </c:pt>
                <c:pt idx="4">
                  <c:v>5.227743271221532E-2</c:v>
                </c:pt>
                <c:pt idx="5">
                  <c:v>5.538302277432712E-2</c:v>
                </c:pt>
                <c:pt idx="6">
                  <c:v>6.0041407867494824E-2</c:v>
                </c:pt>
                <c:pt idx="7">
                  <c:v>6.3664596273291921E-2</c:v>
                </c:pt>
                <c:pt idx="8">
                  <c:v>6.7287784679089024E-2</c:v>
                </c:pt>
                <c:pt idx="9">
                  <c:v>6.9875776397515535E-2</c:v>
                </c:pt>
                <c:pt idx="10">
                  <c:v>8.0745341614906832E-2</c:v>
                </c:pt>
                <c:pt idx="11">
                  <c:v>9.0062111801242226E-2</c:v>
                </c:pt>
                <c:pt idx="12">
                  <c:v>0.10144927536231885</c:v>
                </c:pt>
              </c:numCache>
            </c:numRef>
          </c:yVal>
          <c:smooth val="1"/>
          <c:extLst>
            <c:ext xmlns:c16="http://schemas.microsoft.com/office/drawing/2014/chart" uri="{C3380CC4-5D6E-409C-BE32-E72D297353CC}">
              <c16:uniqueId val="{00000000-85C3-449C-AA74-C76518107797}"/>
            </c:ext>
          </c:extLst>
        </c:ser>
        <c:ser>
          <c:idx val="4"/>
          <c:order val="1"/>
          <c:tx>
            <c:v>MUESTRA SIN SUMERGIR</c:v>
          </c:tx>
          <c:spPr>
            <a:ln w="9525" cap="rnd">
              <a:solidFill>
                <a:schemeClr val="accent5"/>
              </a:solidFill>
              <a:round/>
            </a:ln>
            <a:effectLst/>
          </c:spPr>
          <c:marker>
            <c:symbol val="none"/>
          </c:marker>
          <c:xVal>
            <c:numRef>
              <c:f>'LA TORRE VARIANTE ROZO AP3 M3'!$H$22:$H$34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'LA TORRE VARIANTE ROZO AP3 M3'!$J$22:$J$34</c:f>
              <c:numCache>
                <c:formatCode>0.000</c:formatCode>
                <c:ptCount val="13"/>
                <c:pt idx="0" formatCode="General">
                  <c:v>0</c:v>
                </c:pt>
                <c:pt idx="1">
                  <c:v>6.3664596273291921E-2</c:v>
                </c:pt>
                <c:pt idx="2">
                  <c:v>0.11128364389233954</c:v>
                </c:pt>
                <c:pt idx="3">
                  <c:v>0.14906832298136644</c:v>
                </c:pt>
                <c:pt idx="4">
                  <c:v>0.17494824016563149</c:v>
                </c:pt>
                <c:pt idx="5">
                  <c:v>0.19824016563146998</c:v>
                </c:pt>
                <c:pt idx="6">
                  <c:v>0.2251552795031056</c:v>
                </c:pt>
                <c:pt idx="7">
                  <c:v>0.24534161490683229</c:v>
                </c:pt>
                <c:pt idx="8">
                  <c:v>0.2582815734989648</c:v>
                </c:pt>
                <c:pt idx="9">
                  <c:v>0.26345755693581779</c:v>
                </c:pt>
                <c:pt idx="10">
                  <c:v>0.31677018633540377</c:v>
                </c:pt>
                <c:pt idx="11">
                  <c:v>0.36335403726708071</c:v>
                </c:pt>
                <c:pt idx="12">
                  <c:v>0.40838509316770188</c:v>
                </c:pt>
              </c:numCache>
            </c:numRef>
          </c:yVal>
          <c:smooth val="1"/>
          <c:extLst>
            <c:ext xmlns:c16="http://schemas.microsoft.com/office/drawing/2014/chart" uri="{C3380CC4-5D6E-409C-BE32-E72D297353CC}">
              <c16:uniqueId val="{00000001-85C3-449C-AA74-C76518107797}"/>
            </c:ext>
          </c:extLst>
        </c:ser>
        <c:dLbls>
          <c:showLegendKey val="0"/>
          <c:showVal val="0"/>
          <c:showCatName val="0"/>
          <c:showSerName val="0"/>
          <c:showPercent val="0"/>
          <c:showBubbleSize val="0"/>
        </c:dLbls>
        <c:axId val="249761376"/>
        <c:axId val="249762160"/>
      </c:scatterChart>
      <c:valAx>
        <c:axId val="249761376"/>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s-CO"/>
                  <a:t>PENETRACIÓN (mm)</a:t>
                </a:r>
              </a:p>
            </c:rich>
          </c:tx>
          <c:overlay val="0"/>
          <c:spPr>
            <a:noFill/>
            <a:ln>
              <a:noFill/>
            </a:ln>
            <a:effectLst/>
          </c:spPr>
          <c:txPr>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0.000"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2160"/>
        <c:crosses val="autoZero"/>
        <c:crossBetween val="midCat"/>
      </c:valAx>
      <c:valAx>
        <c:axId val="249762160"/>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n-US"/>
                  <a:t>ESFUERZO (Mpa)</a:t>
                </a:r>
              </a:p>
            </c:rich>
          </c:tx>
          <c:overlay val="0"/>
          <c:spPr>
            <a:noFill/>
            <a:ln>
              <a:noFill/>
            </a:ln>
            <a:effectLst/>
          </c:spPr>
          <c:txPr>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1376"/>
        <c:crosses val="autoZero"/>
        <c:crossBetween val="midCat"/>
      </c:valAx>
      <c:spPr>
        <a:solidFill>
          <a:schemeClr val="lt1"/>
        </a:solidFill>
        <a:ln w="12700" cap="flat" cmpd="sng" algn="ctr">
          <a:solidFill>
            <a:schemeClr val="accent6"/>
          </a:solidFill>
          <a:prstDash val="solid"/>
          <a:miter lim="800000"/>
        </a:ln>
        <a:effectLst/>
      </c:spPr>
    </c:plotArea>
    <c:legend>
      <c:legendPos val="b"/>
      <c:layout>
        <c:manualLayout>
          <c:xMode val="edge"/>
          <c:yMode val="edge"/>
          <c:x val="1.9219567826425699E-6"/>
          <c:y val="0.91456538520920205"/>
          <c:w val="0.411132502223163"/>
          <c:h val="6.3025651205364006E-2"/>
        </c:manualLayout>
      </c:layout>
      <c:overlay val="0"/>
      <c:spPr>
        <a:noFill/>
        <a:ln>
          <a:noFill/>
        </a:ln>
        <a:effectLst/>
      </c:spPr>
      <c:txPr>
        <a:bodyPr rot="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legend>
    <c:plotVisOnly val="1"/>
    <c:dispBlanksAs val="gap"/>
    <c:showDLblsOverMax val="0"/>
    <c:extLst>
      <c:ext uri="{0b15fc19-7d7d-44ad-8c2d-2c3a37ce22c3}">
        <chartProps xmlns="https://web.wps.cn/et/2018/main" chartId="{ff9bb21e-49d7-4a43-bea7-6c5e78bc5cec}"/>
      </c:ext>
    </c:extLst>
  </c:chart>
  <c:spPr>
    <a:solidFill>
      <a:schemeClr val="lt1"/>
    </a:solidFill>
    <a:ln w="12700" cap="flat" cmpd="sng" algn="ctr">
      <a:solidFill>
        <a:schemeClr val="accent6"/>
      </a:solidFill>
      <a:prstDash val="solid"/>
      <a:miter lim="800000"/>
    </a:ln>
    <a:effectLst/>
  </c:spPr>
  <c:txPr>
    <a:bodyPr/>
    <a:lstStyle/>
    <a:p>
      <a:pPr>
        <a:defRPr lang="es-MX">
          <a:solidFill>
            <a:schemeClr val="dk1"/>
          </a:solidFill>
          <a:latin typeface="+mn-lt"/>
          <a:ea typeface="+mn-ea"/>
          <a:cs typeface="+mn-cs"/>
        </a:defRPr>
      </a:pPr>
      <a:endParaRPr lang="es-MX"/>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r>
              <a:rPr lang="en-US" sz="1400"/>
              <a:t>CBR MUESTRA INALTERADA ESFUERZO vs PENETRACIÓN </a:t>
            </a:r>
          </a:p>
        </c:rich>
      </c:tx>
      <c:overlay val="0"/>
      <c:spPr>
        <a:noFill/>
        <a:ln>
          <a:noFill/>
        </a:ln>
        <a:effectLst/>
      </c:spPr>
      <c:txPr>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endParaRPr lang="es-MX"/>
        </a:p>
      </c:txPr>
    </c:title>
    <c:autoTitleDeleted val="0"/>
    <c:plotArea>
      <c:layout>
        <c:manualLayout>
          <c:layoutTarget val="inner"/>
          <c:xMode val="edge"/>
          <c:yMode val="edge"/>
          <c:x val="7.3621035048203304E-2"/>
          <c:y val="0.120479002624672"/>
          <c:w val="0.88620553129602597"/>
          <c:h val="0.71051364829396302"/>
        </c:manualLayout>
      </c:layout>
      <c:scatterChart>
        <c:scatterStyle val="smoothMarker"/>
        <c:varyColors val="0"/>
        <c:ser>
          <c:idx val="3"/>
          <c:order val="0"/>
          <c:tx>
            <c:v>MUESTRA SUMERGIDA</c:v>
          </c:tx>
          <c:spPr>
            <a:ln w="9525" cap="rnd">
              <a:solidFill>
                <a:schemeClr val="accent4"/>
              </a:solidFill>
              <a:round/>
            </a:ln>
            <a:effectLst/>
          </c:spPr>
          <c:marker>
            <c:symbol val="none"/>
          </c:marker>
          <c:xVal>
            <c:numRef>
              <c:f>'TARDES CALEÑAS AP4 M2'!$H$22:$H$34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'TARDES CALEÑAS AP4 M2'!$L$22:$L$34</c:f>
              <c:numCache>
                <c:formatCode>0.000</c:formatCode>
                <c:ptCount val="13"/>
                <c:pt idx="0" formatCode="General">
                  <c:v>0</c:v>
                </c:pt>
                <c:pt idx="1">
                  <c:v>2.070393374741201E-3</c:v>
                </c:pt>
                <c:pt idx="2">
                  <c:v>6.7287784679089021E-3</c:v>
                </c:pt>
                <c:pt idx="3">
                  <c:v>1.2939958592132504E-2</c:v>
                </c:pt>
                <c:pt idx="4">
                  <c:v>1.8115942028985511E-2</c:v>
                </c:pt>
                <c:pt idx="5">
                  <c:v>2.0703933747412008E-2</c:v>
                </c:pt>
                <c:pt idx="6">
                  <c:v>2.1221532091097308E-2</c:v>
                </c:pt>
                <c:pt idx="7">
                  <c:v>2.1221532091097308E-2</c:v>
                </c:pt>
                <c:pt idx="8">
                  <c:v>2.1739130434782608E-2</c:v>
                </c:pt>
                <c:pt idx="9">
                  <c:v>2.2256728778467905E-2</c:v>
                </c:pt>
                <c:pt idx="10">
                  <c:v>2.3291925465838512E-2</c:v>
                </c:pt>
                <c:pt idx="11">
                  <c:v>2.5362318840579712E-2</c:v>
                </c:pt>
                <c:pt idx="12">
                  <c:v>2.6915113871635608E-2</c:v>
                </c:pt>
              </c:numCache>
            </c:numRef>
          </c:yVal>
          <c:smooth val="1"/>
          <c:extLst>
            <c:ext xmlns:c16="http://schemas.microsoft.com/office/drawing/2014/chart" uri="{C3380CC4-5D6E-409C-BE32-E72D297353CC}">
              <c16:uniqueId val="{00000000-6D77-4822-85B1-417648F6398B}"/>
            </c:ext>
          </c:extLst>
        </c:ser>
        <c:ser>
          <c:idx val="4"/>
          <c:order val="1"/>
          <c:tx>
            <c:v>MUESTRA SIN SUMERGIR</c:v>
          </c:tx>
          <c:spPr>
            <a:ln w="9525" cap="rnd">
              <a:solidFill>
                <a:schemeClr val="accent5"/>
              </a:solidFill>
              <a:round/>
            </a:ln>
            <a:effectLst/>
          </c:spPr>
          <c:marker>
            <c:symbol val="none"/>
          </c:marker>
          <c:xVal>
            <c:numRef>
              <c:f>'TARDES CALEÑAS AP4 M2'!$H$22:$H$34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'TARDES CALEÑAS AP4 M2'!$J$22:$J$34</c:f>
              <c:numCache>
                <c:formatCode>0.000</c:formatCode>
                <c:ptCount val="13"/>
                <c:pt idx="0" formatCode="General">
                  <c:v>0</c:v>
                </c:pt>
                <c:pt idx="1">
                  <c:v>6.3146997929606624E-2</c:v>
                </c:pt>
                <c:pt idx="2">
                  <c:v>0.13302277432712217</c:v>
                </c:pt>
                <c:pt idx="3">
                  <c:v>0.20186335403726707</c:v>
                </c:pt>
                <c:pt idx="4">
                  <c:v>0.24896480331262938</c:v>
                </c:pt>
                <c:pt idx="5">
                  <c:v>0.27536231884057971</c:v>
                </c:pt>
                <c:pt idx="6">
                  <c:v>0.30072463768115942</c:v>
                </c:pt>
                <c:pt idx="7">
                  <c:v>0.31780538302277428</c:v>
                </c:pt>
                <c:pt idx="8">
                  <c:v>0.32971014492753625</c:v>
                </c:pt>
                <c:pt idx="9">
                  <c:v>0.33902691511387167</c:v>
                </c:pt>
                <c:pt idx="10">
                  <c:v>0.36438923395445133</c:v>
                </c:pt>
                <c:pt idx="11">
                  <c:v>0.38612836438923392</c:v>
                </c:pt>
                <c:pt idx="12">
                  <c:v>0.41045548654244307</c:v>
                </c:pt>
              </c:numCache>
            </c:numRef>
          </c:yVal>
          <c:smooth val="1"/>
          <c:extLst>
            <c:ext xmlns:c16="http://schemas.microsoft.com/office/drawing/2014/chart" uri="{C3380CC4-5D6E-409C-BE32-E72D297353CC}">
              <c16:uniqueId val="{00000001-6D77-4822-85B1-417648F6398B}"/>
            </c:ext>
          </c:extLst>
        </c:ser>
        <c:dLbls>
          <c:showLegendKey val="0"/>
          <c:showVal val="0"/>
          <c:showCatName val="0"/>
          <c:showSerName val="0"/>
          <c:showPercent val="0"/>
          <c:showBubbleSize val="0"/>
        </c:dLbls>
        <c:axId val="249761376"/>
        <c:axId val="249762160"/>
      </c:scatterChart>
      <c:valAx>
        <c:axId val="249761376"/>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s-CO"/>
                  <a:t>PENETRACIÓN (mm)</a:t>
                </a:r>
              </a:p>
            </c:rich>
          </c:tx>
          <c:overlay val="0"/>
          <c:spPr>
            <a:noFill/>
            <a:ln>
              <a:noFill/>
            </a:ln>
            <a:effectLst/>
          </c:spPr>
          <c:txPr>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0.000"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2160"/>
        <c:crosses val="autoZero"/>
        <c:crossBetween val="midCat"/>
      </c:valAx>
      <c:valAx>
        <c:axId val="249762160"/>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n-US"/>
                  <a:t>ESFUERZO (Mpa)</a:t>
                </a:r>
              </a:p>
            </c:rich>
          </c:tx>
          <c:overlay val="0"/>
          <c:spPr>
            <a:noFill/>
            <a:ln>
              <a:noFill/>
            </a:ln>
            <a:effectLst/>
          </c:spPr>
          <c:txPr>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1376"/>
        <c:crosses val="autoZero"/>
        <c:crossBetween val="midCat"/>
      </c:valAx>
      <c:spPr>
        <a:solidFill>
          <a:schemeClr val="lt1"/>
        </a:solidFill>
        <a:ln w="12700" cap="flat" cmpd="sng" algn="ctr">
          <a:solidFill>
            <a:schemeClr val="accent6"/>
          </a:solidFill>
          <a:prstDash val="solid"/>
          <a:miter lim="800000"/>
        </a:ln>
        <a:effectLst/>
      </c:spPr>
    </c:plotArea>
    <c:legend>
      <c:legendPos val="b"/>
      <c:layout>
        <c:manualLayout>
          <c:xMode val="edge"/>
          <c:yMode val="edge"/>
          <c:x val="1.9219567826425699E-6"/>
          <c:y val="0.91456538520920205"/>
          <c:w val="0.411132502223163"/>
          <c:h val="6.3025651205364006E-2"/>
        </c:manualLayout>
      </c:layout>
      <c:overlay val="0"/>
      <c:spPr>
        <a:noFill/>
        <a:ln>
          <a:noFill/>
        </a:ln>
        <a:effectLst/>
      </c:spPr>
      <c:txPr>
        <a:bodyPr rot="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legend>
    <c:plotVisOnly val="1"/>
    <c:dispBlanksAs val="gap"/>
    <c:showDLblsOverMax val="0"/>
    <c:extLst>
      <c:ext uri="{0b15fc19-7d7d-44ad-8c2d-2c3a37ce22c3}">
        <chartProps xmlns="https://web.wps.cn/et/2018/main" chartId="{ff9bb21e-49d7-4a43-bea7-6c5e78bc5cec}"/>
      </c:ext>
    </c:extLst>
  </c:chart>
  <c:spPr>
    <a:solidFill>
      <a:schemeClr val="lt1"/>
    </a:solidFill>
    <a:ln w="12700" cap="flat" cmpd="sng" algn="ctr">
      <a:solidFill>
        <a:schemeClr val="accent6"/>
      </a:solidFill>
      <a:prstDash val="solid"/>
      <a:miter lim="800000"/>
    </a:ln>
    <a:effectLst/>
  </c:spPr>
  <c:txPr>
    <a:bodyPr/>
    <a:lstStyle/>
    <a:p>
      <a:pPr>
        <a:defRPr lang="es-MX">
          <a:solidFill>
            <a:schemeClr val="dk1"/>
          </a:solidFill>
          <a:latin typeface="+mn-lt"/>
          <a:ea typeface="+mn-ea"/>
          <a:cs typeface="+mn-cs"/>
        </a:defRPr>
      </a:pPr>
      <a:endParaRPr lang="es-MX"/>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r>
              <a:rPr lang="en-US" sz="1400"/>
              <a:t>CBR MUESTRA INALTERADA ESFUERZO vs PENETRACIÓN </a:t>
            </a:r>
          </a:p>
        </c:rich>
      </c:tx>
      <c:overlay val="0"/>
      <c:spPr>
        <a:noFill/>
        <a:ln>
          <a:noFill/>
        </a:ln>
        <a:effectLst/>
      </c:spPr>
      <c:txPr>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endParaRPr lang="es-MX"/>
        </a:p>
      </c:txPr>
    </c:title>
    <c:autoTitleDeleted val="0"/>
    <c:plotArea>
      <c:layout>
        <c:manualLayout>
          <c:layoutTarget val="inner"/>
          <c:xMode val="edge"/>
          <c:yMode val="edge"/>
          <c:x val="7.3621035048203304E-2"/>
          <c:y val="0.120479002624672"/>
          <c:w val="0.88620553129602597"/>
          <c:h val="0.71051364829396302"/>
        </c:manualLayout>
      </c:layout>
      <c:scatterChart>
        <c:scatterStyle val="smoothMarker"/>
        <c:varyColors val="0"/>
        <c:ser>
          <c:idx val="3"/>
          <c:order val="0"/>
          <c:tx>
            <c:v>MUESTRA SUMERGIDA</c:v>
          </c:tx>
          <c:spPr>
            <a:ln w="9525" cap="rnd">
              <a:solidFill>
                <a:schemeClr val="accent4"/>
              </a:solidFill>
              <a:round/>
            </a:ln>
            <a:effectLst/>
          </c:spPr>
          <c:marker>
            <c:symbol val="none"/>
          </c:marker>
          <c:xVal>
            <c:numRef>
              <c:f>'UNIVALLE AP1 M3'!$H$22:$H$34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'UNIVALLE AP1 M3'!$L$22:$L$34</c:f>
              <c:numCache>
                <c:formatCode>0.000</c:formatCode>
                <c:ptCount val="13"/>
                <c:pt idx="0" formatCode="General">
                  <c:v>0</c:v>
                </c:pt>
                <c:pt idx="1">
                  <c:v>3.4161490683229816E-2</c:v>
                </c:pt>
                <c:pt idx="2">
                  <c:v>0.11231884057971014</c:v>
                </c:pt>
                <c:pt idx="3">
                  <c:v>0.17908902691511386</c:v>
                </c:pt>
                <c:pt idx="4">
                  <c:v>0.20755693581780538</c:v>
                </c:pt>
                <c:pt idx="5">
                  <c:v>0.21635610766045546</c:v>
                </c:pt>
                <c:pt idx="6">
                  <c:v>0.21997929606625255</c:v>
                </c:pt>
                <c:pt idx="7">
                  <c:v>0.21946169772256729</c:v>
                </c:pt>
                <c:pt idx="8">
                  <c:v>0.21946169772256729</c:v>
                </c:pt>
                <c:pt idx="9">
                  <c:v>0.22360248447204967</c:v>
                </c:pt>
                <c:pt idx="10">
                  <c:v>0.22877846790890272</c:v>
                </c:pt>
                <c:pt idx="11">
                  <c:v>0.2375776397515528</c:v>
                </c:pt>
                <c:pt idx="12">
                  <c:v>0.24999999999999997</c:v>
                </c:pt>
              </c:numCache>
            </c:numRef>
          </c:yVal>
          <c:smooth val="1"/>
          <c:extLst>
            <c:ext xmlns:c16="http://schemas.microsoft.com/office/drawing/2014/chart" uri="{C3380CC4-5D6E-409C-BE32-E72D297353CC}">
              <c16:uniqueId val="{00000000-F4E3-47A8-A013-08DA91FC83A8}"/>
            </c:ext>
          </c:extLst>
        </c:ser>
        <c:ser>
          <c:idx val="4"/>
          <c:order val="1"/>
          <c:tx>
            <c:v>MUESTRA SIN SUMERGIR</c:v>
          </c:tx>
          <c:spPr>
            <a:ln w="9525" cap="rnd">
              <a:solidFill>
                <a:schemeClr val="accent5"/>
              </a:solidFill>
              <a:round/>
            </a:ln>
            <a:effectLst/>
          </c:spPr>
          <c:marker>
            <c:symbol val="none"/>
          </c:marker>
          <c:xVal>
            <c:numRef>
              <c:f>'UNIVALLE AP1 M3'!$H$22:$H$34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'UNIVALLE AP1 M3'!$J$22:$J$34</c:f>
              <c:numCache>
                <c:formatCode>0.000</c:formatCode>
                <c:ptCount val="13"/>
                <c:pt idx="0" formatCode="General">
                  <c:v>0</c:v>
                </c:pt>
                <c:pt idx="1">
                  <c:v>6.8840579710144928E-2</c:v>
                </c:pt>
                <c:pt idx="2">
                  <c:v>0.12163561076604554</c:v>
                </c:pt>
                <c:pt idx="3">
                  <c:v>0.18426501035196688</c:v>
                </c:pt>
                <c:pt idx="4">
                  <c:v>0.24689440993788819</c:v>
                </c:pt>
                <c:pt idx="5">
                  <c:v>0.30590062111801242</c:v>
                </c:pt>
                <c:pt idx="6">
                  <c:v>0.3571428571428571</c:v>
                </c:pt>
                <c:pt idx="7">
                  <c:v>0.39855072463768121</c:v>
                </c:pt>
                <c:pt idx="8">
                  <c:v>0.43840579710144928</c:v>
                </c:pt>
                <c:pt idx="9">
                  <c:v>0.47463768115942029</c:v>
                </c:pt>
                <c:pt idx="10">
                  <c:v>0.57039337474120089</c:v>
                </c:pt>
                <c:pt idx="11">
                  <c:v>0.63250517598343681</c:v>
                </c:pt>
                <c:pt idx="12">
                  <c:v>0.67339544513457561</c:v>
                </c:pt>
              </c:numCache>
            </c:numRef>
          </c:yVal>
          <c:smooth val="1"/>
          <c:extLst>
            <c:ext xmlns:c16="http://schemas.microsoft.com/office/drawing/2014/chart" uri="{C3380CC4-5D6E-409C-BE32-E72D297353CC}">
              <c16:uniqueId val="{00000001-F4E3-47A8-A013-08DA91FC83A8}"/>
            </c:ext>
          </c:extLst>
        </c:ser>
        <c:dLbls>
          <c:showLegendKey val="0"/>
          <c:showVal val="0"/>
          <c:showCatName val="0"/>
          <c:showSerName val="0"/>
          <c:showPercent val="0"/>
          <c:showBubbleSize val="0"/>
        </c:dLbls>
        <c:axId val="249761376"/>
        <c:axId val="249762160"/>
      </c:scatterChart>
      <c:valAx>
        <c:axId val="249761376"/>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s-CO"/>
                  <a:t>PENETRACIÓN (mm)</a:t>
                </a:r>
              </a:p>
            </c:rich>
          </c:tx>
          <c:overlay val="0"/>
          <c:spPr>
            <a:noFill/>
            <a:ln>
              <a:noFill/>
            </a:ln>
            <a:effectLst/>
          </c:spPr>
          <c:txPr>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0.000"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2160"/>
        <c:crosses val="autoZero"/>
        <c:crossBetween val="midCat"/>
      </c:valAx>
      <c:valAx>
        <c:axId val="249762160"/>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n-US"/>
                  <a:t>ESFUERZO (Mpa)</a:t>
                </a:r>
              </a:p>
            </c:rich>
          </c:tx>
          <c:overlay val="0"/>
          <c:spPr>
            <a:noFill/>
            <a:ln>
              <a:noFill/>
            </a:ln>
            <a:effectLst/>
          </c:spPr>
          <c:txPr>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1376"/>
        <c:crosses val="autoZero"/>
        <c:crossBetween val="midCat"/>
      </c:valAx>
      <c:spPr>
        <a:solidFill>
          <a:schemeClr val="lt1"/>
        </a:solidFill>
        <a:ln w="12700" cap="flat" cmpd="sng" algn="ctr">
          <a:solidFill>
            <a:schemeClr val="accent6"/>
          </a:solidFill>
          <a:prstDash val="solid"/>
          <a:miter lim="800000"/>
        </a:ln>
        <a:effectLst/>
      </c:spPr>
    </c:plotArea>
    <c:legend>
      <c:legendPos val="b"/>
      <c:layout>
        <c:manualLayout>
          <c:xMode val="edge"/>
          <c:yMode val="edge"/>
          <c:x val="1.9219567826425699E-6"/>
          <c:y val="0.91456538520920205"/>
          <c:w val="0.411132502223163"/>
          <c:h val="6.3025651205364006E-2"/>
        </c:manualLayout>
      </c:layout>
      <c:overlay val="0"/>
      <c:spPr>
        <a:noFill/>
        <a:ln>
          <a:noFill/>
        </a:ln>
        <a:effectLst/>
      </c:spPr>
      <c:txPr>
        <a:bodyPr rot="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legend>
    <c:plotVisOnly val="1"/>
    <c:dispBlanksAs val="gap"/>
    <c:showDLblsOverMax val="0"/>
    <c:extLst>
      <c:ext uri="{0b15fc19-7d7d-44ad-8c2d-2c3a37ce22c3}">
        <chartProps xmlns="https://web.wps.cn/et/2018/main" chartId="{ff9bb21e-49d7-4a43-bea7-6c5e78bc5cec}"/>
      </c:ext>
    </c:extLst>
  </c:chart>
  <c:spPr>
    <a:solidFill>
      <a:schemeClr val="lt1"/>
    </a:solidFill>
    <a:ln w="12700" cap="flat" cmpd="sng" algn="ctr">
      <a:solidFill>
        <a:schemeClr val="accent6"/>
      </a:solidFill>
      <a:prstDash val="solid"/>
      <a:miter lim="800000"/>
    </a:ln>
    <a:effectLst/>
  </c:spPr>
  <c:txPr>
    <a:bodyPr/>
    <a:lstStyle/>
    <a:p>
      <a:pPr>
        <a:defRPr lang="es-MX">
          <a:solidFill>
            <a:schemeClr val="dk1"/>
          </a:solidFill>
          <a:latin typeface="+mn-lt"/>
          <a:ea typeface="+mn-ea"/>
          <a:cs typeface="+mn-cs"/>
        </a:defRPr>
      </a:pPr>
      <a:endParaRPr lang="es-MX"/>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r>
              <a:rPr lang="en-US" sz="1400"/>
              <a:t>CBR MUESTRA INALTERADA ESFUERZO vs PENETRACIÓN </a:t>
            </a:r>
          </a:p>
        </c:rich>
      </c:tx>
      <c:overlay val="0"/>
      <c:spPr>
        <a:noFill/>
        <a:ln>
          <a:noFill/>
        </a:ln>
        <a:effectLst/>
      </c:spPr>
      <c:txPr>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endParaRPr lang="es-MX"/>
        </a:p>
      </c:txPr>
    </c:title>
    <c:autoTitleDeleted val="0"/>
    <c:plotArea>
      <c:layout>
        <c:manualLayout>
          <c:layoutTarget val="inner"/>
          <c:xMode val="edge"/>
          <c:yMode val="edge"/>
          <c:x val="7.3621035048203304E-2"/>
          <c:y val="0.120479002624672"/>
          <c:w val="0.88620553129602597"/>
          <c:h val="0.71051364829396302"/>
        </c:manualLayout>
      </c:layout>
      <c:scatterChart>
        <c:scatterStyle val="smoothMarker"/>
        <c:varyColors val="0"/>
        <c:ser>
          <c:idx val="3"/>
          <c:order val="0"/>
          <c:tx>
            <c:v>MUESTRA SUMERGIDA</c:v>
          </c:tx>
          <c:spPr>
            <a:ln w="9525" cap="rnd">
              <a:solidFill>
                <a:schemeClr val="accent4"/>
              </a:solidFill>
              <a:round/>
            </a:ln>
            <a:effectLst/>
          </c:spPr>
          <c:marker>
            <c:symbol val="none"/>
          </c:marker>
          <c:xVal>
            <c:numRef>
              <c:f>'UNIVALLE AP2 M3'!$H$22:$H$34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'UNIVALLE AP2 M3'!$L$22:$L$34</c:f>
              <c:numCache>
                <c:formatCode>0.000</c:formatCode>
                <c:ptCount val="13"/>
                <c:pt idx="0" formatCode="General">
                  <c:v>0</c:v>
                </c:pt>
                <c:pt idx="1">
                  <c:v>4.3478260869565216E-2</c:v>
                </c:pt>
                <c:pt idx="2">
                  <c:v>9.5755693581780543E-2</c:v>
                </c:pt>
                <c:pt idx="3">
                  <c:v>0.13716356107660455</c:v>
                </c:pt>
                <c:pt idx="4">
                  <c:v>0.16252587991718426</c:v>
                </c:pt>
                <c:pt idx="5">
                  <c:v>0.17546583850931677</c:v>
                </c:pt>
                <c:pt idx="6">
                  <c:v>0.18530020703933747</c:v>
                </c:pt>
                <c:pt idx="7">
                  <c:v>0.19151138716356109</c:v>
                </c:pt>
                <c:pt idx="8">
                  <c:v>0.19616977225672877</c:v>
                </c:pt>
                <c:pt idx="9">
                  <c:v>0.19979296066252589</c:v>
                </c:pt>
                <c:pt idx="10">
                  <c:v>0.21118012422360247</c:v>
                </c:pt>
                <c:pt idx="11">
                  <c:v>0.22360248447204967</c:v>
                </c:pt>
                <c:pt idx="12">
                  <c:v>0.23550724637681159</c:v>
                </c:pt>
              </c:numCache>
            </c:numRef>
          </c:yVal>
          <c:smooth val="1"/>
          <c:extLst>
            <c:ext xmlns:c16="http://schemas.microsoft.com/office/drawing/2014/chart" uri="{C3380CC4-5D6E-409C-BE32-E72D297353CC}">
              <c16:uniqueId val="{00000000-7716-4EB4-B938-768BE1295494}"/>
            </c:ext>
          </c:extLst>
        </c:ser>
        <c:ser>
          <c:idx val="4"/>
          <c:order val="1"/>
          <c:tx>
            <c:v>MUESTRA SIN SUMERGIR</c:v>
          </c:tx>
          <c:spPr>
            <a:ln w="9525" cap="rnd">
              <a:solidFill>
                <a:schemeClr val="accent5"/>
              </a:solidFill>
              <a:round/>
            </a:ln>
            <a:effectLst/>
          </c:spPr>
          <c:marker>
            <c:symbol val="none"/>
          </c:marker>
          <c:xVal>
            <c:numRef>
              <c:f>'UNIVALLE AP2 M3'!$H$22:$H$34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'UNIVALLE AP2 M3'!$J$22:$J$34</c:f>
              <c:numCache>
                <c:formatCode>0.000</c:formatCode>
                <c:ptCount val="13"/>
                <c:pt idx="0" formatCode="General">
                  <c:v>0</c:v>
                </c:pt>
                <c:pt idx="1">
                  <c:v>5.7971014492753624E-2</c:v>
                </c:pt>
                <c:pt idx="2">
                  <c:v>0.11128364389233954</c:v>
                </c:pt>
                <c:pt idx="3">
                  <c:v>0.14544513457556937</c:v>
                </c:pt>
                <c:pt idx="4">
                  <c:v>0.17184265010351968</c:v>
                </c:pt>
                <c:pt idx="5">
                  <c:v>0.19047619047619047</c:v>
                </c:pt>
                <c:pt idx="6">
                  <c:v>0.2060041407867495</c:v>
                </c:pt>
                <c:pt idx="7">
                  <c:v>0.22153209109730848</c:v>
                </c:pt>
                <c:pt idx="8">
                  <c:v>0.24068322981366461</c:v>
                </c:pt>
                <c:pt idx="9">
                  <c:v>0.25724637681159418</c:v>
                </c:pt>
                <c:pt idx="10">
                  <c:v>0.2996894409937888</c:v>
                </c:pt>
                <c:pt idx="11">
                  <c:v>0.33022774327122151</c:v>
                </c:pt>
                <c:pt idx="12">
                  <c:v>0.35869565217391297</c:v>
                </c:pt>
              </c:numCache>
            </c:numRef>
          </c:yVal>
          <c:smooth val="1"/>
          <c:extLst>
            <c:ext xmlns:c16="http://schemas.microsoft.com/office/drawing/2014/chart" uri="{C3380CC4-5D6E-409C-BE32-E72D297353CC}">
              <c16:uniqueId val="{00000001-7716-4EB4-B938-768BE1295494}"/>
            </c:ext>
          </c:extLst>
        </c:ser>
        <c:dLbls>
          <c:showLegendKey val="0"/>
          <c:showVal val="0"/>
          <c:showCatName val="0"/>
          <c:showSerName val="0"/>
          <c:showPercent val="0"/>
          <c:showBubbleSize val="0"/>
        </c:dLbls>
        <c:axId val="249761376"/>
        <c:axId val="249762160"/>
      </c:scatterChart>
      <c:valAx>
        <c:axId val="249761376"/>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s-CO"/>
                  <a:t>PENETRACIÓN (mm)</a:t>
                </a:r>
              </a:p>
            </c:rich>
          </c:tx>
          <c:overlay val="0"/>
          <c:spPr>
            <a:noFill/>
            <a:ln>
              <a:noFill/>
            </a:ln>
            <a:effectLst/>
          </c:spPr>
          <c:txPr>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0.000"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2160"/>
        <c:crosses val="autoZero"/>
        <c:crossBetween val="midCat"/>
      </c:valAx>
      <c:valAx>
        <c:axId val="249762160"/>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n-US"/>
                  <a:t>ESFUERZO (Mpa)</a:t>
                </a:r>
              </a:p>
            </c:rich>
          </c:tx>
          <c:overlay val="0"/>
          <c:spPr>
            <a:noFill/>
            <a:ln>
              <a:noFill/>
            </a:ln>
            <a:effectLst/>
          </c:spPr>
          <c:txPr>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1376"/>
        <c:crosses val="autoZero"/>
        <c:crossBetween val="midCat"/>
      </c:valAx>
      <c:spPr>
        <a:solidFill>
          <a:schemeClr val="lt1"/>
        </a:solidFill>
        <a:ln w="12700" cap="flat" cmpd="sng" algn="ctr">
          <a:solidFill>
            <a:schemeClr val="accent6"/>
          </a:solidFill>
          <a:prstDash val="solid"/>
          <a:miter lim="800000"/>
        </a:ln>
        <a:effectLst/>
      </c:spPr>
    </c:plotArea>
    <c:legend>
      <c:legendPos val="b"/>
      <c:layout>
        <c:manualLayout>
          <c:xMode val="edge"/>
          <c:yMode val="edge"/>
          <c:x val="1.9219567826425699E-6"/>
          <c:y val="0.91456538520920205"/>
          <c:w val="0.411132502223163"/>
          <c:h val="6.3025651205364006E-2"/>
        </c:manualLayout>
      </c:layout>
      <c:overlay val="0"/>
      <c:spPr>
        <a:noFill/>
        <a:ln>
          <a:noFill/>
        </a:ln>
        <a:effectLst/>
      </c:spPr>
      <c:txPr>
        <a:bodyPr rot="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legend>
    <c:plotVisOnly val="1"/>
    <c:dispBlanksAs val="gap"/>
    <c:showDLblsOverMax val="0"/>
    <c:extLst>
      <c:ext uri="{0b15fc19-7d7d-44ad-8c2d-2c3a37ce22c3}">
        <chartProps xmlns="https://web.wps.cn/et/2018/main" chartId="{ff9bb21e-49d7-4a43-bea7-6c5e78bc5cec}"/>
      </c:ext>
    </c:extLst>
  </c:chart>
  <c:spPr>
    <a:solidFill>
      <a:schemeClr val="lt1"/>
    </a:solidFill>
    <a:ln w="12700" cap="flat" cmpd="sng" algn="ctr">
      <a:solidFill>
        <a:schemeClr val="accent6"/>
      </a:solidFill>
      <a:prstDash val="solid"/>
      <a:miter lim="800000"/>
    </a:ln>
    <a:effectLst/>
  </c:spPr>
  <c:txPr>
    <a:bodyPr/>
    <a:lstStyle/>
    <a:p>
      <a:pPr>
        <a:defRPr lang="es-MX">
          <a:solidFill>
            <a:schemeClr val="dk1"/>
          </a:solidFill>
          <a:latin typeface="+mn-lt"/>
          <a:ea typeface="+mn-ea"/>
          <a:cs typeface="+mn-cs"/>
        </a:defRPr>
      </a:pPr>
      <a:endParaRPr lang="es-MX"/>
    </a:p>
  </c:txPr>
  <c:printSettings>
    <c:headerFooter/>
    <c:pageMargins b="0.75" l="0.7" r="0.7" t="0.75" header="0.3" footer="0.3"/>
    <c:pageSetup orientation="portrait"/>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r>
              <a:rPr lang="en-US" sz="1400"/>
              <a:t>CBR MUESTRA INALTERADA ESFUERZO vs PENETRACIÓN </a:t>
            </a:r>
          </a:p>
        </c:rich>
      </c:tx>
      <c:overlay val="0"/>
      <c:spPr>
        <a:noFill/>
        <a:ln>
          <a:noFill/>
        </a:ln>
        <a:effectLst/>
      </c:spPr>
      <c:txPr>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endParaRPr lang="es-MX"/>
        </a:p>
      </c:txPr>
    </c:title>
    <c:autoTitleDeleted val="0"/>
    <c:plotArea>
      <c:layout>
        <c:manualLayout>
          <c:layoutTarget val="inner"/>
          <c:xMode val="edge"/>
          <c:yMode val="edge"/>
          <c:x val="7.3621035048203304E-2"/>
          <c:y val="0.120479002624672"/>
          <c:w val="0.88620553129602597"/>
          <c:h val="0.71051364829396302"/>
        </c:manualLayout>
      </c:layout>
      <c:scatterChart>
        <c:scatterStyle val="smoothMarker"/>
        <c:varyColors val="0"/>
        <c:ser>
          <c:idx val="3"/>
          <c:order val="0"/>
          <c:tx>
            <c:v>MUESTRA SUMERGIDA</c:v>
          </c:tx>
          <c:spPr>
            <a:ln w="9525" cap="rnd">
              <a:solidFill>
                <a:schemeClr val="accent4"/>
              </a:solidFill>
              <a:round/>
            </a:ln>
            <a:effectLst/>
          </c:spPr>
          <c:marker>
            <c:symbol val="none"/>
          </c:marker>
          <c:xVal>
            <c:numRef>
              <c:f>'UNIVALLE AP3 M3'!$H$22:$H$34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'UNIVALLE AP3 M3'!$L$22:$L$34</c:f>
              <c:numCache>
                <c:formatCode>0.000</c:formatCode>
                <c:ptCount val="13"/>
                <c:pt idx="0" formatCode="General">
                  <c:v>0</c:v>
                </c:pt>
                <c:pt idx="1">
                  <c:v>6.0041407867494824E-2</c:v>
                </c:pt>
                <c:pt idx="2">
                  <c:v>0.2318840579710145</c:v>
                </c:pt>
                <c:pt idx="3">
                  <c:v>0.42546583850931674</c:v>
                </c:pt>
                <c:pt idx="4">
                  <c:v>0.51759834368530022</c:v>
                </c:pt>
                <c:pt idx="5">
                  <c:v>0.58229813664596275</c:v>
                </c:pt>
                <c:pt idx="6">
                  <c:v>0.61438923395445133</c:v>
                </c:pt>
                <c:pt idx="7">
                  <c:v>0.66200828157349889</c:v>
                </c:pt>
                <c:pt idx="8">
                  <c:v>0.67132505175983437</c:v>
                </c:pt>
                <c:pt idx="9">
                  <c:v>0.67908902691511386</c:v>
                </c:pt>
                <c:pt idx="10">
                  <c:v>0.70755693581780532</c:v>
                </c:pt>
                <c:pt idx="11">
                  <c:v>0.71118012422360255</c:v>
                </c:pt>
                <c:pt idx="12">
                  <c:v>0.72308488612836441</c:v>
                </c:pt>
              </c:numCache>
            </c:numRef>
          </c:yVal>
          <c:smooth val="1"/>
          <c:extLst>
            <c:ext xmlns:c16="http://schemas.microsoft.com/office/drawing/2014/chart" uri="{C3380CC4-5D6E-409C-BE32-E72D297353CC}">
              <c16:uniqueId val="{00000000-014B-4C4C-AE3A-57DDA57570C9}"/>
            </c:ext>
          </c:extLst>
        </c:ser>
        <c:ser>
          <c:idx val="4"/>
          <c:order val="1"/>
          <c:tx>
            <c:v>MUESTRA SIN SUMERGIR</c:v>
          </c:tx>
          <c:spPr>
            <a:ln w="9525" cap="rnd">
              <a:solidFill>
                <a:schemeClr val="accent5"/>
              </a:solidFill>
              <a:round/>
            </a:ln>
            <a:effectLst/>
          </c:spPr>
          <c:marker>
            <c:symbol val="none"/>
          </c:marker>
          <c:xVal>
            <c:numRef>
              <c:f>'UNIVALLE AP3 M3'!$H$22:$H$34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'UNIVALLE AP3 M3'!$J$22:$J$34</c:f>
              <c:numCache>
                <c:formatCode>0.000</c:formatCode>
                <c:ptCount val="13"/>
                <c:pt idx="0" formatCode="General">
                  <c:v>0</c:v>
                </c:pt>
                <c:pt idx="1">
                  <c:v>0.17857142857142855</c:v>
                </c:pt>
                <c:pt idx="2">
                  <c:v>0.36801242236024845</c:v>
                </c:pt>
                <c:pt idx="3">
                  <c:v>0.56521739130434789</c:v>
                </c:pt>
                <c:pt idx="4">
                  <c:v>0.72256728778467905</c:v>
                </c:pt>
                <c:pt idx="5">
                  <c:v>0.83954451345755698</c:v>
                </c:pt>
                <c:pt idx="6">
                  <c:v>0.9503105590062112</c:v>
                </c:pt>
                <c:pt idx="7">
                  <c:v>1.0579710144927537</c:v>
                </c:pt>
                <c:pt idx="8">
                  <c:v>1.1594202898550727</c:v>
                </c:pt>
                <c:pt idx="9">
                  <c:v>1.2453416149068324</c:v>
                </c:pt>
                <c:pt idx="10">
                  <c:v>1.5455486542443064</c:v>
                </c:pt>
                <c:pt idx="11">
                  <c:v>1.7670807453416149</c:v>
                </c:pt>
                <c:pt idx="12">
                  <c:v>1.9321946169772257</c:v>
                </c:pt>
              </c:numCache>
            </c:numRef>
          </c:yVal>
          <c:smooth val="1"/>
          <c:extLst>
            <c:ext xmlns:c16="http://schemas.microsoft.com/office/drawing/2014/chart" uri="{C3380CC4-5D6E-409C-BE32-E72D297353CC}">
              <c16:uniqueId val="{00000001-014B-4C4C-AE3A-57DDA57570C9}"/>
            </c:ext>
          </c:extLst>
        </c:ser>
        <c:dLbls>
          <c:showLegendKey val="0"/>
          <c:showVal val="0"/>
          <c:showCatName val="0"/>
          <c:showSerName val="0"/>
          <c:showPercent val="0"/>
          <c:showBubbleSize val="0"/>
        </c:dLbls>
        <c:axId val="249761376"/>
        <c:axId val="249762160"/>
      </c:scatterChart>
      <c:valAx>
        <c:axId val="249761376"/>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s-CO"/>
                  <a:t>PENETRACIÓN (mm)</a:t>
                </a:r>
              </a:p>
            </c:rich>
          </c:tx>
          <c:overlay val="0"/>
          <c:spPr>
            <a:noFill/>
            <a:ln>
              <a:noFill/>
            </a:ln>
            <a:effectLst/>
          </c:spPr>
          <c:txPr>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0.000"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2160"/>
        <c:crosses val="autoZero"/>
        <c:crossBetween val="midCat"/>
      </c:valAx>
      <c:valAx>
        <c:axId val="249762160"/>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n-US"/>
                  <a:t>ESFUERZO (Mpa)</a:t>
                </a:r>
              </a:p>
            </c:rich>
          </c:tx>
          <c:overlay val="0"/>
          <c:spPr>
            <a:noFill/>
            <a:ln>
              <a:noFill/>
            </a:ln>
            <a:effectLst/>
          </c:spPr>
          <c:txPr>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1376"/>
        <c:crosses val="autoZero"/>
        <c:crossBetween val="midCat"/>
      </c:valAx>
      <c:spPr>
        <a:solidFill>
          <a:schemeClr val="lt1"/>
        </a:solidFill>
        <a:ln w="12700" cap="flat" cmpd="sng" algn="ctr">
          <a:solidFill>
            <a:schemeClr val="accent6"/>
          </a:solidFill>
          <a:prstDash val="solid"/>
          <a:miter lim="800000"/>
        </a:ln>
        <a:effectLst/>
      </c:spPr>
    </c:plotArea>
    <c:legend>
      <c:legendPos val="b"/>
      <c:layout>
        <c:manualLayout>
          <c:xMode val="edge"/>
          <c:yMode val="edge"/>
          <c:x val="1.9219567826425699E-6"/>
          <c:y val="0.91456538520920205"/>
          <c:w val="0.411132502223163"/>
          <c:h val="6.3025651205364006E-2"/>
        </c:manualLayout>
      </c:layout>
      <c:overlay val="0"/>
      <c:spPr>
        <a:noFill/>
        <a:ln>
          <a:noFill/>
        </a:ln>
        <a:effectLst/>
      </c:spPr>
      <c:txPr>
        <a:bodyPr rot="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legend>
    <c:plotVisOnly val="1"/>
    <c:dispBlanksAs val="gap"/>
    <c:showDLblsOverMax val="0"/>
    <c:extLst>
      <c:ext uri="{0b15fc19-7d7d-44ad-8c2d-2c3a37ce22c3}">
        <chartProps xmlns="https://web.wps.cn/et/2018/main" chartId="{ff9bb21e-49d7-4a43-bea7-6c5e78bc5cec}"/>
      </c:ext>
    </c:extLst>
  </c:chart>
  <c:spPr>
    <a:solidFill>
      <a:schemeClr val="lt1"/>
    </a:solidFill>
    <a:ln w="12700" cap="flat" cmpd="sng" algn="ctr">
      <a:solidFill>
        <a:schemeClr val="accent6"/>
      </a:solidFill>
      <a:prstDash val="solid"/>
      <a:miter lim="800000"/>
    </a:ln>
    <a:effectLst/>
  </c:spPr>
  <c:txPr>
    <a:bodyPr/>
    <a:lstStyle/>
    <a:p>
      <a:pPr>
        <a:defRPr lang="es-MX">
          <a:solidFill>
            <a:schemeClr val="dk1"/>
          </a:solidFill>
          <a:latin typeface="+mn-lt"/>
          <a:ea typeface="+mn-ea"/>
          <a:cs typeface="+mn-cs"/>
        </a:defRPr>
      </a:pPr>
      <a:endParaRPr lang="es-MX"/>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r>
              <a:rPr lang="en-US" sz="1400"/>
              <a:t>CBR MUESTRA INALTERADA ESFUERZO vs PENETRACIÓN </a:t>
            </a:r>
          </a:p>
        </c:rich>
      </c:tx>
      <c:overlay val="0"/>
      <c:spPr>
        <a:noFill/>
        <a:ln>
          <a:noFill/>
        </a:ln>
        <a:effectLst/>
      </c:spPr>
      <c:txPr>
        <a:bodyPr rot="0" spcFirstLastPara="1" vertOverflow="ellipsis" vert="horz" wrap="square" anchor="ctr" anchorCtr="1"/>
        <a:lstStyle/>
        <a:p>
          <a:pPr>
            <a:defRPr lang="es-MX" sz="1600" b="1" i="0" u="none" strike="noStrike" kern="1200" baseline="0">
              <a:solidFill>
                <a:schemeClr val="dk1"/>
              </a:solidFill>
              <a:latin typeface="+mn-lt"/>
              <a:ea typeface="+mn-ea"/>
              <a:cs typeface="+mn-cs"/>
            </a:defRPr>
          </a:pPr>
          <a:endParaRPr lang="es-MX"/>
        </a:p>
      </c:txPr>
    </c:title>
    <c:autoTitleDeleted val="0"/>
    <c:plotArea>
      <c:layout>
        <c:manualLayout>
          <c:layoutTarget val="inner"/>
          <c:xMode val="edge"/>
          <c:yMode val="edge"/>
          <c:x val="7.3621035048203304E-2"/>
          <c:y val="0.120479002624672"/>
          <c:w val="0.88620553129602597"/>
          <c:h val="0.71051364829396302"/>
        </c:manualLayout>
      </c:layout>
      <c:scatterChart>
        <c:scatterStyle val="smoothMarker"/>
        <c:varyColors val="0"/>
        <c:ser>
          <c:idx val="3"/>
          <c:order val="0"/>
          <c:tx>
            <c:v>MUESTRA SUMERGIDA</c:v>
          </c:tx>
          <c:spPr>
            <a:ln w="9525" cap="rnd">
              <a:solidFill>
                <a:schemeClr val="accent4"/>
              </a:solidFill>
              <a:round/>
            </a:ln>
            <a:effectLst/>
          </c:spPr>
          <c:marker>
            <c:symbol val="none"/>
          </c:marker>
          <c:xVal>
            <c:numRef>
              <c:f>'UNIVALLE AP4 M3'!$H$22:$H$34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'UNIVALLE AP4 M3'!$L$22:$L$34</c:f>
              <c:numCache>
                <c:formatCode>0.000</c:formatCode>
                <c:ptCount val="13"/>
                <c:pt idx="0" formatCode="General">
                  <c:v>0</c:v>
                </c:pt>
                <c:pt idx="1">
                  <c:v>4.089026915113872E-2</c:v>
                </c:pt>
                <c:pt idx="2">
                  <c:v>7.5569358178053825E-2</c:v>
                </c:pt>
                <c:pt idx="3">
                  <c:v>9.9896480331262943E-2</c:v>
                </c:pt>
                <c:pt idx="4">
                  <c:v>0.11645962732919254</c:v>
                </c:pt>
                <c:pt idx="5">
                  <c:v>0.12629399585921325</c:v>
                </c:pt>
                <c:pt idx="6">
                  <c:v>0.13405797101449274</c:v>
                </c:pt>
                <c:pt idx="7">
                  <c:v>0.13975155279503107</c:v>
                </c:pt>
                <c:pt idx="8">
                  <c:v>0.14389233954451347</c:v>
                </c:pt>
                <c:pt idx="9">
                  <c:v>0.14803312629399584</c:v>
                </c:pt>
                <c:pt idx="10">
                  <c:v>0.15838509316770188</c:v>
                </c:pt>
                <c:pt idx="11">
                  <c:v>0.16770186335403728</c:v>
                </c:pt>
                <c:pt idx="12">
                  <c:v>0.17805383022774324</c:v>
                </c:pt>
              </c:numCache>
            </c:numRef>
          </c:yVal>
          <c:smooth val="1"/>
          <c:extLst>
            <c:ext xmlns:c16="http://schemas.microsoft.com/office/drawing/2014/chart" uri="{C3380CC4-5D6E-409C-BE32-E72D297353CC}">
              <c16:uniqueId val="{00000000-7351-41C9-B650-800C8AE05F35}"/>
            </c:ext>
          </c:extLst>
        </c:ser>
        <c:ser>
          <c:idx val="4"/>
          <c:order val="1"/>
          <c:tx>
            <c:v>MUESTRA SIN SUMERGIR</c:v>
          </c:tx>
          <c:spPr>
            <a:ln w="9525" cap="rnd">
              <a:solidFill>
                <a:schemeClr val="accent5"/>
              </a:solidFill>
              <a:round/>
            </a:ln>
            <a:effectLst/>
          </c:spPr>
          <c:marker>
            <c:symbol val="none"/>
          </c:marker>
          <c:xVal>
            <c:numRef>
              <c:f>'UNIVALLE AP4 M3'!$H$22:$H$34</c:f>
              <c:numCache>
                <c:formatCode>0.000</c:formatCode>
                <c:ptCount val="13"/>
                <c:pt idx="0">
                  <c:v>0</c:v>
                </c:pt>
                <c:pt idx="1">
                  <c:v>0.127</c:v>
                </c:pt>
                <c:pt idx="2">
                  <c:v>0.63500000000000001</c:v>
                </c:pt>
                <c:pt idx="3">
                  <c:v>1.27</c:v>
                </c:pt>
                <c:pt idx="4">
                  <c:v>1.905</c:v>
                </c:pt>
                <c:pt idx="5">
                  <c:v>2.54</c:v>
                </c:pt>
                <c:pt idx="6">
                  <c:v>3.1749999999999998</c:v>
                </c:pt>
                <c:pt idx="7">
                  <c:v>3.81</c:v>
                </c:pt>
                <c:pt idx="8">
                  <c:v>4.4450000000000003</c:v>
                </c:pt>
                <c:pt idx="9">
                  <c:v>5.08</c:v>
                </c:pt>
                <c:pt idx="10">
                  <c:v>7.62</c:v>
                </c:pt>
                <c:pt idx="11">
                  <c:v>10.16</c:v>
                </c:pt>
                <c:pt idx="12">
                  <c:v>12.7</c:v>
                </c:pt>
              </c:numCache>
            </c:numRef>
          </c:xVal>
          <c:yVal>
            <c:numRef>
              <c:f>'UNIVALLE AP4 M3'!$J$22:$J$34</c:f>
              <c:numCache>
                <c:formatCode>0.000</c:formatCode>
                <c:ptCount val="13"/>
                <c:pt idx="0" formatCode="General">
                  <c:v>0</c:v>
                </c:pt>
                <c:pt idx="1">
                  <c:v>5.538302277432712E-2</c:v>
                </c:pt>
                <c:pt idx="2">
                  <c:v>8.4886128364389232E-2</c:v>
                </c:pt>
                <c:pt idx="3">
                  <c:v>0.10869565217391304</c:v>
                </c:pt>
                <c:pt idx="4">
                  <c:v>0.12888198757763975</c:v>
                </c:pt>
                <c:pt idx="5">
                  <c:v>0.14544513457556937</c:v>
                </c:pt>
                <c:pt idx="6">
                  <c:v>0.15890269151138714</c:v>
                </c:pt>
                <c:pt idx="7">
                  <c:v>0.17184265010351968</c:v>
                </c:pt>
                <c:pt idx="8">
                  <c:v>0.18167701863354035</c:v>
                </c:pt>
                <c:pt idx="9">
                  <c:v>0.18892339544513456</c:v>
                </c:pt>
                <c:pt idx="10">
                  <c:v>0.21583850931677018</c:v>
                </c:pt>
                <c:pt idx="11">
                  <c:v>0.2334368530020704</c:v>
                </c:pt>
                <c:pt idx="12">
                  <c:v>0.24896480331262938</c:v>
                </c:pt>
              </c:numCache>
            </c:numRef>
          </c:yVal>
          <c:smooth val="1"/>
          <c:extLst>
            <c:ext xmlns:c16="http://schemas.microsoft.com/office/drawing/2014/chart" uri="{C3380CC4-5D6E-409C-BE32-E72D297353CC}">
              <c16:uniqueId val="{00000001-7351-41C9-B650-800C8AE05F35}"/>
            </c:ext>
          </c:extLst>
        </c:ser>
        <c:dLbls>
          <c:showLegendKey val="0"/>
          <c:showVal val="0"/>
          <c:showCatName val="0"/>
          <c:showSerName val="0"/>
          <c:showPercent val="0"/>
          <c:showBubbleSize val="0"/>
        </c:dLbls>
        <c:axId val="249761376"/>
        <c:axId val="249762160"/>
      </c:scatterChart>
      <c:valAx>
        <c:axId val="249761376"/>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s-CO"/>
                  <a:t>PENETRACIÓN (mm)</a:t>
                </a:r>
              </a:p>
            </c:rich>
          </c:tx>
          <c:overlay val="0"/>
          <c:spPr>
            <a:noFill/>
            <a:ln>
              <a:noFill/>
            </a:ln>
            <a:effectLst/>
          </c:spPr>
          <c:txPr>
            <a:bodyPr rot="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0.000"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2160"/>
        <c:crosses val="autoZero"/>
        <c:crossBetween val="midCat"/>
      </c:valAx>
      <c:valAx>
        <c:axId val="249762160"/>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r>
                  <a:rPr lang="en-US"/>
                  <a:t>ESFUERZO (Mpa)</a:t>
                </a:r>
              </a:p>
            </c:rich>
          </c:tx>
          <c:overlay val="0"/>
          <c:spPr>
            <a:noFill/>
            <a:ln>
              <a:noFill/>
            </a:ln>
            <a:effectLst/>
          </c:spPr>
          <c:txPr>
            <a:bodyPr rot="-5400000" spcFirstLastPara="1" vertOverflow="ellipsis" vert="horz" wrap="square" anchor="ctr" anchorCtr="1"/>
            <a:lstStyle/>
            <a:p>
              <a:pPr>
                <a:defRPr lang="es-MX" sz="900" b="1" i="0" u="none" strike="noStrike" kern="1200" baseline="0">
                  <a:solidFill>
                    <a:schemeClr val="dk1"/>
                  </a:solidFill>
                  <a:latin typeface="+mn-lt"/>
                  <a:ea typeface="+mn-ea"/>
                  <a:cs typeface="+mn-cs"/>
                </a:defRPr>
              </a:pPr>
              <a:endParaRPr lang="es-MX"/>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crossAx val="249761376"/>
        <c:crosses val="autoZero"/>
        <c:crossBetween val="midCat"/>
      </c:valAx>
      <c:spPr>
        <a:solidFill>
          <a:schemeClr val="lt1"/>
        </a:solidFill>
        <a:ln w="12700" cap="flat" cmpd="sng" algn="ctr">
          <a:solidFill>
            <a:schemeClr val="accent6"/>
          </a:solidFill>
          <a:prstDash val="solid"/>
          <a:miter lim="800000"/>
        </a:ln>
        <a:effectLst/>
      </c:spPr>
    </c:plotArea>
    <c:legend>
      <c:legendPos val="b"/>
      <c:layout>
        <c:manualLayout>
          <c:xMode val="edge"/>
          <c:yMode val="edge"/>
          <c:x val="1.9219567826425699E-6"/>
          <c:y val="0.91456538520920205"/>
          <c:w val="0.411132502223163"/>
          <c:h val="6.3025651205364006E-2"/>
        </c:manualLayout>
      </c:layout>
      <c:overlay val="0"/>
      <c:spPr>
        <a:noFill/>
        <a:ln>
          <a:noFill/>
        </a:ln>
        <a:effectLst/>
      </c:spPr>
      <c:txPr>
        <a:bodyPr rot="0" spcFirstLastPara="1" vertOverflow="ellipsis" vert="horz" wrap="square" anchor="ctr" anchorCtr="1"/>
        <a:lstStyle/>
        <a:p>
          <a:pPr>
            <a:defRPr lang="es-MX" sz="900" b="0" i="0" u="none" strike="noStrike" kern="1200" baseline="0">
              <a:solidFill>
                <a:schemeClr val="dk1"/>
              </a:solidFill>
              <a:latin typeface="+mn-lt"/>
              <a:ea typeface="+mn-ea"/>
              <a:cs typeface="+mn-cs"/>
            </a:defRPr>
          </a:pPr>
          <a:endParaRPr lang="es-MX"/>
        </a:p>
      </c:txPr>
    </c:legend>
    <c:plotVisOnly val="1"/>
    <c:dispBlanksAs val="gap"/>
    <c:showDLblsOverMax val="0"/>
    <c:extLst>
      <c:ext uri="{0b15fc19-7d7d-44ad-8c2d-2c3a37ce22c3}">
        <chartProps xmlns="https://web.wps.cn/et/2018/main" chartId="{ff9bb21e-49d7-4a43-bea7-6c5e78bc5cec}"/>
      </c:ext>
    </c:extLst>
  </c:chart>
  <c:spPr>
    <a:solidFill>
      <a:schemeClr val="lt1"/>
    </a:solidFill>
    <a:ln w="12700" cap="flat" cmpd="sng" algn="ctr">
      <a:solidFill>
        <a:schemeClr val="accent6"/>
      </a:solidFill>
      <a:prstDash val="solid"/>
      <a:miter lim="800000"/>
    </a:ln>
    <a:effectLst/>
  </c:spPr>
  <c:txPr>
    <a:bodyPr/>
    <a:lstStyle/>
    <a:p>
      <a:pPr>
        <a:defRPr lang="es-MX">
          <a:solidFill>
            <a:schemeClr val="dk1"/>
          </a:solidFill>
          <a:latin typeface="+mn-lt"/>
          <a:ea typeface="+mn-ea"/>
          <a:cs typeface="+mn-cs"/>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harts/style5.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harts/style7.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harts/style8.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harts/style9.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harts/style10.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harts/style12.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harts/style13.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harts/style14.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harts/style15.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harts/style16.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harts/style17.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harts/style18.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harts/style19.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harts/style20.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harts/style21.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harts/style22.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harts/style23.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1.xml"/><Relationship Id="rId4" Type="http://schemas.openxmlformats.org/officeDocument/2006/relationships/image" Target="../media/image3.png"/></Relationships>
</file>

<file path=xl/drawings/_rels/drawing2.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2.xml"/><Relationship Id="rId4" Type="http://schemas.openxmlformats.org/officeDocument/2006/relationships/image" Target="../media/image3.png"/></Relationships>
</file>

<file path=xl/drawings/_rels/drawing3.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3.xml"/><Relationship Id="rId4" Type="http://schemas.openxmlformats.org/officeDocument/2006/relationships/image" Target="../media/image3.png"/></Relationships>
</file>

<file path=xl/drawings/_rels/drawing4.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4.xml"/><Relationship Id="rId4" Type="http://schemas.openxmlformats.org/officeDocument/2006/relationships/image" Target="../media/image3.png"/></Relationships>
</file>

<file path=xl/drawings/_rels/drawing5.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5.xml"/><Relationship Id="rId4" Type="http://schemas.openxmlformats.org/officeDocument/2006/relationships/image" Target="../media/image3.png"/></Relationships>
</file>

<file path=xl/drawings/_rels/drawing6.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6.xml"/><Relationship Id="rId4" Type="http://schemas.openxmlformats.org/officeDocument/2006/relationships/image" Target="../media/image3.png"/></Relationships>
</file>

<file path=xl/drawings/_rels/drawing7.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7.xml"/><Relationship Id="rId4" Type="http://schemas.openxmlformats.org/officeDocument/2006/relationships/image" Target="../media/image3.png"/></Relationships>
</file>

<file path=xl/drawings/_rels/drawing8.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8.xml"/><Relationship Id="rId4" Type="http://schemas.openxmlformats.org/officeDocument/2006/relationships/image" Target="../media/image3.png"/></Relationships>
</file>

<file path=xl/drawings/_rels/drawing9.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9.xml"/><Relationship Id="rId4" Type="http://schemas.openxmlformats.org/officeDocument/2006/relationships/image" Target="../media/image3.png"/></Relationships>
</file>

<file path=xl/drawings/_rels/drawing10.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10.xml"/><Relationship Id="rId4" Type="http://schemas.openxmlformats.org/officeDocument/2006/relationships/image" Target="../media/image3.png"/></Relationships>
</file>

<file path=xl/drawings/_rels/drawing1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11.xml"/><Relationship Id="rId4" Type="http://schemas.openxmlformats.org/officeDocument/2006/relationships/image" Target="../media/image3.png"/></Relationships>
</file>

<file path=xl/drawings/_rels/drawing12.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12.xml"/><Relationship Id="rId4" Type="http://schemas.openxmlformats.org/officeDocument/2006/relationships/image" Target="../media/image3.png"/></Relationships>
</file>

<file path=xl/drawings/_rels/drawing13.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13.xml"/><Relationship Id="rId4" Type="http://schemas.openxmlformats.org/officeDocument/2006/relationships/image" Target="../media/image3.png"/></Relationships>
</file>

<file path=xl/drawings/_rels/drawing14.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14.xml"/><Relationship Id="rId4" Type="http://schemas.openxmlformats.org/officeDocument/2006/relationships/image" Target="../media/image3.png"/></Relationships>
</file>

<file path=xl/drawings/_rels/drawing15.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15.xml"/><Relationship Id="rId4" Type="http://schemas.openxmlformats.org/officeDocument/2006/relationships/image" Target="../media/image3.png"/></Relationships>
</file>

<file path=xl/drawings/_rels/drawing16.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16.xml"/><Relationship Id="rId4" Type="http://schemas.openxmlformats.org/officeDocument/2006/relationships/image" Target="../media/image3.png"/></Relationships>
</file>

<file path=xl/drawings/_rels/drawing17.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17.xml"/><Relationship Id="rId4" Type="http://schemas.openxmlformats.org/officeDocument/2006/relationships/image" Target="../media/image3.png"/></Relationships>
</file>

<file path=xl/drawings/_rels/drawing18.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18.xml"/><Relationship Id="rId4" Type="http://schemas.openxmlformats.org/officeDocument/2006/relationships/image" Target="../media/image3.png"/></Relationships>
</file>

<file path=xl/drawings/_rels/drawing19.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19.xml"/><Relationship Id="rId4" Type="http://schemas.openxmlformats.org/officeDocument/2006/relationships/image" Target="../media/image3.png"/></Relationships>
</file>

<file path=xl/drawings/_rels/drawing20.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20.xml"/><Relationship Id="rId4" Type="http://schemas.openxmlformats.org/officeDocument/2006/relationships/image" Target="../media/image3.png"/></Relationships>
</file>

<file path=xl/drawings/_rels/drawing2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21.xml"/><Relationship Id="rId4" Type="http://schemas.openxmlformats.org/officeDocument/2006/relationships/image" Target="../media/image3.png"/></Relationships>
</file>

<file path=xl/drawings/_rels/drawing22.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22.xml"/><Relationship Id="rId4" Type="http://schemas.openxmlformats.org/officeDocument/2006/relationships/image" Target="../media/image3.png"/></Relationships>
</file>

<file path=xl/drawings/_rels/drawing23.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23.xml"/><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0</xdr:col>
      <xdr:colOff>47627</xdr:colOff>
      <xdr:row>40</xdr:row>
      <xdr:rowOff>171450</xdr:rowOff>
    </xdr:from>
    <xdr:to>
      <xdr:col>6</xdr:col>
      <xdr:colOff>866775</xdr:colOff>
      <xdr:row>54</xdr:row>
      <xdr:rowOff>142875</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133030</xdr:colOff>
      <xdr:row>0</xdr:row>
      <xdr:rowOff>122465</xdr:rowOff>
    </xdr:from>
    <xdr:to>
      <xdr:col>1</xdr:col>
      <xdr:colOff>2239528</xdr:colOff>
      <xdr:row>3</xdr:row>
      <xdr:rowOff>85725</xdr:rowOff>
    </xdr:to>
    <xdr:pic>
      <xdr:nvPicPr>
        <xdr:cNvPr id="3" name="Imagen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715" y="121920"/>
          <a:ext cx="2811145" cy="706755"/>
        </a:xfrm>
        <a:prstGeom prst="rect">
          <a:avLst/>
        </a:prstGeom>
      </xdr:spPr>
    </xdr:pic>
    <xdr:clientData/>
  </xdr:twoCellAnchor>
  <xdr:twoCellAnchor editAs="oneCell">
    <xdr:from>
      <xdr:col>7</xdr:col>
      <xdr:colOff>651401</xdr:colOff>
      <xdr:row>46</xdr:row>
      <xdr:rowOff>152499</xdr:rowOff>
    </xdr:from>
    <xdr:to>
      <xdr:col>8</xdr:col>
      <xdr:colOff>1216051</xdr:colOff>
      <xdr:row>49</xdr:row>
      <xdr:rowOff>201706</xdr:rowOff>
    </xdr:to>
    <xdr:pic>
      <xdr:nvPicPr>
        <xdr:cNvPr id="4" name="Imagen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3"/>
        <a:srcRect l="88188"/>
        <a:stretch>
          <a:fillRect/>
        </a:stretch>
      </xdr:blipFill>
      <xdr:spPr>
        <a:xfrm>
          <a:off x="10728325" y="12428220"/>
          <a:ext cx="2374900" cy="906145"/>
        </a:xfrm>
        <a:prstGeom prst="rect">
          <a:avLst/>
        </a:prstGeom>
      </xdr:spPr>
    </xdr:pic>
    <xdr:clientData/>
  </xdr:twoCellAnchor>
  <xdr:twoCellAnchor>
    <xdr:from>
      <xdr:col>9</xdr:col>
      <xdr:colOff>257737</xdr:colOff>
      <xdr:row>49</xdr:row>
      <xdr:rowOff>156882</xdr:rowOff>
    </xdr:from>
    <xdr:to>
      <xdr:col>9</xdr:col>
      <xdr:colOff>605119</xdr:colOff>
      <xdr:row>50</xdr:row>
      <xdr:rowOff>145676</xdr:rowOff>
    </xdr:to>
    <xdr:sp macro="" textlink="">
      <xdr:nvSpPr>
        <xdr:cNvPr id="5" name="Rectángulo 4">
          <a:extLst>
            <a:ext uri="{FF2B5EF4-FFF2-40B4-BE49-F238E27FC236}">
              <a16:creationId xmlns:a16="http://schemas.microsoft.com/office/drawing/2014/main" id="{00000000-0008-0000-0000-000005000000}"/>
            </a:ext>
          </a:extLst>
        </xdr:cNvPr>
        <xdr:cNvSpPr/>
      </xdr:nvSpPr>
      <xdr:spPr>
        <a:xfrm>
          <a:off x="13763625" y="13289915"/>
          <a:ext cx="347345" cy="27432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editAs="oneCell">
    <xdr:from>
      <xdr:col>10</xdr:col>
      <xdr:colOff>0</xdr:colOff>
      <xdr:row>48</xdr:row>
      <xdr:rowOff>0</xdr:rowOff>
    </xdr:from>
    <xdr:to>
      <xdr:col>10</xdr:col>
      <xdr:colOff>304800</xdr:colOff>
      <xdr:row>49</xdr:row>
      <xdr:rowOff>19050</xdr:rowOff>
    </xdr:to>
    <xdr:sp macro="" textlink="">
      <xdr:nvSpPr>
        <xdr:cNvPr id="82948" name="AutoShape 4">
          <a:extLst>
            <a:ext uri="{FF2B5EF4-FFF2-40B4-BE49-F238E27FC236}">
              <a16:creationId xmlns:a16="http://schemas.microsoft.com/office/drawing/2014/main" id="{56100695-C9A2-4D1D-8B17-D4A1578F871F}"/>
            </a:ext>
          </a:extLst>
        </xdr:cNvPr>
        <xdr:cNvSpPr>
          <a:spLocks noChangeAspect="1" noChangeArrowheads="1"/>
        </xdr:cNvSpPr>
      </xdr:nvSpPr>
      <xdr:spPr bwMode="auto">
        <a:xfrm>
          <a:off x="15125700" y="12839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1600200</xdr:colOff>
      <xdr:row>47</xdr:row>
      <xdr:rowOff>98612</xdr:rowOff>
    </xdr:from>
    <xdr:to>
      <xdr:col>11</xdr:col>
      <xdr:colOff>278145</xdr:colOff>
      <xdr:row>49</xdr:row>
      <xdr:rowOff>272863</xdr:rowOff>
    </xdr:to>
    <xdr:pic>
      <xdr:nvPicPr>
        <xdr:cNvPr id="7" name="Imagen 6">
          <a:extLst>
            <a:ext uri="{FF2B5EF4-FFF2-40B4-BE49-F238E27FC236}">
              <a16:creationId xmlns:a16="http://schemas.microsoft.com/office/drawing/2014/main" id="{FB483A24-3353-4DA9-8694-AA249D4B1481}"/>
            </a:ext>
          </a:extLst>
        </xdr:cNvPr>
        <xdr:cNvPicPr>
          <a:picLocks noChangeAspect="1"/>
        </xdr:cNvPicPr>
      </xdr:nvPicPr>
      <xdr:blipFill>
        <a:blip xmlns:r="http://schemas.openxmlformats.org/officeDocument/2006/relationships" r:embed="rId4"/>
        <a:stretch>
          <a:fillRect/>
        </a:stretch>
      </xdr:blipFill>
      <xdr:spPr>
        <a:xfrm>
          <a:off x="15125700" y="12839700"/>
          <a:ext cx="1793180" cy="7569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47627</xdr:colOff>
      <xdr:row>40</xdr:row>
      <xdr:rowOff>171450</xdr:rowOff>
    </xdr:from>
    <xdr:to>
      <xdr:col>6</xdr:col>
      <xdr:colOff>866775</xdr:colOff>
      <xdr:row>54</xdr:row>
      <xdr:rowOff>142875</xdr:rowOff>
    </xdr:to>
    <xdr:graphicFrame macro="">
      <xdr:nvGraphicFramePr>
        <xdr:cNvPr id="2" name="Gráfico 1">
          <a:extLst>
            <a:ext uri="{FF2B5EF4-FFF2-40B4-BE49-F238E27FC236}">
              <a16:creationId xmlns:a16="http://schemas.microsoft.com/office/drawing/2014/main" id="{72436657-0712-4221-A6DE-3C7A283B30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133030</xdr:colOff>
      <xdr:row>0</xdr:row>
      <xdr:rowOff>122465</xdr:rowOff>
    </xdr:from>
    <xdr:to>
      <xdr:col>1</xdr:col>
      <xdr:colOff>2239528</xdr:colOff>
      <xdr:row>3</xdr:row>
      <xdr:rowOff>85725</xdr:rowOff>
    </xdr:to>
    <xdr:pic>
      <xdr:nvPicPr>
        <xdr:cNvPr id="3" name="Imagen 2">
          <a:extLst>
            <a:ext uri="{FF2B5EF4-FFF2-40B4-BE49-F238E27FC236}">
              <a16:creationId xmlns:a16="http://schemas.microsoft.com/office/drawing/2014/main" id="{0B5F08C0-6BED-4AD7-A98D-3898191118AC}"/>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3030" y="122465"/>
          <a:ext cx="2811348" cy="706210"/>
        </a:xfrm>
        <a:prstGeom prst="rect">
          <a:avLst/>
        </a:prstGeom>
      </xdr:spPr>
    </xdr:pic>
    <xdr:clientData/>
  </xdr:twoCellAnchor>
  <xdr:twoCellAnchor editAs="oneCell">
    <xdr:from>
      <xdr:col>7</xdr:col>
      <xdr:colOff>651401</xdr:colOff>
      <xdr:row>46</xdr:row>
      <xdr:rowOff>152499</xdr:rowOff>
    </xdr:from>
    <xdr:to>
      <xdr:col>8</xdr:col>
      <xdr:colOff>1216051</xdr:colOff>
      <xdr:row>49</xdr:row>
      <xdr:rowOff>201706</xdr:rowOff>
    </xdr:to>
    <xdr:pic>
      <xdr:nvPicPr>
        <xdr:cNvPr id="4" name="Imagen 3">
          <a:extLst>
            <a:ext uri="{FF2B5EF4-FFF2-40B4-BE49-F238E27FC236}">
              <a16:creationId xmlns:a16="http://schemas.microsoft.com/office/drawing/2014/main" id="{5D0B333E-1D67-4DD3-B9D4-BB511606BF89}"/>
            </a:ext>
          </a:extLst>
        </xdr:cNvPr>
        <xdr:cNvPicPr>
          <a:picLocks noChangeAspect="1"/>
        </xdr:cNvPicPr>
      </xdr:nvPicPr>
      <xdr:blipFill>
        <a:blip xmlns:r="http://schemas.openxmlformats.org/officeDocument/2006/relationships" r:embed="rId3"/>
        <a:srcRect l="88188"/>
        <a:stretch>
          <a:fillRect/>
        </a:stretch>
      </xdr:blipFill>
      <xdr:spPr>
        <a:xfrm>
          <a:off x="10862201" y="12449274"/>
          <a:ext cx="2374400" cy="906457"/>
        </a:xfrm>
        <a:prstGeom prst="rect">
          <a:avLst/>
        </a:prstGeom>
      </xdr:spPr>
    </xdr:pic>
    <xdr:clientData/>
  </xdr:twoCellAnchor>
  <xdr:twoCellAnchor>
    <xdr:from>
      <xdr:col>9</xdr:col>
      <xdr:colOff>257737</xdr:colOff>
      <xdr:row>49</xdr:row>
      <xdr:rowOff>156882</xdr:rowOff>
    </xdr:from>
    <xdr:to>
      <xdr:col>9</xdr:col>
      <xdr:colOff>605119</xdr:colOff>
      <xdr:row>50</xdr:row>
      <xdr:rowOff>145676</xdr:rowOff>
    </xdr:to>
    <xdr:sp macro="" textlink="">
      <xdr:nvSpPr>
        <xdr:cNvPr id="5" name="Rectángulo 4">
          <a:extLst>
            <a:ext uri="{FF2B5EF4-FFF2-40B4-BE49-F238E27FC236}">
              <a16:creationId xmlns:a16="http://schemas.microsoft.com/office/drawing/2014/main" id="{79E2C7E8-E021-4A7A-A69F-87D930C3EEA5}"/>
            </a:ext>
          </a:extLst>
        </xdr:cNvPr>
        <xdr:cNvSpPr/>
      </xdr:nvSpPr>
      <xdr:spPr>
        <a:xfrm>
          <a:off x="13897537" y="13310907"/>
          <a:ext cx="347382" cy="274544"/>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editAs="oneCell">
    <xdr:from>
      <xdr:col>10</xdr:col>
      <xdr:colOff>0</xdr:colOff>
      <xdr:row>48</xdr:row>
      <xdr:rowOff>0</xdr:rowOff>
    </xdr:from>
    <xdr:to>
      <xdr:col>10</xdr:col>
      <xdr:colOff>304800</xdr:colOff>
      <xdr:row>49</xdr:row>
      <xdr:rowOff>19050</xdr:rowOff>
    </xdr:to>
    <xdr:sp macro="" textlink="">
      <xdr:nvSpPr>
        <xdr:cNvPr id="6" name="AutoShape 4">
          <a:extLst>
            <a:ext uri="{FF2B5EF4-FFF2-40B4-BE49-F238E27FC236}">
              <a16:creationId xmlns:a16="http://schemas.microsoft.com/office/drawing/2014/main" id="{09250CEE-E371-452F-9378-F2F55284D82F}"/>
            </a:ext>
          </a:extLst>
        </xdr:cNvPr>
        <xdr:cNvSpPr>
          <a:spLocks noChangeAspect="1" noChangeArrowheads="1"/>
        </xdr:cNvSpPr>
      </xdr:nvSpPr>
      <xdr:spPr bwMode="auto">
        <a:xfrm>
          <a:off x="15259050" y="1286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1602442</xdr:colOff>
      <xdr:row>46</xdr:row>
      <xdr:rowOff>190501</xdr:rowOff>
    </xdr:from>
    <xdr:to>
      <xdr:col>11</xdr:col>
      <xdr:colOff>279586</xdr:colOff>
      <xdr:row>49</xdr:row>
      <xdr:rowOff>90208</xdr:rowOff>
    </xdr:to>
    <xdr:pic>
      <xdr:nvPicPr>
        <xdr:cNvPr id="7" name="Imagen 6">
          <a:extLst>
            <a:ext uri="{FF2B5EF4-FFF2-40B4-BE49-F238E27FC236}">
              <a16:creationId xmlns:a16="http://schemas.microsoft.com/office/drawing/2014/main" id="{F8BE8288-870E-4A36-B95C-998DACDBF8D4}"/>
            </a:ext>
          </a:extLst>
        </xdr:cNvPr>
        <xdr:cNvPicPr>
          <a:picLocks noChangeAspect="1"/>
        </xdr:cNvPicPr>
      </xdr:nvPicPr>
      <xdr:blipFill>
        <a:blip xmlns:r="http://schemas.openxmlformats.org/officeDocument/2006/relationships" r:embed="rId4"/>
        <a:stretch>
          <a:fillRect/>
        </a:stretch>
      </xdr:blipFill>
      <xdr:spPr>
        <a:xfrm>
          <a:off x="15251207" y="12662648"/>
          <a:ext cx="1792379" cy="77376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47627</xdr:colOff>
      <xdr:row>40</xdr:row>
      <xdr:rowOff>171450</xdr:rowOff>
    </xdr:from>
    <xdr:to>
      <xdr:col>6</xdr:col>
      <xdr:colOff>866775</xdr:colOff>
      <xdr:row>54</xdr:row>
      <xdr:rowOff>142875</xdr:rowOff>
    </xdr:to>
    <xdr:graphicFrame macro="">
      <xdr:nvGraphicFramePr>
        <xdr:cNvPr id="2" name="Gráfico 1">
          <a:extLst>
            <a:ext uri="{FF2B5EF4-FFF2-40B4-BE49-F238E27FC236}">
              <a16:creationId xmlns:a16="http://schemas.microsoft.com/office/drawing/2014/main" id="{2087EA75-8E7C-4B50-ADC5-D808C8D735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133030</xdr:colOff>
      <xdr:row>0</xdr:row>
      <xdr:rowOff>122465</xdr:rowOff>
    </xdr:from>
    <xdr:to>
      <xdr:col>1</xdr:col>
      <xdr:colOff>2239528</xdr:colOff>
      <xdr:row>3</xdr:row>
      <xdr:rowOff>85725</xdr:rowOff>
    </xdr:to>
    <xdr:pic>
      <xdr:nvPicPr>
        <xdr:cNvPr id="3" name="Imagen 2">
          <a:extLst>
            <a:ext uri="{FF2B5EF4-FFF2-40B4-BE49-F238E27FC236}">
              <a16:creationId xmlns:a16="http://schemas.microsoft.com/office/drawing/2014/main" id="{EC032B7F-9733-4B1B-8B6A-D509B296C9F3}"/>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3030" y="122465"/>
          <a:ext cx="2811348" cy="706210"/>
        </a:xfrm>
        <a:prstGeom prst="rect">
          <a:avLst/>
        </a:prstGeom>
      </xdr:spPr>
    </xdr:pic>
    <xdr:clientData/>
  </xdr:twoCellAnchor>
  <xdr:twoCellAnchor editAs="oneCell">
    <xdr:from>
      <xdr:col>7</xdr:col>
      <xdr:colOff>651401</xdr:colOff>
      <xdr:row>46</xdr:row>
      <xdr:rowOff>152499</xdr:rowOff>
    </xdr:from>
    <xdr:to>
      <xdr:col>8</xdr:col>
      <xdr:colOff>1216051</xdr:colOff>
      <xdr:row>49</xdr:row>
      <xdr:rowOff>201706</xdr:rowOff>
    </xdr:to>
    <xdr:pic>
      <xdr:nvPicPr>
        <xdr:cNvPr id="4" name="Imagen 3">
          <a:extLst>
            <a:ext uri="{FF2B5EF4-FFF2-40B4-BE49-F238E27FC236}">
              <a16:creationId xmlns:a16="http://schemas.microsoft.com/office/drawing/2014/main" id="{654B88B1-63E4-4A9E-B66E-A68095B619AA}"/>
            </a:ext>
          </a:extLst>
        </xdr:cNvPr>
        <xdr:cNvPicPr>
          <a:picLocks noChangeAspect="1"/>
        </xdr:cNvPicPr>
      </xdr:nvPicPr>
      <xdr:blipFill>
        <a:blip xmlns:r="http://schemas.openxmlformats.org/officeDocument/2006/relationships" r:embed="rId3"/>
        <a:srcRect l="88188"/>
        <a:stretch>
          <a:fillRect/>
        </a:stretch>
      </xdr:blipFill>
      <xdr:spPr>
        <a:xfrm>
          <a:off x="10728851" y="12420699"/>
          <a:ext cx="2374400" cy="906457"/>
        </a:xfrm>
        <a:prstGeom prst="rect">
          <a:avLst/>
        </a:prstGeom>
      </xdr:spPr>
    </xdr:pic>
    <xdr:clientData/>
  </xdr:twoCellAnchor>
  <xdr:twoCellAnchor>
    <xdr:from>
      <xdr:col>9</xdr:col>
      <xdr:colOff>257737</xdr:colOff>
      <xdr:row>49</xdr:row>
      <xdr:rowOff>156882</xdr:rowOff>
    </xdr:from>
    <xdr:to>
      <xdr:col>9</xdr:col>
      <xdr:colOff>605119</xdr:colOff>
      <xdr:row>50</xdr:row>
      <xdr:rowOff>145676</xdr:rowOff>
    </xdr:to>
    <xdr:sp macro="" textlink="">
      <xdr:nvSpPr>
        <xdr:cNvPr id="5" name="Rectángulo 4">
          <a:extLst>
            <a:ext uri="{FF2B5EF4-FFF2-40B4-BE49-F238E27FC236}">
              <a16:creationId xmlns:a16="http://schemas.microsoft.com/office/drawing/2014/main" id="{66F5809F-C145-4AFF-B33E-89E2B7A47365}"/>
            </a:ext>
          </a:extLst>
        </xdr:cNvPr>
        <xdr:cNvSpPr/>
      </xdr:nvSpPr>
      <xdr:spPr>
        <a:xfrm>
          <a:off x="13764187" y="13282332"/>
          <a:ext cx="347382" cy="274544"/>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editAs="oneCell">
    <xdr:from>
      <xdr:col>10</xdr:col>
      <xdr:colOff>0</xdr:colOff>
      <xdr:row>48</xdr:row>
      <xdr:rowOff>0</xdr:rowOff>
    </xdr:from>
    <xdr:to>
      <xdr:col>10</xdr:col>
      <xdr:colOff>304800</xdr:colOff>
      <xdr:row>49</xdr:row>
      <xdr:rowOff>19050</xdr:rowOff>
    </xdr:to>
    <xdr:sp macro="" textlink="">
      <xdr:nvSpPr>
        <xdr:cNvPr id="6" name="AutoShape 4">
          <a:extLst>
            <a:ext uri="{FF2B5EF4-FFF2-40B4-BE49-F238E27FC236}">
              <a16:creationId xmlns:a16="http://schemas.microsoft.com/office/drawing/2014/main" id="{028F8F0D-19F6-4762-8569-EFD8B0C20560}"/>
            </a:ext>
          </a:extLst>
        </xdr:cNvPr>
        <xdr:cNvSpPr>
          <a:spLocks noChangeAspect="1" noChangeArrowheads="1"/>
        </xdr:cNvSpPr>
      </xdr:nvSpPr>
      <xdr:spPr bwMode="auto">
        <a:xfrm>
          <a:off x="15125700" y="12839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1613648</xdr:colOff>
      <xdr:row>46</xdr:row>
      <xdr:rowOff>224117</xdr:rowOff>
    </xdr:from>
    <xdr:to>
      <xdr:col>11</xdr:col>
      <xdr:colOff>290792</xdr:colOff>
      <xdr:row>49</xdr:row>
      <xdr:rowOff>118221</xdr:rowOff>
    </xdr:to>
    <xdr:pic>
      <xdr:nvPicPr>
        <xdr:cNvPr id="8" name="Imagen 7">
          <a:extLst>
            <a:ext uri="{FF2B5EF4-FFF2-40B4-BE49-F238E27FC236}">
              <a16:creationId xmlns:a16="http://schemas.microsoft.com/office/drawing/2014/main" id="{4B24599B-6CA4-4AC6-BE09-DA945CB7DE4D}"/>
            </a:ext>
          </a:extLst>
        </xdr:cNvPr>
        <xdr:cNvPicPr>
          <a:picLocks noChangeAspect="1"/>
        </xdr:cNvPicPr>
      </xdr:nvPicPr>
      <xdr:blipFill>
        <a:blip xmlns:r="http://schemas.openxmlformats.org/officeDocument/2006/relationships" r:embed="rId4"/>
        <a:stretch>
          <a:fillRect/>
        </a:stretch>
      </xdr:blipFill>
      <xdr:spPr>
        <a:xfrm>
          <a:off x="15262413" y="12696264"/>
          <a:ext cx="1792379" cy="76816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47627</xdr:colOff>
      <xdr:row>40</xdr:row>
      <xdr:rowOff>171450</xdr:rowOff>
    </xdr:from>
    <xdr:to>
      <xdr:col>6</xdr:col>
      <xdr:colOff>866775</xdr:colOff>
      <xdr:row>54</xdr:row>
      <xdr:rowOff>142875</xdr:rowOff>
    </xdr:to>
    <xdr:graphicFrame macro="">
      <xdr:nvGraphicFramePr>
        <xdr:cNvPr id="2" name="Gráfico 1">
          <a:extLst>
            <a:ext uri="{FF2B5EF4-FFF2-40B4-BE49-F238E27FC236}">
              <a16:creationId xmlns:a16="http://schemas.microsoft.com/office/drawing/2014/main" id="{41940E90-2CE1-496E-9F99-58591DB7BE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133030</xdr:colOff>
      <xdr:row>0</xdr:row>
      <xdr:rowOff>122465</xdr:rowOff>
    </xdr:from>
    <xdr:to>
      <xdr:col>1</xdr:col>
      <xdr:colOff>2239528</xdr:colOff>
      <xdr:row>3</xdr:row>
      <xdr:rowOff>85725</xdr:rowOff>
    </xdr:to>
    <xdr:pic>
      <xdr:nvPicPr>
        <xdr:cNvPr id="3" name="Imagen 2">
          <a:extLst>
            <a:ext uri="{FF2B5EF4-FFF2-40B4-BE49-F238E27FC236}">
              <a16:creationId xmlns:a16="http://schemas.microsoft.com/office/drawing/2014/main" id="{B11AB09C-F0D4-47EF-99A1-D47097FBD7E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3030" y="122465"/>
          <a:ext cx="2811348" cy="706210"/>
        </a:xfrm>
        <a:prstGeom prst="rect">
          <a:avLst/>
        </a:prstGeom>
      </xdr:spPr>
    </xdr:pic>
    <xdr:clientData/>
  </xdr:twoCellAnchor>
  <xdr:twoCellAnchor editAs="oneCell">
    <xdr:from>
      <xdr:col>7</xdr:col>
      <xdr:colOff>651401</xdr:colOff>
      <xdr:row>46</xdr:row>
      <xdr:rowOff>152499</xdr:rowOff>
    </xdr:from>
    <xdr:to>
      <xdr:col>8</xdr:col>
      <xdr:colOff>1216051</xdr:colOff>
      <xdr:row>49</xdr:row>
      <xdr:rowOff>201706</xdr:rowOff>
    </xdr:to>
    <xdr:pic>
      <xdr:nvPicPr>
        <xdr:cNvPr id="4" name="Imagen 3">
          <a:extLst>
            <a:ext uri="{FF2B5EF4-FFF2-40B4-BE49-F238E27FC236}">
              <a16:creationId xmlns:a16="http://schemas.microsoft.com/office/drawing/2014/main" id="{FCD602BD-041C-401E-AFC4-BEA03A6C3561}"/>
            </a:ext>
          </a:extLst>
        </xdr:cNvPr>
        <xdr:cNvPicPr>
          <a:picLocks noChangeAspect="1"/>
        </xdr:cNvPicPr>
      </xdr:nvPicPr>
      <xdr:blipFill>
        <a:blip xmlns:r="http://schemas.openxmlformats.org/officeDocument/2006/relationships" r:embed="rId3"/>
        <a:srcRect l="88188"/>
        <a:stretch>
          <a:fillRect/>
        </a:stretch>
      </xdr:blipFill>
      <xdr:spPr>
        <a:xfrm>
          <a:off x="10862201" y="12449274"/>
          <a:ext cx="2374400" cy="906457"/>
        </a:xfrm>
        <a:prstGeom prst="rect">
          <a:avLst/>
        </a:prstGeom>
      </xdr:spPr>
    </xdr:pic>
    <xdr:clientData/>
  </xdr:twoCellAnchor>
  <xdr:twoCellAnchor>
    <xdr:from>
      <xdr:col>9</xdr:col>
      <xdr:colOff>257737</xdr:colOff>
      <xdr:row>49</xdr:row>
      <xdr:rowOff>156882</xdr:rowOff>
    </xdr:from>
    <xdr:to>
      <xdr:col>9</xdr:col>
      <xdr:colOff>605119</xdr:colOff>
      <xdr:row>50</xdr:row>
      <xdr:rowOff>145676</xdr:rowOff>
    </xdr:to>
    <xdr:sp macro="" textlink="">
      <xdr:nvSpPr>
        <xdr:cNvPr id="5" name="Rectángulo 4">
          <a:extLst>
            <a:ext uri="{FF2B5EF4-FFF2-40B4-BE49-F238E27FC236}">
              <a16:creationId xmlns:a16="http://schemas.microsoft.com/office/drawing/2014/main" id="{3998C521-B494-4C47-B7D5-A2F5AA55EB3A}"/>
            </a:ext>
          </a:extLst>
        </xdr:cNvPr>
        <xdr:cNvSpPr/>
      </xdr:nvSpPr>
      <xdr:spPr>
        <a:xfrm>
          <a:off x="13897537" y="13310907"/>
          <a:ext cx="347382" cy="274544"/>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editAs="oneCell">
    <xdr:from>
      <xdr:col>10</xdr:col>
      <xdr:colOff>0</xdr:colOff>
      <xdr:row>48</xdr:row>
      <xdr:rowOff>0</xdr:rowOff>
    </xdr:from>
    <xdr:to>
      <xdr:col>10</xdr:col>
      <xdr:colOff>304800</xdr:colOff>
      <xdr:row>49</xdr:row>
      <xdr:rowOff>19050</xdr:rowOff>
    </xdr:to>
    <xdr:sp macro="" textlink="">
      <xdr:nvSpPr>
        <xdr:cNvPr id="6" name="AutoShape 4">
          <a:extLst>
            <a:ext uri="{FF2B5EF4-FFF2-40B4-BE49-F238E27FC236}">
              <a16:creationId xmlns:a16="http://schemas.microsoft.com/office/drawing/2014/main" id="{0723B26E-4E48-4157-A76C-670A1885F8E5}"/>
            </a:ext>
          </a:extLst>
        </xdr:cNvPr>
        <xdr:cNvSpPr>
          <a:spLocks noChangeAspect="1" noChangeArrowheads="1"/>
        </xdr:cNvSpPr>
      </xdr:nvSpPr>
      <xdr:spPr bwMode="auto">
        <a:xfrm>
          <a:off x="15259050" y="1286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1591236</xdr:colOff>
      <xdr:row>46</xdr:row>
      <xdr:rowOff>235322</xdr:rowOff>
    </xdr:from>
    <xdr:to>
      <xdr:col>11</xdr:col>
      <xdr:colOff>268380</xdr:colOff>
      <xdr:row>49</xdr:row>
      <xdr:rowOff>135029</xdr:rowOff>
    </xdr:to>
    <xdr:pic>
      <xdr:nvPicPr>
        <xdr:cNvPr id="7" name="Imagen 6">
          <a:extLst>
            <a:ext uri="{FF2B5EF4-FFF2-40B4-BE49-F238E27FC236}">
              <a16:creationId xmlns:a16="http://schemas.microsoft.com/office/drawing/2014/main" id="{C1F356A2-3C36-41F2-844A-F65EB3A7BA0E}"/>
            </a:ext>
          </a:extLst>
        </xdr:cNvPr>
        <xdr:cNvPicPr>
          <a:picLocks noChangeAspect="1"/>
        </xdr:cNvPicPr>
      </xdr:nvPicPr>
      <xdr:blipFill>
        <a:blip xmlns:r="http://schemas.openxmlformats.org/officeDocument/2006/relationships" r:embed="rId4"/>
        <a:stretch>
          <a:fillRect/>
        </a:stretch>
      </xdr:blipFill>
      <xdr:spPr>
        <a:xfrm>
          <a:off x="15240001" y="12707469"/>
          <a:ext cx="1792379" cy="77376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47627</xdr:colOff>
      <xdr:row>40</xdr:row>
      <xdr:rowOff>171450</xdr:rowOff>
    </xdr:from>
    <xdr:to>
      <xdr:col>6</xdr:col>
      <xdr:colOff>866775</xdr:colOff>
      <xdr:row>54</xdr:row>
      <xdr:rowOff>142875</xdr:rowOff>
    </xdr:to>
    <xdr:graphicFrame macro="">
      <xdr:nvGraphicFramePr>
        <xdr:cNvPr id="2" name="Gráfico 1">
          <a:extLst>
            <a:ext uri="{FF2B5EF4-FFF2-40B4-BE49-F238E27FC236}">
              <a16:creationId xmlns:a16="http://schemas.microsoft.com/office/drawing/2014/main" id="{375D3526-B775-4497-9223-5A6A6981D2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133030</xdr:colOff>
      <xdr:row>0</xdr:row>
      <xdr:rowOff>122465</xdr:rowOff>
    </xdr:from>
    <xdr:to>
      <xdr:col>1</xdr:col>
      <xdr:colOff>2239528</xdr:colOff>
      <xdr:row>3</xdr:row>
      <xdr:rowOff>85725</xdr:rowOff>
    </xdr:to>
    <xdr:pic>
      <xdr:nvPicPr>
        <xdr:cNvPr id="3" name="Imagen 2">
          <a:extLst>
            <a:ext uri="{FF2B5EF4-FFF2-40B4-BE49-F238E27FC236}">
              <a16:creationId xmlns:a16="http://schemas.microsoft.com/office/drawing/2014/main" id="{11DAE8AD-3026-4E15-8E88-A7F9477AD9D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3030" y="122465"/>
          <a:ext cx="2811348" cy="706210"/>
        </a:xfrm>
        <a:prstGeom prst="rect">
          <a:avLst/>
        </a:prstGeom>
      </xdr:spPr>
    </xdr:pic>
    <xdr:clientData/>
  </xdr:twoCellAnchor>
  <xdr:twoCellAnchor editAs="oneCell">
    <xdr:from>
      <xdr:col>7</xdr:col>
      <xdr:colOff>651401</xdr:colOff>
      <xdr:row>46</xdr:row>
      <xdr:rowOff>152499</xdr:rowOff>
    </xdr:from>
    <xdr:to>
      <xdr:col>8</xdr:col>
      <xdr:colOff>1216051</xdr:colOff>
      <xdr:row>49</xdr:row>
      <xdr:rowOff>201706</xdr:rowOff>
    </xdr:to>
    <xdr:pic>
      <xdr:nvPicPr>
        <xdr:cNvPr id="4" name="Imagen 3">
          <a:extLst>
            <a:ext uri="{FF2B5EF4-FFF2-40B4-BE49-F238E27FC236}">
              <a16:creationId xmlns:a16="http://schemas.microsoft.com/office/drawing/2014/main" id="{290B2FAB-0BDB-4AF9-A5E5-D7D4796DBC46}"/>
            </a:ext>
          </a:extLst>
        </xdr:cNvPr>
        <xdr:cNvPicPr>
          <a:picLocks noChangeAspect="1"/>
        </xdr:cNvPicPr>
      </xdr:nvPicPr>
      <xdr:blipFill>
        <a:blip xmlns:r="http://schemas.openxmlformats.org/officeDocument/2006/relationships" r:embed="rId3"/>
        <a:srcRect l="88188"/>
        <a:stretch>
          <a:fillRect/>
        </a:stretch>
      </xdr:blipFill>
      <xdr:spPr>
        <a:xfrm>
          <a:off x="10862201" y="12449274"/>
          <a:ext cx="2374400" cy="906457"/>
        </a:xfrm>
        <a:prstGeom prst="rect">
          <a:avLst/>
        </a:prstGeom>
      </xdr:spPr>
    </xdr:pic>
    <xdr:clientData/>
  </xdr:twoCellAnchor>
  <xdr:twoCellAnchor>
    <xdr:from>
      <xdr:col>9</xdr:col>
      <xdr:colOff>257737</xdr:colOff>
      <xdr:row>49</xdr:row>
      <xdr:rowOff>156882</xdr:rowOff>
    </xdr:from>
    <xdr:to>
      <xdr:col>9</xdr:col>
      <xdr:colOff>605119</xdr:colOff>
      <xdr:row>50</xdr:row>
      <xdr:rowOff>145676</xdr:rowOff>
    </xdr:to>
    <xdr:sp macro="" textlink="">
      <xdr:nvSpPr>
        <xdr:cNvPr id="5" name="Rectángulo 4">
          <a:extLst>
            <a:ext uri="{FF2B5EF4-FFF2-40B4-BE49-F238E27FC236}">
              <a16:creationId xmlns:a16="http://schemas.microsoft.com/office/drawing/2014/main" id="{428C9644-4D42-4E63-9E0D-1DDF8BA6B1B8}"/>
            </a:ext>
          </a:extLst>
        </xdr:cNvPr>
        <xdr:cNvSpPr/>
      </xdr:nvSpPr>
      <xdr:spPr>
        <a:xfrm>
          <a:off x="13897537" y="13310907"/>
          <a:ext cx="347382" cy="274544"/>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editAs="oneCell">
    <xdr:from>
      <xdr:col>10</xdr:col>
      <xdr:colOff>0</xdr:colOff>
      <xdr:row>48</xdr:row>
      <xdr:rowOff>0</xdr:rowOff>
    </xdr:from>
    <xdr:to>
      <xdr:col>10</xdr:col>
      <xdr:colOff>304800</xdr:colOff>
      <xdr:row>49</xdr:row>
      <xdr:rowOff>19050</xdr:rowOff>
    </xdr:to>
    <xdr:sp macro="" textlink="">
      <xdr:nvSpPr>
        <xdr:cNvPr id="6" name="AutoShape 4">
          <a:extLst>
            <a:ext uri="{FF2B5EF4-FFF2-40B4-BE49-F238E27FC236}">
              <a16:creationId xmlns:a16="http://schemas.microsoft.com/office/drawing/2014/main" id="{C6D9436A-0BCE-4EE5-9DC0-47511DC2950B}"/>
            </a:ext>
          </a:extLst>
        </xdr:cNvPr>
        <xdr:cNvSpPr>
          <a:spLocks noChangeAspect="1" noChangeArrowheads="1"/>
        </xdr:cNvSpPr>
      </xdr:nvSpPr>
      <xdr:spPr bwMode="auto">
        <a:xfrm>
          <a:off x="15259050" y="1286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1591236</xdr:colOff>
      <xdr:row>46</xdr:row>
      <xdr:rowOff>235322</xdr:rowOff>
    </xdr:from>
    <xdr:to>
      <xdr:col>11</xdr:col>
      <xdr:colOff>268380</xdr:colOff>
      <xdr:row>49</xdr:row>
      <xdr:rowOff>135029</xdr:rowOff>
    </xdr:to>
    <xdr:pic>
      <xdr:nvPicPr>
        <xdr:cNvPr id="7" name="Imagen 6">
          <a:extLst>
            <a:ext uri="{FF2B5EF4-FFF2-40B4-BE49-F238E27FC236}">
              <a16:creationId xmlns:a16="http://schemas.microsoft.com/office/drawing/2014/main" id="{BCCF0D27-D0C3-4976-9305-585A51F5E1D5}"/>
            </a:ext>
          </a:extLst>
        </xdr:cNvPr>
        <xdr:cNvPicPr>
          <a:picLocks noChangeAspect="1"/>
        </xdr:cNvPicPr>
      </xdr:nvPicPr>
      <xdr:blipFill>
        <a:blip xmlns:r="http://schemas.openxmlformats.org/officeDocument/2006/relationships" r:embed="rId4"/>
        <a:stretch>
          <a:fillRect/>
        </a:stretch>
      </xdr:blipFill>
      <xdr:spPr>
        <a:xfrm>
          <a:off x="15231036" y="12532097"/>
          <a:ext cx="1791819" cy="75695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0</xdr:col>
      <xdr:colOff>47627</xdr:colOff>
      <xdr:row>40</xdr:row>
      <xdr:rowOff>171450</xdr:rowOff>
    </xdr:from>
    <xdr:to>
      <xdr:col>6</xdr:col>
      <xdr:colOff>866775</xdr:colOff>
      <xdr:row>54</xdr:row>
      <xdr:rowOff>142875</xdr:rowOff>
    </xdr:to>
    <xdr:graphicFrame macro="">
      <xdr:nvGraphicFramePr>
        <xdr:cNvPr id="2" name="Gráfico 1">
          <a:extLst>
            <a:ext uri="{FF2B5EF4-FFF2-40B4-BE49-F238E27FC236}">
              <a16:creationId xmlns:a16="http://schemas.microsoft.com/office/drawing/2014/main" id="{9CA16F93-CAA8-4ADB-A658-BF9C2697BA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133030</xdr:colOff>
      <xdr:row>0</xdr:row>
      <xdr:rowOff>122465</xdr:rowOff>
    </xdr:from>
    <xdr:to>
      <xdr:col>1</xdr:col>
      <xdr:colOff>2239528</xdr:colOff>
      <xdr:row>3</xdr:row>
      <xdr:rowOff>85725</xdr:rowOff>
    </xdr:to>
    <xdr:pic>
      <xdr:nvPicPr>
        <xdr:cNvPr id="3" name="Imagen 2">
          <a:extLst>
            <a:ext uri="{FF2B5EF4-FFF2-40B4-BE49-F238E27FC236}">
              <a16:creationId xmlns:a16="http://schemas.microsoft.com/office/drawing/2014/main" id="{3A7C1F49-D5D4-4863-9C35-BA123A5BA30B}"/>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3030" y="122465"/>
          <a:ext cx="2811348" cy="706210"/>
        </a:xfrm>
        <a:prstGeom prst="rect">
          <a:avLst/>
        </a:prstGeom>
      </xdr:spPr>
    </xdr:pic>
    <xdr:clientData/>
  </xdr:twoCellAnchor>
  <xdr:twoCellAnchor editAs="oneCell">
    <xdr:from>
      <xdr:col>7</xdr:col>
      <xdr:colOff>651401</xdr:colOff>
      <xdr:row>46</xdr:row>
      <xdr:rowOff>152499</xdr:rowOff>
    </xdr:from>
    <xdr:to>
      <xdr:col>8</xdr:col>
      <xdr:colOff>1216051</xdr:colOff>
      <xdr:row>49</xdr:row>
      <xdr:rowOff>201706</xdr:rowOff>
    </xdr:to>
    <xdr:pic>
      <xdr:nvPicPr>
        <xdr:cNvPr id="4" name="Imagen 3">
          <a:extLst>
            <a:ext uri="{FF2B5EF4-FFF2-40B4-BE49-F238E27FC236}">
              <a16:creationId xmlns:a16="http://schemas.microsoft.com/office/drawing/2014/main" id="{FC50B3A2-9377-42DC-8CC7-CE3B8112E137}"/>
            </a:ext>
          </a:extLst>
        </xdr:cNvPr>
        <xdr:cNvPicPr>
          <a:picLocks noChangeAspect="1"/>
        </xdr:cNvPicPr>
      </xdr:nvPicPr>
      <xdr:blipFill>
        <a:blip xmlns:r="http://schemas.openxmlformats.org/officeDocument/2006/relationships" r:embed="rId3"/>
        <a:srcRect l="88188"/>
        <a:stretch>
          <a:fillRect/>
        </a:stretch>
      </xdr:blipFill>
      <xdr:spPr>
        <a:xfrm>
          <a:off x="10862201" y="12449274"/>
          <a:ext cx="2374400" cy="906457"/>
        </a:xfrm>
        <a:prstGeom prst="rect">
          <a:avLst/>
        </a:prstGeom>
      </xdr:spPr>
    </xdr:pic>
    <xdr:clientData/>
  </xdr:twoCellAnchor>
  <xdr:twoCellAnchor>
    <xdr:from>
      <xdr:col>9</xdr:col>
      <xdr:colOff>257737</xdr:colOff>
      <xdr:row>49</xdr:row>
      <xdr:rowOff>156882</xdr:rowOff>
    </xdr:from>
    <xdr:to>
      <xdr:col>9</xdr:col>
      <xdr:colOff>605119</xdr:colOff>
      <xdr:row>50</xdr:row>
      <xdr:rowOff>145676</xdr:rowOff>
    </xdr:to>
    <xdr:sp macro="" textlink="">
      <xdr:nvSpPr>
        <xdr:cNvPr id="5" name="Rectángulo 4">
          <a:extLst>
            <a:ext uri="{FF2B5EF4-FFF2-40B4-BE49-F238E27FC236}">
              <a16:creationId xmlns:a16="http://schemas.microsoft.com/office/drawing/2014/main" id="{84579249-D373-43CC-9BC6-334167A5630C}"/>
            </a:ext>
          </a:extLst>
        </xdr:cNvPr>
        <xdr:cNvSpPr/>
      </xdr:nvSpPr>
      <xdr:spPr>
        <a:xfrm>
          <a:off x="13897537" y="13310907"/>
          <a:ext cx="347382" cy="274544"/>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editAs="oneCell">
    <xdr:from>
      <xdr:col>10</xdr:col>
      <xdr:colOff>0</xdr:colOff>
      <xdr:row>48</xdr:row>
      <xdr:rowOff>0</xdr:rowOff>
    </xdr:from>
    <xdr:to>
      <xdr:col>10</xdr:col>
      <xdr:colOff>304800</xdr:colOff>
      <xdr:row>49</xdr:row>
      <xdr:rowOff>19050</xdr:rowOff>
    </xdr:to>
    <xdr:sp macro="" textlink="">
      <xdr:nvSpPr>
        <xdr:cNvPr id="6" name="AutoShape 4">
          <a:extLst>
            <a:ext uri="{FF2B5EF4-FFF2-40B4-BE49-F238E27FC236}">
              <a16:creationId xmlns:a16="http://schemas.microsoft.com/office/drawing/2014/main" id="{A6ECD431-53B6-4CE0-8832-D9CAD9745634}"/>
            </a:ext>
          </a:extLst>
        </xdr:cNvPr>
        <xdr:cNvSpPr>
          <a:spLocks noChangeAspect="1" noChangeArrowheads="1"/>
        </xdr:cNvSpPr>
      </xdr:nvSpPr>
      <xdr:spPr bwMode="auto">
        <a:xfrm>
          <a:off x="15259050" y="1286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1591236</xdr:colOff>
      <xdr:row>46</xdr:row>
      <xdr:rowOff>235322</xdr:rowOff>
    </xdr:from>
    <xdr:to>
      <xdr:col>11</xdr:col>
      <xdr:colOff>268380</xdr:colOff>
      <xdr:row>49</xdr:row>
      <xdr:rowOff>135029</xdr:rowOff>
    </xdr:to>
    <xdr:pic>
      <xdr:nvPicPr>
        <xdr:cNvPr id="7" name="Imagen 6">
          <a:extLst>
            <a:ext uri="{FF2B5EF4-FFF2-40B4-BE49-F238E27FC236}">
              <a16:creationId xmlns:a16="http://schemas.microsoft.com/office/drawing/2014/main" id="{02756795-7D6A-4A25-B207-D9E264793CDA}"/>
            </a:ext>
          </a:extLst>
        </xdr:cNvPr>
        <xdr:cNvPicPr>
          <a:picLocks noChangeAspect="1"/>
        </xdr:cNvPicPr>
      </xdr:nvPicPr>
      <xdr:blipFill>
        <a:blip xmlns:r="http://schemas.openxmlformats.org/officeDocument/2006/relationships" r:embed="rId4"/>
        <a:stretch>
          <a:fillRect/>
        </a:stretch>
      </xdr:blipFill>
      <xdr:spPr>
        <a:xfrm>
          <a:off x="15231036" y="12532097"/>
          <a:ext cx="1791819" cy="756957"/>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xdr:from>
      <xdr:col>0</xdr:col>
      <xdr:colOff>47627</xdr:colOff>
      <xdr:row>40</xdr:row>
      <xdr:rowOff>171450</xdr:rowOff>
    </xdr:from>
    <xdr:to>
      <xdr:col>6</xdr:col>
      <xdr:colOff>866775</xdr:colOff>
      <xdr:row>54</xdr:row>
      <xdr:rowOff>142875</xdr:rowOff>
    </xdr:to>
    <xdr:graphicFrame macro="">
      <xdr:nvGraphicFramePr>
        <xdr:cNvPr id="2" name="Gráfico 1">
          <a:extLst>
            <a:ext uri="{FF2B5EF4-FFF2-40B4-BE49-F238E27FC236}">
              <a16:creationId xmlns:a16="http://schemas.microsoft.com/office/drawing/2014/main" id="{9BD37BF6-161D-4040-9060-8CC972F06B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133030</xdr:colOff>
      <xdr:row>0</xdr:row>
      <xdr:rowOff>122465</xdr:rowOff>
    </xdr:from>
    <xdr:to>
      <xdr:col>1</xdr:col>
      <xdr:colOff>2239528</xdr:colOff>
      <xdr:row>3</xdr:row>
      <xdr:rowOff>85725</xdr:rowOff>
    </xdr:to>
    <xdr:pic>
      <xdr:nvPicPr>
        <xdr:cNvPr id="3" name="Imagen 2">
          <a:extLst>
            <a:ext uri="{FF2B5EF4-FFF2-40B4-BE49-F238E27FC236}">
              <a16:creationId xmlns:a16="http://schemas.microsoft.com/office/drawing/2014/main" id="{FA0F6DAC-8660-4C32-971F-6018B28563B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3030" y="122465"/>
          <a:ext cx="2811348" cy="706210"/>
        </a:xfrm>
        <a:prstGeom prst="rect">
          <a:avLst/>
        </a:prstGeom>
      </xdr:spPr>
    </xdr:pic>
    <xdr:clientData/>
  </xdr:twoCellAnchor>
  <xdr:twoCellAnchor editAs="oneCell">
    <xdr:from>
      <xdr:col>7</xdr:col>
      <xdr:colOff>651401</xdr:colOff>
      <xdr:row>46</xdr:row>
      <xdr:rowOff>152499</xdr:rowOff>
    </xdr:from>
    <xdr:to>
      <xdr:col>8</xdr:col>
      <xdr:colOff>1216051</xdr:colOff>
      <xdr:row>49</xdr:row>
      <xdr:rowOff>201706</xdr:rowOff>
    </xdr:to>
    <xdr:pic>
      <xdr:nvPicPr>
        <xdr:cNvPr id="4" name="Imagen 3">
          <a:extLst>
            <a:ext uri="{FF2B5EF4-FFF2-40B4-BE49-F238E27FC236}">
              <a16:creationId xmlns:a16="http://schemas.microsoft.com/office/drawing/2014/main" id="{16E90123-7E3A-4374-B6A7-555F96C9BFF6}"/>
            </a:ext>
          </a:extLst>
        </xdr:cNvPr>
        <xdr:cNvPicPr>
          <a:picLocks noChangeAspect="1"/>
        </xdr:cNvPicPr>
      </xdr:nvPicPr>
      <xdr:blipFill>
        <a:blip xmlns:r="http://schemas.openxmlformats.org/officeDocument/2006/relationships" r:embed="rId3"/>
        <a:srcRect l="88188"/>
        <a:stretch>
          <a:fillRect/>
        </a:stretch>
      </xdr:blipFill>
      <xdr:spPr>
        <a:xfrm>
          <a:off x="10862201" y="12449274"/>
          <a:ext cx="2374400" cy="906457"/>
        </a:xfrm>
        <a:prstGeom prst="rect">
          <a:avLst/>
        </a:prstGeom>
      </xdr:spPr>
    </xdr:pic>
    <xdr:clientData/>
  </xdr:twoCellAnchor>
  <xdr:twoCellAnchor>
    <xdr:from>
      <xdr:col>9</xdr:col>
      <xdr:colOff>257737</xdr:colOff>
      <xdr:row>49</xdr:row>
      <xdr:rowOff>156882</xdr:rowOff>
    </xdr:from>
    <xdr:to>
      <xdr:col>9</xdr:col>
      <xdr:colOff>605119</xdr:colOff>
      <xdr:row>50</xdr:row>
      <xdr:rowOff>145676</xdr:rowOff>
    </xdr:to>
    <xdr:sp macro="" textlink="">
      <xdr:nvSpPr>
        <xdr:cNvPr id="5" name="Rectángulo 4">
          <a:extLst>
            <a:ext uri="{FF2B5EF4-FFF2-40B4-BE49-F238E27FC236}">
              <a16:creationId xmlns:a16="http://schemas.microsoft.com/office/drawing/2014/main" id="{1A6ABFBE-8217-4A44-A48B-57A562818939}"/>
            </a:ext>
          </a:extLst>
        </xdr:cNvPr>
        <xdr:cNvSpPr/>
      </xdr:nvSpPr>
      <xdr:spPr>
        <a:xfrm>
          <a:off x="13897537" y="13310907"/>
          <a:ext cx="347382" cy="274544"/>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editAs="oneCell">
    <xdr:from>
      <xdr:col>10</xdr:col>
      <xdr:colOff>0</xdr:colOff>
      <xdr:row>48</xdr:row>
      <xdr:rowOff>0</xdr:rowOff>
    </xdr:from>
    <xdr:to>
      <xdr:col>10</xdr:col>
      <xdr:colOff>304800</xdr:colOff>
      <xdr:row>49</xdr:row>
      <xdr:rowOff>19050</xdr:rowOff>
    </xdr:to>
    <xdr:sp macro="" textlink="">
      <xdr:nvSpPr>
        <xdr:cNvPr id="6" name="AutoShape 4">
          <a:extLst>
            <a:ext uri="{FF2B5EF4-FFF2-40B4-BE49-F238E27FC236}">
              <a16:creationId xmlns:a16="http://schemas.microsoft.com/office/drawing/2014/main" id="{DEC061FE-0BAA-42F6-B927-C82B2254F35D}"/>
            </a:ext>
          </a:extLst>
        </xdr:cNvPr>
        <xdr:cNvSpPr>
          <a:spLocks noChangeAspect="1" noChangeArrowheads="1"/>
        </xdr:cNvSpPr>
      </xdr:nvSpPr>
      <xdr:spPr bwMode="auto">
        <a:xfrm>
          <a:off x="15259050" y="1286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1591236</xdr:colOff>
      <xdr:row>46</xdr:row>
      <xdr:rowOff>235322</xdr:rowOff>
    </xdr:from>
    <xdr:to>
      <xdr:col>11</xdr:col>
      <xdr:colOff>268380</xdr:colOff>
      <xdr:row>49</xdr:row>
      <xdr:rowOff>135029</xdr:rowOff>
    </xdr:to>
    <xdr:pic>
      <xdr:nvPicPr>
        <xdr:cNvPr id="7" name="Imagen 6">
          <a:extLst>
            <a:ext uri="{FF2B5EF4-FFF2-40B4-BE49-F238E27FC236}">
              <a16:creationId xmlns:a16="http://schemas.microsoft.com/office/drawing/2014/main" id="{253D0571-E991-4E7F-968A-AD7F46114328}"/>
            </a:ext>
          </a:extLst>
        </xdr:cNvPr>
        <xdr:cNvPicPr>
          <a:picLocks noChangeAspect="1"/>
        </xdr:cNvPicPr>
      </xdr:nvPicPr>
      <xdr:blipFill>
        <a:blip xmlns:r="http://schemas.openxmlformats.org/officeDocument/2006/relationships" r:embed="rId4"/>
        <a:stretch>
          <a:fillRect/>
        </a:stretch>
      </xdr:blipFill>
      <xdr:spPr>
        <a:xfrm>
          <a:off x="15231036" y="12532097"/>
          <a:ext cx="1791819" cy="756957"/>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0</xdr:col>
      <xdr:colOff>47627</xdr:colOff>
      <xdr:row>40</xdr:row>
      <xdr:rowOff>171450</xdr:rowOff>
    </xdr:from>
    <xdr:to>
      <xdr:col>6</xdr:col>
      <xdr:colOff>866775</xdr:colOff>
      <xdr:row>54</xdr:row>
      <xdr:rowOff>142875</xdr:rowOff>
    </xdr:to>
    <xdr:graphicFrame macro="">
      <xdr:nvGraphicFramePr>
        <xdr:cNvPr id="2" name="Gráfico 1">
          <a:extLst>
            <a:ext uri="{FF2B5EF4-FFF2-40B4-BE49-F238E27FC236}">
              <a16:creationId xmlns:a16="http://schemas.microsoft.com/office/drawing/2014/main" id="{FD986362-1772-4F21-859B-19FF00B36A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133030</xdr:colOff>
      <xdr:row>0</xdr:row>
      <xdr:rowOff>122465</xdr:rowOff>
    </xdr:from>
    <xdr:to>
      <xdr:col>1</xdr:col>
      <xdr:colOff>2239528</xdr:colOff>
      <xdr:row>3</xdr:row>
      <xdr:rowOff>85725</xdr:rowOff>
    </xdr:to>
    <xdr:pic>
      <xdr:nvPicPr>
        <xdr:cNvPr id="3" name="Imagen 2">
          <a:extLst>
            <a:ext uri="{FF2B5EF4-FFF2-40B4-BE49-F238E27FC236}">
              <a16:creationId xmlns:a16="http://schemas.microsoft.com/office/drawing/2014/main" id="{36872FB8-FF10-4C23-BA33-8FB2AFF9A5D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3030" y="122465"/>
          <a:ext cx="2811348" cy="706210"/>
        </a:xfrm>
        <a:prstGeom prst="rect">
          <a:avLst/>
        </a:prstGeom>
      </xdr:spPr>
    </xdr:pic>
    <xdr:clientData/>
  </xdr:twoCellAnchor>
  <xdr:twoCellAnchor editAs="oneCell">
    <xdr:from>
      <xdr:col>7</xdr:col>
      <xdr:colOff>651401</xdr:colOff>
      <xdr:row>46</xdr:row>
      <xdr:rowOff>152499</xdr:rowOff>
    </xdr:from>
    <xdr:to>
      <xdr:col>8</xdr:col>
      <xdr:colOff>1216051</xdr:colOff>
      <xdr:row>49</xdr:row>
      <xdr:rowOff>201706</xdr:rowOff>
    </xdr:to>
    <xdr:pic>
      <xdr:nvPicPr>
        <xdr:cNvPr id="4" name="Imagen 3">
          <a:extLst>
            <a:ext uri="{FF2B5EF4-FFF2-40B4-BE49-F238E27FC236}">
              <a16:creationId xmlns:a16="http://schemas.microsoft.com/office/drawing/2014/main" id="{9DC0E7F6-163C-43DA-B8BA-490653DEE91E}"/>
            </a:ext>
          </a:extLst>
        </xdr:cNvPr>
        <xdr:cNvPicPr>
          <a:picLocks noChangeAspect="1"/>
        </xdr:cNvPicPr>
      </xdr:nvPicPr>
      <xdr:blipFill>
        <a:blip xmlns:r="http://schemas.openxmlformats.org/officeDocument/2006/relationships" r:embed="rId3"/>
        <a:srcRect l="88188"/>
        <a:stretch>
          <a:fillRect/>
        </a:stretch>
      </xdr:blipFill>
      <xdr:spPr>
        <a:xfrm>
          <a:off x="10862201" y="12449274"/>
          <a:ext cx="2374400" cy="906457"/>
        </a:xfrm>
        <a:prstGeom prst="rect">
          <a:avLst/>
        </a:prstGeom>
      </xdr:spPr>
    </xdr:pic>
    <xdr:clientData/>
  </xdr:twoCellAnchor>
  <xdr:twoCellAnchor>
    <xdr:from>
      <xdr:col>9</xdr:col>
      <xdr:colOff>257737</xdr:colOff>
      <xdr:row>49</xdr:row>
      <xdr:rowOff>156882</xdr:rowOff>
    </xdr:from>
    <xdr:to>
      <xdr:col>9</xdr:col>
      <xdr:colOff>605119</xdr:colOff>
      <xdr:row>50</xdr:row>
      <xdr:rowOff>145676</xdr:rowOff>
    </xdr:to>
    <xdr:sp macro="" textlink="">
      <xdr:nvSpPr>
        <xdr:cNvPr id="5" name="Rectángulo 4">
          <a:extLst>
            <a:ext uri="{FF2B5EF4-FFF2-40B4-BE49-F238E27FC236}">
              <a16:creationId xmlns:a16="http://schemas.microsoft.com/office/drawing/2014/main" id="{11D69F68-DAE7-45B5-BF62-98F25D42ECA9}"/>
            </a:ext>
          </a:extLst>
        </xdr:cNvPr>
        <xdr:cNvSpPr/>
      </xdr:nvSpPr>
      <xdr:spPr>
        <a:xfrm>
          <a:off x="13897537" y="13310907"/>
          <a:ext cx="347382" cy="274544"/>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editAs="oneCell">
    <xdr:from>
      <xdr:col>10</xdr:col>
      <xdr:colOff>0</xdr:colOff>
      <xdr:row>48</xdr:row>
      <xdr:rowOff>0</xdr:rowOff>
    </xdr:from>
    <xdr:to>
      <xdr:col>10</xdr:col>
      <xdr:colOff>304800</xdr:colOff>
      <xdr:row>49</xdr:row>
      <xdr:rowOff>19050</xdr:rowOff>
    </xdr:to>
    <xdr:sp macro="" textlink="">
      <xdr:nvSpPr>
        <xdr:cNvPr id="6" name="AutoShape 4">
          <a:extLst>
            <a:ext uri="{FF2B5EF4-FFF2-40B4-BE49-F238E27FC236}">
              <a16:creationId xmlns:a16="http://schemas.microsoft.com/office/drawing/2014/main" id="{5E07EDBE-205F-408D-97EF-278B7AB58388}"/>
            </a:ext>
          </a:extLst>
        </xdr:cNvPr>
        <xdr:cNvSpPr>
          <a:spLocks noChangeAspect="1" noChangeArrowheads="1"/>
        </xdr:cNvSpPr>
      </xdr:nvSpPr>
      <xdr:spPr bwMode="auto">
        <a:xfrm>
          <a:off x="15259050" y="1286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1591236</xdr:colOff>
      <xdr:row>46</xdr:row>
      <xdr:rowOff>235322</xdr:rowOff>
    </xdr:from>
    <xdr:to>
      <xdr:col>11</xdr:col>
      <xdr:colOff>268380</xdr:colOff>
      <xdr:row>49</xdr:row>
      <xdr:rowOff>135029</xdr:rowOff>
    </xdr:to>
    <xdr:pic>
      <xdr:nvPicPr>
        <xdr:cNvPr id="7" name="Imagen 6">
          <a:extLst>
            <a:ext uri="{FF2B5EF4-FFF2-40B4-BE49-F238E27FC236}">
              <a16:creationId xmlns:a16="http://schemas.microsoft.com/office/drawing/2014/main" id="{C5FFF324-9FF7-4FB1-BD6A-C7B7E566F2FE}"/>
            </a:ext>
          </a:extLst>
        </xdr:cNvPr>
        <xdr:cNvPicPr>
          <a:picLocks noChangeAspect="1"/>
        </xdr:cNvPicPr>
      </xdr:nvPicPr>
      <xdr:blipFill>
        <a:blip xmlns:r="http://schemas.openxmlformats.org/officeDocument/2006/relationships" r:embed="rId4"/>
        <a:stretch>
          <a:fillRect/>
        </a:stretch>
      </xdr:blipFill>
      <xdr:spPr>
        <a:xfrm>
          <a:off x="15231036" y="12532097"/>
          <a:ext cx="1791819" cy="756957"/>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0</xdr:col>
      <xdr:colOff>47627</xdr:colOff>
      <xdr:row>40</xdr:row>
      <xdr:rowOff>171450</xdr:rowOff>
    </xdr:from>
    <xdr:to>
      <xdr:col>6</xdr:col>
      <xdr:colOff>866775</xdr:colOff>
      <xdr:row>54</xdr:row>
      <xdr:rowOff>142875</xdr:rowOff>
    </xdr:to>
    <xdr:graphicFrame macro="">
      <xdr:nvGraphicFramePr>
        <xdr:cNvPr id="2" name="Gráfico 1">
          <a:extLst>
            <a:ext uri="{FF2B5EF4-FFF2-40B4-BE49-F238E27FC236}">
              <a16:creationId xmlns:a16="http://schemas.microsoft.com/office/drawing/2014/main" id="{E64893AC-2AD7-4167-80C1-668065B360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133030</xdr:colOff>
      <xdr:row>0</xdr:row>
      <xdr:rowOff>122465</xdr:rowOff>
    </xdr:from>
    <xdr:to>
      <xdr:col>1</xdr:col>
      <xdr:colOff>2239528</xdr:colOff>
      <xdr:row>3</xdr:row>
      <xdr:rowOff>85725</xdr:rowOff>
    </xdr:to>
    <xdr:pic>
      <xdr:nvPicPr>
        <xdr:cNvPr id="3" name="Imagen 2">
          <a:extLst>
            <a:ext uri="{FF2B5EF4-FFF2-40B4-BE49-F238E27FC236}">
              <a16:creationId xmlns:a16="http://schemas.microsoft.com/office/drawing/2014/main" id="{8DA593C3-2F24-4B0D-9492-C69BE69A401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3030" y="122465"/>
          <a:ext cx="2811348" cy="706210"/>
        </a:xfrm>
        <a:prstGeom prst="rect">
          <a:avLst/>
        </a:prstGeom>
      </xdr:spPr>
    </xdr:pic>
    <xdr:clientData/>
  </xdr:twoCellAnchor>
  <xdr:twoCellAnchor editAs="oneCell">
    <xdr:from>
      <xdr:col>7</xdr:col>
      <xdr:colOff>651401</xdr:colOff>
      <xdr:row>46</xdr:row>
      <xdr:rowOff>152499</xdr:rowOff>
    </xdr:from>
    <xdr:to>
      <xdr:col>8</xdr:col>
      <xdr:colOff>1216051</xdr:colOff>
      <xdr:row>49</xdr:row>
      <xdr:rowOff>201706</xdr:rowOff>
    </xdr:to>
    <xdr:pic>
      <xdr:nvPicPr>
        <xdr:cNvPr id="4" name="Imagen 3">
          <a:extLst>
            <a:ext uri="{FF2B5EF4-FFF2-40B4-BE49-F238E27FC236}">
              <a16:creationId xmlns:a16="http://schemas.microsoft.com/office/drawing/2014/main" id="{7401D26D-08E9-4F2F-8604-68C3A5E9519D}"/>
            </a:ext>
          </a:extLst>
        </xdr:cNvPr>
        <xdr:cNvPicPr>
          <a:picLocks noChangeAspect="1"/>
        </xdr:cNvPicPr>
      </xdr:nvPicPr>
      <xdr:blipFill>
        <a:blip xmlns:r="http://schemas.openxmlformats.org/officeDocument/2006/relationships" r:embed="rId3"/>
        <a:srcRect l="88188"/>
        <a:stretch>
          <a:fillRect/>
        </a:stretch>
      </xdr:blipFill>
      <xdr:spPr>
        <a:xfrm>
          <a:off x="10862201" y="12449274"/>
          <a:ext cx="2374400" cy="906457"/>
        </a:xfrm>
        <a:prstGeom prst="rect">
          <a:avLst/>
        </a:prstGeom>
      </xdr:spPr>
    </xdr:pic>
    <xdr:clientData/>
  </xdr:twoCellAnchor>
  <xdr:twoCellAnchor>
    <xdr:from>
      <xdr:col>9</xdr:col>
      <xdr:colOff>257737</xdr:colOff>
      <xdr:row>49</xdr:row>
      <xdr:rowOff>156882</xdr:rowOff>
    </xdr:from>
    <xdr:to>
      <xdr:col>9</xdr:col>
      <xdr:colOff>605119</xdr:colOff>
      <xdr:row>50</xdr:row>
      <xdr:rowOff>145676</xdr:rowOff>
    </xdr:to>
    <xdr:sp macro="" textlink="">
      <xdr:nvSpPr>
        <xdr:cNvPr id="5" name="Rectángulo 4">
          <a:extLst>
            <a:ext uri="{FF2B5EF4-FFF2-40B4-BE49-F238E27FC236}">
              <a16:creationId xmlns:a16="http://schemas.microsoft.com/office/drawing/2014/main" id="{257A3DA5-AE35-47F9-BABB-AE03F299BC08}"/>
            </a:ext>
          </a:extLst>
        </xdr:cNvPr>
        <xdr:cNvSpPr/>
      </xdr:nvSpPr>
      <xdr:spPr>
        <a:xfrm>
          <a:off x="13897537" y="13310907"/>
          <a:ext cx="347382" cy="274544"/>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editAs="oneCell">
    <xdr:from>
      <xdr:col>10</xdr:col>
      <xdr:colOff>0</xdr:colOff>
      <xdr:row>48</xdr:row>
      <xdr:rowOff>0</xdr:rowOff>
    </xdr:from>
    <xdr:to>
      <xdr:col>10</xdr:col>
      <xdr:colOff>304800</xdr:colOff>
      <xdr:row>49</xdr:row>
      <xdr:rowOff>19050</xdr:rowOff>
    </xdr:to>
    <xdr:sp macro="" textlink="">
      <xdr:nvSpPr>
        <xdr:cNvPr id="6" name="AutoShape 4">
          <a:extLst>
            <a:ext uri="{FF2B5EF4-FFF2-40B4-BE49-F238E27FC236}">
              <a16:creationId xmlns:a16="http://schemas.microsoft.com/office/drawing/2014/main" id="{E2EA3D4F-72A8-4AAE-B880-C9CF0EFBFB50}"/>
            </a:ext>
          </a:extLst>
        </xdr:cNvPr>
        <xdr:cNvSpPr>
          <a:spLocks noChangeAspect="1" noChangeArrowheads="1"/>
        </xdr:cNvSpPr>
      </xdr:nvSpPr>
      <xdr:spPr bwMode="auto">
        <a:xfrm>
          <a:off x="15259050" y="1286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1591236</xdr:colOff>
      <xdr:row>46</xdr:row>
      <xdr:rowOff>235322</xdr:rowOff>
    </xdr:from>
    <xdr:to>
      <xdr:col>11</xdr:col>
      <xdr:colOff>268380</xdr:colOff>
      <xdr:row>49</xdr:row>
      <xdr:rowOff>135029</xdr:rowOff>
    </xdr:to>
    <xdr:pic>
      <xdr:nvPicPr>
        <xdr:cNvPr id="7" name="Imagen 6">
          <a:extLst>
            <a:ext uri="{FF2B5EF4-FFF2-40B4-BE49-F238E27FC236}">
              <a16:creationId xmlns:a16="http://schemas.microsoft.com/office/drawing/2014/main" id="{05806303-39B2-4EF3-BCB8-9315DC32129A}"/>
            </a:ext>
          </a:extLst>
        </xdr:cNvPr>
        <xdr:cNvPicPr>
          <a:picLocks noChangeAspect="1"/>
        </xdr:cNvPicPr>
      </xdr:nvPicPr>
      <xdr:blipFill>
        <a:blip xmlns:r="http://schemas.openxmlformats.org/officeDocument/2006/relationships" r:embed="rId4"/>
        <a:stretch>
          <a:fillRect/>
        </a:stretch>
      </xdr:blipFill>
      <xdr:spPr>
        <a:xfrm>
          <a:off x="15231036" y="12532097"/>
          <a:ext cx="1791819" cy="756957"/>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xdr:from>
      <xdr:col>0</xdr:col>
      <xdr:colOff>47627</xdr:colOff>
      <xdr:row>40</xdr:row>
      <xdr:rowOff>171450</xdr:rowOff>
    </xdr:from>
    <xdr:to>
      <xdr:col>6</xdr:col>
      <xdr:colOff>866775</xdr:colOff>
      <xdr:row>54</xdr:row>
      <xdr:rowOff>142875</xdr:rowOff>
    </xdr:to>
    <xdr:graphicFrame macro="">
      <xdr:nvGraphicFramePr>
        <xdr:cNvPr id="2" name="Gráfico 1">
          <a:extLst>
            <a:ext uri="{FF2B5EF4-FFF2-40B4-BE49-F238E27FC236}">
              <a16:creationId xmlns:a16="http://schemas.microsoft.com/office/drawing/2014/main" id="{483EAA08-F9D6-4068-B50B-A565BDCEFA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133030</xdr:colOff>
      <xdr:row>0</xdr:row>
      <xdr:rowOff>122465</xdr:rowOff>
    </xdr:from>
    <xdr:to>
      <xdr:col>1</xdr:col>
      <xdr:colOff>2239528</xdr:colOff>
      <xdr:row>3</xdr:row>
      <xdr:rowOff>85725</xdr:rowOff>
    </xdr:to>
    <xdr:pic>
      <xdr:nvPicPr>
        <xdr:cNvPr id="3" name="Imagen 2">
          <a:extLst>
            <a:ext uri="{FF2B5EF4-FFF2-40B4-BE49-F238E27FC236}">
              <a16:creationId xmlns:a16="http://schemas.microsoft.com/office/drawing/2014/main" id="{32F527D0-87BD-4B85-A76C-3493482F3CBB}"/>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3030" y="122465"/>
          <a:ext cx="2811348" cy="706210"/>
        </a:xfrm>
        <a:prstGeom prst="rect">
          <a:avLst/>
        </a:prstGeom>
      </xdr:spPr>
    </xdr:pic>
    <xdr:clientData/>
  </xdr:twoCellAnchor>
  <xdr:twoCellAnchor editAs="oneCell">
    <xdr:from>
      <xdr:col>7</xdr:col>
      <xdr:colOff>651401</xdr:colOff>
      <xdr:row>46</xdr:row>
      <xdr:rowOff>152499</xdr:rowOff>
    </xdr:from>
    <xdr:to>
      <xdr:col>8</xdr:col>
      <xdr:colOff>1216051</xdr:colOff>
      <xdr:row>49</xdr:row>
      <xdr:rowOff>201706</xdr:rowOff>
    </xdr:to>
    <xdr:pic>
      <xdr:nvPicPr>
        <xdr:cNvPr id="4" name="Imagen 3">
          <a:extLst>
            <a:ext uri="{FF2B5EF4-FFF2-40B4-BE49-F238E27FC236}">
              <a16:creationId xmlns:a16="http://schemas.microsoft.com/office/drawing/2014/main" id="{37E9797E-0C95-4459-B324-2F6558386293}"/>
            </a:ext>
          </a:extLst>
        </xdr:cNvPr>
        <xdr:cNvPicPr>
          <a:picLocks noChangeAspect="1"/>
        </xdr:cNvPicPr>
      </xdr:nvPicPr>
      <xdr:blipFill>
        <a:blip xmlns:r="http://schemas.openxmlformats.org/officeDocument/2006/relationships" r:embed="rId3"/>
        <a:srcRect l="88188"/>
        <a:stretch>
          <a:fillRect/>
        </a:stretch>
      </xdr:blipFill>
      <xdr:spPr>
        <a:xfrm>
          <a:off x="10862201" y="12449274"/>
          <a:ext cx="2374400" cy="906457"/>
        </a:xfrm>
        <a:prstGeom prst="rect">
          <a:avLst/>
        </a:prstGeom>
      </xdr:spPr>
    </xdr:pic>
    <xdr:clientData/>
  </xdr:twoCellAnchor>
  <xdr:twoCellAnchor>
    <xdr:from>
      <xdr:col>9</xdr:col>
      <xdr:colOff>257737</xdr:colOff>
      <xdr:row>49</xdr:row>
      <xdr:rowOff>156882</xdr:rowOff>
    </xdr:from>
    <xdr:to>
      <xdr:col>9</xdr:col>
      <xdr:colOff>605119</xdr:colOff>
      <xdr:row>50</xdr:row>
      <xdr:rowOff>145676</xdr:rowOff>
    </xdr:to>
    <xdr:sp macro="" textlink="">
      <xdr:nvSpPr>
        <xdr:cNvPr id="5" name="Rectángulo 4">
          <a:extLst>
            <a:ext uri="{FF2B5EF4-FFF2-40B4-BE49-F238E27FC236}">
              <a16:creationId xmlns:a16="http://schemas.microsoft.com/office/drawing/2014/main" id="{3A47A8EF-5375-432B-B470-F25FC09C1500}"/>
            </a:ext>
          </a:extLst>
        </xdr:cNvPr>
        <xdr:cNvSpPr/>
      </xdr:nvSpPr>
      <xdr:spPr>
        <a:xfrm>
          <a:off x="13897537" y="13310907"/>
          <a:ext cx="347382" cy="274544"/>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editAs="oneCell">
    <xdr:from>
      <xdr:col>10</xdr:col>
      <xdr:colOff>0</xdr:colOff>
      <xdr:row>48</xdr:row>
      <xdr:rowOff>0</xdr:rowOff>
    </xdr:from>
    <xdr:to>
      <xdr:col>10</xdr:col>
      <xdr:colOff>304800</xdr:colOff>
      <xdr:row>49</xdr:row>
      <xdr:rowOff>19050</xdr:rowOff>
    </xdr:to>
    <xdr:sp macro="" textlink="">
      <xdr:nvSpPr>
        <xdr:cNvPr id="6" name="AutoShape 4">
          <a:extLst>
            <a:ext uri="{FF2B5EF4-FFF2-40B4-BE49-F238E27FC236}">
              <a16:creationId xmlns:a16="http://schemas.microsoft.com/office/drawing/2014/main" id="{98C69815-A153-4C0F-A0B1-CE694FD1DFF7}"/>
            </a:ext>
          </a:extLst>
        </xdr:cNvPr>
        <xdr:cNvSpPr>
          <a:spLocks noChangeAspect="1" noChangeArrowheads="1"/>
        </xdr:cNvSpPr>
      </xdr:nvSpPr>
      <xdr:spPr bwMode="auto">
        <a:xfrm>
          <a:off x="15259050" y="1286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1591236</xdr:colOff>
      <xdr:row>46</xdr:row>
      <xdr:rowOff>235322</xdr:rowOff>
    </xdr:from>
    <xdr:to>
      <xdr:col>11</xdr:col>
      <xdr:colOff>268380</xdr:colOff>
      <xdr:row>49</xdr:row>
      <xdr:rowOff>135029</xdr:rowOff>
    </xdr:to>
    <xdr:pic>
      <xdr:nvPicPr>
        <xdr:cNvPr id="7" name="Imagen 6">
          <a:extLst>
            <a:ext uri="{FF2B5EF4-FFF2-40B4-BE49-F238E27FC236}">
              <a16:creationId xmlns:a16="http://schemas.microsoft.com/office/drawing/2014/main" id="{EFB36305-4172-426A-8027-AC719804D74D}"/>
            </a:ext>
          </a:extLst>
        </xdr:cNvPr>
        <xdr:cNvPicPr>
          <a:picLocks noChangeAspect="1"/>
        </xdr:cNvPicPr>
      </xdr:nvPicPr>
      <xdr:blipFill>
        <a:blip xmlns:r="http://schemas.openxmlformats.org/officeDocument/2006/relationships" r:embed="rId4"/>
        <a:stretch>
          <a:fillRect/>
        </a:stretch>
      </xdr:blipFill>
      <xdr:spPr>
        <a:xfrm>
          <a:off x="15231036" y="12532097"/>
          <a:ext cx="1791819" cy="756957"/>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xdr:from>
      <xdr:col>0</xdr:col>
      <xdr:colOff>47627</xdr:colOff>
      <xdr:row>40</xdr:row>
      <xdr:rowOff>171450</xdr:rowOff>
    </xdr:from>
    <xdr:to>
      <xdr:col>6</xdr:col>
      <xdr:colOff>866775</xdr:colOff>
      <xdr:row>54</xdr:row>
      <xdr:rowOff>142875</xdr:rowOff>
    </xdr:to>
    <xdr:graphicFrame macro="">
      <xdr:nvGraphicFramePr>
        <xdr:cNvPr id="2" name="Gráfico 1">
          <a:extLst>
            <a:ext uri="{FF2B5EF4-FFF2-40B4-BE49-F238E27FC236}">
              <a16:creationId xmlns:a16="http://schemas.microsoft.com/office/drawing/2014/main" id="{6C9F5BF4-4794-40B1-9064-F904660902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133030</xdr:colOff>
      <xdr:row>0</xdr:row>
      <xdr:rowOff>122465</xdr:rowOff>
    </xdr:from>
    <xdr:to>
      <xdr:col>1</xdr:col>
      <xdr:colOff>2239528</xdr:colOff>
      <xdr:row>3</xdr:row>
      <xdr:rowOff>85725</xdr:rowOff>
    </xdr:to>
    <xdr:pic>
      <xdr:nvPicPr>
        <xdr:cNvPr id="3" name="Imagen 2">
          <a:extLst>
            <a:ext uri="{FF2B5EF4-FFF2-40B4-BE49-F238E27FC236}">
              <a16:creationId xmlns:a16="http://schemas.microsoft.com/office/drawing/2014/main" id="{25B2BD7C-B884-462F-B891-97AF2C2EBBEE}"/>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3030" y="122465"/>
          <a:ext cx="2811348" cy="706210"/>
        </a:xfrm>
        <a:prstGeom prst="rect">
          <a:avLst/>
        </a:prstGeom>
      </xdr:spPr>
    </xdr:pic>
    <xdr:clientData/>
  </xdr:twoCellAnchor>
  <xdr:twoCellAnchor editAs="oneCell">
    <xdr:from>
      <xdr:col>7</xdr:col>
      <xdr:colOff>651401</xdr:colOff>
      <xdr:row>46</xdr:row>
      <xdr:rowOff>152499</xdr:rowOff>
    </xdr:from>
    <xdr:to>
      <xdr:col>8</xdr:col>
      <xdr:colOff>1216051</xdr:colOff>
      <xdr:row>49</xdr:row>
      <xdr:rowOff>201706</xdr:rowOff>
    </xdr:to>
    <xdr:pic>
      <xdr:nvPicPr>
        <xdr:cNvPr id="4" name="Imagen 3">
          <a:extLst>
            <a:ext uri="{FF2B5EF4-FFF2-40B4-BE49-F238E27FC236}">
              <a16:creationId xmlns:a16="http://schemas.microsoft.com/office/drawing/2014/main" id="{539FF357-B98A-4463-AEC7-FB81BC5D4A60}"/>
            </a:ext>
          </a:extLst>
        </xdr:cNvPr>
        <xdr:cNvPicPr>
          <a:picLocks noChangeAspect="1"/>
        </xdr:cNvPicPr>
      </xdr:nvPicPr>
      <xdr:blipFill>
        <a:blip xmlns:r="http://schemas.openxmlformats.org/officeDocument/2006/relationships" r:embed="rId3"/>
        <a:srcRect l="88188"/>
        <a:stretch>
          <a:fillRect/>
        </a:stretch>
      </xdr:blipFill>
      <xdr:spPr>
        <a:xfrm>
          <a:off x="10862201" y="12449274"/>
          <a:ext cx="2374400" cy="906457"/>
        </a:xfrm>
        <a:prstGeom prst="rect">
          <a:avLst/>
        </a:prstGeom>
      </xdr:spPr>
    </xdr:pic>
    <xdr:clientData/>
  </xdr:twoCellAnchor>
  <xdr:twoCellAnchor>
    <xdr:from>
      <xdr:col>9</xdr:col>
      <xdr:colOff>257737</xdr:colOff>
      <xdr:row>49</xdr:row>
      <xdr:rowOff>156882</xdr:rowOff>
    </xdr:from>
    <xdr:to>
      <xdr:col>9</xdr:col>
      <xdr:colOff>605119</xdr:colOff>
      <xdr:row>50</xdr:row>
      <xdr:rowOff>145676</xdr:rowOff>
    </xdr:to>
    <xdr:sp macro="" textlink="">
      <xdr:nvSpPr>
        <xdr:cNvPr id="5" name="Rectángulo 4">
          <a:extLst>
            <a:ext uri="{FF2B5EF4-FFF2-40B4-BE49-F238E27FC236}">
              <a16:creationId xmlns:a16="http://schemas.microsoft.com/office/drawing/2014/main" id="{EECFA7B5-4146-4C4A-9264-A392D9A54E45}"/>
            </a:ext>
          </a:extLst>
        </xdr:cNvPr>
        <xdr:cNvSpPr/>
      </xdr:nvSpPr>
      <xdr:spPr>
        <a:xfrm>
          <a:off x="13897537" y="13310907"/>
          <a:ext cx="347382" cy="274544"/>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editAs="oneCell">
    <xdr:from>
      <xdr:col>10</xdr:col>
      <xdr:colOff>0</xdr:colOff>
      <xdr:row>48</xdr:row>
      <xdr:rowOff>0</xdr:rowOff>
    </xdr:from>
    <xdr:to>
      <xdr:col>10</xdr:col>
      <xdr:colOff>304800</xdr:colOff>
      <xdr:row>49</xdr:row>
      <xdr:rowOff>19050</xdr:rowOff>
    </xdr:to>
    <xdr:sp macro="" textlink="">
      <xdr:nvSpPr>
        <xdr:cNvPr id="6" name="AutoShape 4">
          <a:extLst>
            <a:ext uri="{FF2B5EF4-FFF2-40B4-BE49-F238E27FC236}">
              <a16:creationId xmlns:a16="http://schemas.microsoft.com/office/drawing/2014/main" id="{1920A4EC-0F04-48A7-8572-76E5F13C823D}"/>
            </a:ext>
          </a:extLst>
        </xdr:cNvPr>
        <xdr:cNvSpPr>
          <a:spLocks noChangeAspect="1" noChangeArrowheads="1"/>
        </xdr:cNvSpPr>
      </xdr:nvSpPr>
      <xdr:spPr bwMode="auto">
        <a:xfrm>
          <a:off x="15259050" y="1286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1591236</xdr:colOff>
      <xdr:row>46</xdr:row>
      <xdr:rowOff>235322</xdr:rowOff>
    </xdr:from>
    <xdr:to>
      <xdr:col>11</xdr:col>
      <xdr:colOff>268380</xdr:colOff>
      <xdr:row>49</xdr:row>
      <xdr:rowOff>135029</xdr:rowOff>
    </xdr:to>
    <xdr:pic>
      <xdr:nvPicPr>
        <xdr:cNvPr id="7" name="Imagen 6">
          <a:extLst>
            <a:ext uri="{FF2B5EF4-FFF2-40B4-BE49-F238E27FC236}">
              <a16:creationId xmlns:a16="http://schemas.microsoft.com/office/drawing/2014/main" id="{BBFB014B-CFFB-4D77-84B9-16A344EC396E}"/>
            </a:ext>
          </a:extLst>
        </xdr:cNvPr>
        <xdr:cNvPicPr>
          <a:picLocks noChangeAspect="1"/>
        </xdr:cNvPicPr>
      </xdr:nvPicPr>
      <xdr:blipFill>
        <a:blip xmlns:r="http://schemas.openxmlformats.org/officeDocument/2006/relationships" r:embed="rId4"/>
        <a:stretch>
          <a:fillRect/>
        </a:stretch>
      </xdr:blipFill>
      <xdr:spPr>
        <a:xfrm>
          <a:off x="15231036" y="12532097"/>
          <a:ext cx="1791819" cy="756957"/>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xdr:from>
      <xdr:col>0</xdr:col>
      <xdr:colOff>47627</xdr:colOff>
      <xdr:row>40</xdr:row>
      <xdr:rowOff>171450</xdr:rowOff>
    </xdr:from>
    <xdr:to>
      <xdr:col>6</xdr:col>
      <xdr:colOff>866775</xdr:colOff>
      <xdr:row>54</xdr:row>
      <xdr:rowOff>142875</xdr:rowOff>
    </xdr:to>
    <xdr:graphicFrame macro="">
      <xdr:nvGraphicFramePr>
        <xdr:cNvPr id="2" name="Gráfico 1">
          <a:extLst>
            <a:ext uri="{FF2B5EF4-FFF2-40B4-BE49-F238E27FC236}">
              <a16:creationId xmlns:a16="http://schemas.microsoft.com/office/drawing/2014/main" id="{AF7DF3A3-F590-4381-963A-BBC9B35527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133030</xdr:colOff>
      <xdr:row>0</xdr:row>
      <xdr:rowOff>122465</xdr:rowOff>
    </xdr:from>
    <xdr:to>
      <xdr:col>1</xdr:col>
      <xdr:colOff>2239528</xdr:colOff>
      <xdr:row>3</xdr:row>
      <xdr:rowOff>85725</xdr:rowOff>
    </xdr:to>
    <xdr:pic>
      <xdr:nvPicPr>
        <xdr:cNvPr id="3" name="Imagen 2">
          <a:extLst>
            <a:ext uri="{FF2B5EF4-FFF2-40B4-BE49-F238E27FC236}">
              <a16:creationId xmlns:a16="http://schemas.microsoft.com/office/drawing/2014/main" id="{8C3A877A-A070-4656-9781-3B51A45BE653}"/>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3030" y="122465"/>
          <a:ext cx="2811348" cy="706210"/>
        </a:xfrm>
        <a:prstGeom prst="rect">
          <a:avLst/>
        </a:prstGeom>
      </xdr:spPr>
    </xdr:pic>
    <xdr:clientData/>
  </xdr:twoCellAnchor>
  <xdr:twoCellAnchor editAs="oneCell">
    <xdr:from>
      <xdr:col>7</xdr:col>
      <xdr:colOff>651401</xdr:colOff>
      <xdr:row>46</xdr:row>
      <xdr:rowOff>152499</xdr:rowOff>
    </xdr:from>
    <xdr:to>
      <xdr:col>8</xdr:col>
      <xdr:colOff>1216051</xdr:colOff>
      <xdr:row>49</xdr:row>
      <xdr:rowOff>201706</xdr:rowOff>
    </xdr:to>
    <xdr:pic>
      <xdr:nvPicPr>
        <xdr:cNvPr id="4" name="Imagen 3">
          <a:extLst>
            <a:ext uri="{FF2B5EF4-FFF2-40B4-BE49-F238E27FC236}">
              <a16:creationId xmlns:a16="http://schemas.microsoft.com/office/drawing/2014/main" id="{261DD9EA-2672-4967-98D8-4404082B1C30}"/>
            </a:ext>
          </a:extLst>
        </xdr:cNvPr>
        <xdr:cNvPicPr>
          <a:picLocks noChangeAspect="1"/>
        </xdr:cNvPicPr>
      </xdr:nvPicPr>
      <xdr:blipFill>
        <a:blip xmlns:r="http://schemas.openxmlformats.org/officeDocument/2006/relationships" r:embed="rId3"/>
        <a:srcRect l="88188"/>
        <a:stretch>
          <a:fillRect/>
        </a:stretch>
      </xdr:blipFill>
      <xdr:spPr>
        <a:xfrm>
          <a:off x="10862201" y="12449274"/>
          <a:ext cx="2374400" cy="906457"/>
        </a:xfrm>
        <a:prstGeom prst="rect">
          <a:avLst/>
        </a:prstGeom>
      </xdr:spPr>
    </xdr:pic>
    <xdr:clientData/>
  </xdr:twoCellAnchor>
  <xdr:twoCellAnchor>
    <xdr:from>
      <xdr:col>9</xdr:col>
      <xdr:colOff>257737</xdr:colOff>
      <xdr:row>49</xdr:row>
      <xdr:rowOff>156882</xdr:rowOff>
    </xdr:from>
    <xdr:to>
      <xdr:col>9</xdr:col>
      <xdr:colOff>605119</xdr:colOff>
      <xdr:row>50</xdr:row>
      <xdr:rowOff>145676</xdr:rowOff>
    </xdr:to>
    <xdr:sp macro="" textlink="">
      <xdr:nvSpPr>
        <xdr:cNvPr id="5" name="Rectángulo 4">
          <a:extLst>
            <a:ext uri="{FF2B5EF4-FFF2-40B4-BE49-F238E27FC236}">
              <a16:creationId xmlns:a16="http://schemas.microsoft.com/office/drawing/2014/main" id="{D2D15C57-6DF3-48FB-946F-3D48440CEBFF}"/>
            </a:ext>
          </a:extLst>
        </xdr:cNvPr>
        <xdr:cNvSpPr/>
      </xdr:nvSpPr>
      <xdr:spPr>
        <a:xfrm>
          <a:off x="13897537" y="13310907"/>
          <a:ext cx="347382" cy="274544"/>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editAs="oneCell">
    <xdr:from>
      <xdr:col>10</xdr:col>
      <xdr:colOff>0</xdr:colOff>
      <xdr:row>48</xdr:row>
      <xdr:rowOff>0</xdr:rowOff>
    </xdr:from>
    <xdr:to>
      <xdr:col>10</xdr:col>
      <xdr:colOff>304800</xdr:colOff>
      <xdr:row>49</xdr:row>
      <xdr:rowOff>19050</xdr:rowOff>
    </xdr:to>
    <xdr:sp macro="" textlink="">
      <xdr:nvSpPr>
        <xdr:cNvPr id="6" name="AutoShape 4">
          <a:extLst>
            <a:ext uri="{FF2B5EF4-FFF2-40B4-BE49-F238E27FC236}">
              <a16:creationId xmlns:a16="http://schemas.microsoft.com/office/drawing/2014/main" id="{C2B73020-0604-4A4E-AC89-B23D3B4A9981}"/>
            </a:ext>
          </a:extLst>
        </xdr:cNvPr>
        <xdr:cNvSpPr>
          <a:spLocks noChangeAspect="1" noChangeArrowheads="1"/>
        </xdr:cNvSpPr>
      </xdr:nvSpPr>
      <xdr:spPr bwMode="auto">
        <a:xfrm>
          <a:off x="15259050" y="1286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1591236</xdr:colOff>
      <xdr:row>46</xdr:row>
      <xdr:rowOff>235322</xdr:rowOff>
    </xdr:from>
    <xdr:to>
      <xdr:col>11</xdr:col>
      <xdr:colOff>268380</xdr:colOff>
      <xdr:row>49</xdr:row>
      <xdr:rowOff>135029</xdr:rowOff>
    </xdr:to>
    <xdr:pic>
      <xdr:nvPicPr>
        <xdr:cNvPr id="7" name="Imagen 6">
          <a:extLst>
            <a:ext uri="{FF2B5EF4-FFF2-40B4-BE49-F238E27FC236}">
              <a16:creationId xmlns:a16="http://schemas.microsoft.com/office/drawing/2014/main" id="{52B564D4-3137-44D0-B37A-E452BA106B45}"/>
            </a:ext>
          </a:extLst>
        </xdr:cNvPr>
        <xdr:cNvPicPr>
          <a:picLocks noChangeAspect="1"/>
        </xdr:cNvPicPr>
      </xdr:nvPicPr>
      <xdr:blipFill>
        <a:blip xmlns:r="http://schemas.openxmlformats.org/officeDocument/2006/relationships" r:embed="rId4"/>
        <a:stretch>
          <a:fillRect/>
        </a:stretch>
      </xdr:blipFill>
      <xdr:spPr>
        <a:xfrm>
          <a:off x="15231036" y="12532097"/>
          <a:ext cx="1791819" cy="756957"/>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xdr:from>
      <xdr:col>0</xdr:col>
      <xdr:colOff>47627</xdr:colOff>
      <xdr:row>40</xdr:row>
      <xdr:rowOff>171450</xdr:rowOff>
    </xdr:from>
    <xdr:to>
      <xdr:col>6</xdr:col>
      <xdr:colOff>866775</xdr:colOff>
      <xdr:row>54</xdr:row>
      <xdr:rowOff>142875</xdr:rowOff>
    </xdr:to>
    <xdr:graphicFrame macro="">
      <xdr:nvGraphicFramePr>
        <xdr:cNvPr id="2" name="Gráfico 1">
          <a:extLst>
            <a:ext uri="{FF2B5EF4-FFF2-40B4-BE49-F238E27FC236}">
              <a16:creationId xmlns:a16="http://schemas.microsoft.com/office/drawing/2014/main" id="{08435562-4B29-47CF-8D4F-F251A3198F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133030</xdr:colOff>
      <xdr:row>0</xdr:row>
      <xdr:rowOff>122465</xdr:rowOff>
    </xdr:from>
    <xdr:to>
      <xdr:col>1</xdr:col>
      <xdr:colOff>2239528</xdr:colOff>
      <xdr:row>3</xdr:row>
      <xdr:rowOff>85725</xdr:rowOff>
    </xdr:to>
    <xdr:pic>
      <xdr:nvPicPr>
        <xdr:cNvPr id="3" name="Imagen 2">
          <a:extLst>
            <a:ext uri="{FF2B5EF4-FFF2-40B4-BE49-F238E27FC236}">
              <a16:creationId xmlns:a16="http://schemas.microsoft.com/office/drawing/2014/main" id="{E5FBB7B5-FF41-4B9C-A796-0A74B68514F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3030" y="122465"/>
          <a:ext cx="2811348" cy="706210"/>
        </a:xfrm>
        <a:prstGeom prst="rect">
          <a:avLst/>
        </a:prstGeom>
      </xdr:spPr>
    </xdr:pic>
    <xdr:clientData/>
  </xdr:twoCellAnchor>
  <xdr:twoCellAnchor editAs="oneCell">
    <xdr:from>
      <xdr:col>7</xdr:col>
      <xdr:colOff>651401</xdr:colOff>
      <xdr:row>46</xdr:row>
      <xdr:rowOff>152499</xdr:rowOff>
    </xdr:from>
    <xdr:to>
      <xdr:col>8</xdr:col>
      <xdr:colOff>1216051</xdr:colOff>
      <xdr:row>49</xdr:row>
      <xdr:rowOff>201706</xdr:rowOff>
    </xdr:to>
    <xdr:pic>
      <xdr:nvPicPr>
        <xdr:cNvPr id="4" name="Imagen 3">
          <a:extLst>
            <a:ext uri="{FF2B5EF4-FFF2-40B4-BE49-F238E27FC236}">
              <a16:creationId xmlns:a16="http://schemas.microsoft.com/office/drawing/2014/main" id="{3799D2F4-29DA-4D8B-AF3F-771106DA6500}"/>
            </a:ext>
          </a:extLst>
        </xdr:cNvPr>
        <xdr:cNvPicPr>
          <a:picLocks noChangeAspect="1"/>
        </xdr:cNvPicPr>
      </xdr:nvPicPr>
      <xdr:blipFill>
        <a:blip xmlns:r="http://schemas.openxmlformats.org/officeDocument/2006/relationships" r:embed="rId3"/>
        <a:srcRect l="88188"/>
        <a:stretch>
          <a:fillRect/>
        </a:stretch>
      </xdr:blipFill>
      <xdr:spPr>
        <a:xfrm>
          <a:off x="10862201" y="12449274"/>
          <a:ext cx="2374400" cy="906457"/>
        </a:xfrm>
        <a:prstGeom prst="rect">
          <a:avLst/>
        </a:prstGeom>
      </xdr:spPr>
    </xdr:pic>
    <xdr:clientData/>
  </xdr:twoCellAnchor>
  <xdr:twoCellAnchor>
    <xdr:from>
      <xdr:col>9</xdr:col>
      <xdr:colOff>257737</xdr:colOff>
      <xdr:row>49</xdr:row>
      <xdr:rowOff>156882</xdr:rowOff>
    </xdr:from>
    <xdr:to>
      <xdr:col>9</xdr:col>
      <xdr:colOff>605119</xdr:colOff>
      <xdr:row>50</xdr:row>
      <xdr:rowOff>145676</xdr:rowOff>
    </xdr:to>
    <xdr:sp macro="" textlink="">
      <xdr:nvSpPr>
        <xdr:cNvPr id="5" name="Rectángulo 4">
          <a:extLst>
            <a:ext uri="{FF2B5EF4-FFF2-40B4-BE49-F238E27FC236}">
              <a16:creationId xmlns:a16="http://schemas.microsoft.com/office/drawing/2014/main" id="{D4CACD5B-69AD-45B8-8FD9-07E2ACF26929}"/>
            </a:ext>
          </a:extLst>
        </xdr:cNvPr>
        <xdr:cNvSpPr/>
      </xdr:nvSpPr>
      <xdr:spPr>
        <a:xfrm>
          <a:off x="13897537" y="13310907"/>
          <a:ext cx="347382" cy="274544"/>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editAs="oneCell">
    <xdr:from>
      <xdr:col>10</xdr:col>
      <xdr:colOff>0</xdr:colOff>
      <xdr:row>48</xdr:row>
      <xdr:rowOff>0</xdr:rowOff>
    </xdr:from>
    <xdr:to>
      <xdr:col>10</xdr:col>
      <xdr:colOff>304800</xdr:colOff>
      <xdr:row>49</xdr:row>
      <xdr:rowOff>19050</xdr:rowOff>
    </xdr:to>
    <xdr:sp macro="" textlink="">
      <xdr:nvSpPr>
        <xdr:cNvPr id="6" name="AutoShape 4">
          <a:extLst>
            <a:ext uri="{FF2B5EF4-FFF2-40B4-BE49-F238E27FC236}">
              <a16:creationId xmlns:a16="http://schemas.microsoft.com/office/drawing/2014/main" id="{B2C82576-E10C-4022-985A-9B2AB629CE3C}"/>
            </a:ext>
          </a:extLst>
        </xdr:cNvPr>
        <xdr:cNvSpPr>
          <a:spLocks noChangeAspect="1" noChangeArrowheads="1"/>
        </xdr:cNvSpPr>
      </xdr:nvSpPr>
      <xdr:spPr bwMode="auto">
        <a:xfrm>
          <a:off x="15259050" y="1286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1591236</xdr:colOff>
      <xdr:row>46</xdr:row>
      <xdr:rowOff>235322</xdr:rowOff>
    </xdr:from>
    <xdr:to>
      <xdr:col>11</xdr:col>
      <xdr:colOff>268380</xdr:colOff>
      <xdr:row>49</xdr:row>
      <xdr:rowOff>135029</xdr:rowOff>
    </xdr:to>
    <xdr:pic>
      <xdr:nvPicPr>
        <xdr:cNvPr id="7" name="Imagen 6">
          <a:extLst>
            <a:ext uri="{FF2B5EF4-FFF2-40B4-BE49-F238E27FC236}">
              <a16:creationId xmlns:a16="http://schemas.microsoft.com/office/drawing/2014/main" id="{480E0D73-9B15-470F-935F-B72948102408}"/>
            </a:ext>
          </a:extLst>
        </xdr:cNvPr>
        <xdr:cNvPicPr>
          <a:picLocks noChangeAspect="1"/>
        </xdr:cNvPicPr>
      </xdr:nvPicPr>
      <xdr:blipFill>
        <a:blip xmlns:r="http://schemas.openxmlformats.org/officeDocument/2006/relationships" r:embed="rId4"/>
        <a:stretch>
          <a:fillRect/>
        </a:stretch>
      </xdr:blipFill>
      <xdr:spPr>
        <a:xfrm>
          <a:off x="15231036" y="12532097"/>
          <a:ext cx="1791819" cy="756957"/>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xdr:from>
      <xdr:col>0</xdr:col>
      <xdr:colOff>47627</xdr:colOff>
      <xdr:row>40</xdr:row>
      <xdr:rowOff>171450</xdr:rowOff>
    </xdr:from>
    <xdr:to>
      <xdr:col>6</xdr:col>
      <xdr:colOff>866775</xdr:colOff>
      <xdr:row>54</xdr:row>
      <xdr:rowOff>142875</xdr:rowOff>
    </xdr:to>
    <xdr:graphicFrame macro="">
      <xdr:nvGraphicFramePr>
        <xdr:cNvPr id="2" name="Gráfico 1">
          <a:extLst>
            <a:ext uri="{FF2B5EF4-FFF2-40B4-BE49-F238E27FC236}">
              <a16:creationId xmlns:a16="http://schemas.microsoft.com/office/drawing/2014/main" id="{39429F18-EBD4-4312-82DB-F1311C414A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133030</xdr:colOff>
      <xdr:row>0</xdr:row>
      <xdr:rowOff>122465</xdr:rowOff>
    </xdr:from>
    <xdr:to>
      <xdr:col>1</xdr:col>
      <xdr:colOff>2239528</xdr:colOff>
      <xdr:row>3</xdr:row>
      <xdr:rowOff>85725</xdr:rowOff>
    </xdr:to>
    <xdr:pic>
      <xdr:nvPicPr>
        <xdr:cNvPr id="3" name="Imagen 2">
          <a:extLst>
            <a:ext uri="{FF2B5EF4-FFF2-40B4-BE49-F238E27FC236}">
              <a16:creationId xmlns:a16="http://schemas.microsoft.com/office/drawing/2014/main" id="{7D9D7591-0274-427C-89F4-7793F1C4B043}"/>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3030" y="122465"/>
          <a:ext cx="2811348" cy="706210"/>
        </a:xfrm>
        <a:prstGeom prst="rect">
          <a:avLst/>
        </a:prstGeom>
      </xdr:spPr>
    </xdr:pic>
    <xdr:clientData/>
  </xdr:twoCellAnchor>
  <xdr:twoCellAnchor editAs="oneCell">
    <xdr:from>
      <xdr:col>7</xdr:col>
      <xdr:colOff>651401</xdr:colOff>
      <xdr:row>46</xdr:row>
      <xdr:rowOff>152499</xdr:rowOff>
    </xdr:from>
    <xdr:to>
      <xdr:col>8</xdr:col>
      <xdr:colOff>1216051</xdr:colOff>
      <xdr:row>49</xdr:row>
      <xdr:rowOff>201706</xdr:rowOff>
    </xdr:to>
    <xdr:pic>
      <xdr:nvPicPr>
        <xdr:cNvPr id="4" name="Imagen 3">
          <a:extLst>
            <a:ext uri="{FF2B5EF4-FFF2-40B4-BE49-F238E27FC236}">
              <a16:creationId xmlns:a16="http://schemas.microsoft.com/office/drawing/2014/main" id="{F7A6F223-02A7-4693-A588-B43BDCD53F37}"/>
            </a:ext>
          </a:extLst>
        </xdr:cNvPr>
        <xdr:cNvPicPr>
          <a:picLocks noChangeAspect="1"/>
        </xdr:cNvPicPr>
      </xdr:nvPicPr>
      <xdr:blipFill>
        <a:blip xmlns:r="http://schemas.openxmlformats.org/officeDocument/2006/relationships" r:embed="rId3"/>
        <a:srcRect l="88188"/>
        <a:stretch>
          <a:fillRect/>
        </a:stretch>
      </xdr:blipFill>
      <xdr:spPr>
        <a:xfrm>
          <a:off x="10862201" y="12449274"/>
          <a:ext cx="2374400" cy="906457"/>
        </a:xfrm>
        <a:prstGeom prst="rect">
          <a:avLst/>
        </a:prstGeom>
      </xdr:spPr>
    </xdr:pic>
    <xdr:clientData/>
  </xdr:twoCellAnchor>
  <xdr:twoCellAnchor>
    <xdr:from>
      <xdr:col>9</xdr:col>
      <xdr:colOff>257737</xdr:colOff>
      <xdr:row>49</xdr:row>
      <xdr:rowOff>156882</xdr:rowOff>
    </xdr:from>
    <xdr:to>
      <xdr:col>9</xdr:col>
      <xdr:colOff>605119</xdr:colOff>
      <xdr:row>50</xdr:row>
      <xdr:rowOff>145676</xdr:rowOff>
    </xdr:to>
    <xdr:sp macro="" textlink="">
      <xdr:nvSpPr>
        <xdr:cNvPr id="5" name="Rectángulo 4">
          <a:extLst>
            <a:ext uri="{FF2B5EF4-FFF2-40B4-BE49-F238E27FC236}">
              <a16:creationId xmlns:a16="http://schemas.microsoft.com/office/drawing/2014/main" id="{51A56064-FF15-4FE9-949F-11A712A81FDA}"/>
            </a:ext>
          </a:extLst>
        </xdr:cNvPr>
        <xdr:cNvSpPr/>
      </xdr:nvSpPr>
      <xdr:spPr>
        <a:xfrm>
          <a:off x="13897537" y="13310907"/>
          <a:ext cx="347382" cy="274544"/>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editAs="oneCell">
    <xdr:from>
      <xdr:col>10</xdr:col>
      <xdr:colOff>0</xdr:colOff>
      <xdr:row>48</xdr:row>
      <xdr:rowOff>0</xdr:rowOff>
    </xdr:from>
    <xdr:to>
      <xdr:col>10</xdr:col>
      <xdr:colOff>304800</xdr:colOff>
      <xdr:row>49</xdr:row>
      <xdr:rowOff>19050</xdr:rowOff>
    </xdr:to>
    <xdr:sp macro="" textlink="">
      <xdr:nvSpPr>
        <xdr:cNvPr id="6" name="AutoShape 4">
          <a:extLst>
            <a:ext uri="{FF2B5EF4-FFF2-40B4-BE49-F238E27FC236}">
              <a16:creationId xmlns:a16="http://schemas.microsoft.com/office/drawing/2014/main" id="{C7C91D7E-D232-4D8F-B68D-BFD98AB10B29}"/>
            </a:ext>
          </a:extLst>
        </xdr:cNvPr>
        <xdr:cNvSpPr>
          <a:spLocks noChangeAspect="1" noChangeArrowheads="1"/>
        </xdr:cNvSpPr>
      </xdr:nvSpPr>
      <xdr:spPr bwMode="auto">
        <a:xfrm>
          <a:off x="15259050" y="1286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1591236</xdr:colOff>
      <xdr:row>46</xdr:row>
      <xdr:rowOff>235322</xdr:rowOff>
    </xdr:from>
    <xdr:to>
      <xdr:col>11</xdr:col>
      <xdr:colOff>268380</xdr:colOff>
      <xdr:row>49</xdr:row>
      <xdr:rowOff>135029</xdr:rowOff>
    </xdr:to>
    <xdr:pic>
      <xdr:nvPicPr>
        <xdr:cNvPr id="7" name="Imagen 6">
          <a:extLst>
            <a:ext uri="{FF2B5EF4-FFF2-40B4-BE49-F238E27FC236}">
              <a16:creationId xmlns:a16="http://schemas.microsoft.com/office/drawing/2014/main" id="{E3071CA4-A489-41DB-9FAF-BA33E82C6D63}"/>
            </a:ext>
          </a:extLst>
        </xdr:cNvPr>
        <xdr:cNvPicPr>
          <a:picLocks noChangeAspect="1"/>
        </xdr:cNvPicPr>
      </xdr:nvPicPr>
      <xdr:blipFill>
        <a:blip xmlns:r="http://schemas.openxmlformats.org/officeDocument/2006/relationships" r:embed="rId4"/>
        <a:stretch>
          <a:fillRect/>
        </a:stretch>
      </xdr:blipFill>
      <xdr:spPr>
        <a:xfrm>
          <a:off x="15231036" y="12532097"/>
          <a:ext cx="1791819" cy="756957"/>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xdr:from>
      <xdr:col>0</xdr:col>
      <xdr:colOff>47627</xdr:colOff>
      <xdr:row>40</xdr:row>
      <xdr:rowOff>171450</xdr:rowOff>
    </xdr:from>
    <xdr:to>
      <xdr:col>6</xdr:col>
      <xdr:colOff>866775</xdr:colOff>
      <xdr:row>54</xdr:row>
      <xdr:rowOff>142875</xdr:rowOff>
    </xdr:to>
    <xdr:graphicFrame macro="">
      <xdr:nvGraphicFramePr>
        <xdr:cNvPr id="2" name="Gráfico 1">
          <a:extLst>
            <a:ext uri="{FF2B5EF4-FFF2-40B4-BE49-F238E27FC236}">
              <a16:creationId xmlns:a16="http://schemas.microsoft.com/office/drawing/2014/main" id="{8F01B186-E6C1-4E79-8D4B-FC2CE2EF94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133030</xdr:colOff>
      <xdr:row>0</xdr:row>
      <xdr:rowOff>122465</xdr:rowOff>
    </xdr:from>
    <xdr:to>
      <xdr:col>1</xdr:col>
      <xdr:colOff>2239528</xdr:colOff>
      <xdr:row>3</xdr:row>
      <xdr:rowOff>85725</xdr:rowOff>
    </xdr:to>
    <xdr:pic>
      <xdr:nvPicPr>
        <xdr:cNvPr id="3" name="Imagen 2">
          <a:extLst>
            <a:ext uri="{FF2B5EF4-FFF2-40B4-BE49-F238E27FC236}">
              <a16:creationId xmlns:a16="http://schemas.microsoft.com/office/drawing/2014/main" id="{8992C355-92AD-491F-A7C8-A8F484AAC45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3030" y="122465"/>
          <a:ext cx="2811348" cy="706210"/>
        </a:xfrm>
        <a:prstGeom prst="rect">
          <a:avLst/>
        </a:prstGeom>
      </xdr:spPr>
    </xdr:pic>
    <xdr:clientData/>
  </xdr:twoCellAnchor>
  <xdr:twoCellAnchor editAs="oneCell">
    <xdr:from>
      <xdr:col>7</xdr:col>
      <xdr:colOff>651401</xdr:colOff>
      <xdr:row>46</xdr:row>
      <xdr:rowOff>152499</xdr:rowOff>
    </xdr:from>
    <xdr:to>
      <xdr:col>8</xdr:col>
      <xdr:colOff>1216051</xdr:colOff>
      <xdr:row>49</xdr:row>
      <xdr:rowOff>201706</xdr:rowOff>
    </xdr:to>
    <xdr:pic>
      <xdr:nvPicPr>
        <xdr:cNvPr id="4" name="Imagen 3">
          <a:extLst>
            <a:ext uri="{FF2B5EF4-FFF2-40B4-BE49-F238E27FC236}">
              <a16:creationId xmlns:a16="http://schemas.microsoft.com/office/drawing/2014/main" id="{23756080-113F-4F9A-922E-9BF4AB2B1413}"/>
            </a:ext>
          </a:extLst>
        </xdr:cNvPr>
        <xdr:cNvPicPr>
          <a:picLocks noChangeAspect="1"/>
        </xdr:cNvPicPr>
      </xdr:nvPicPr>
      <xdr:blipFill>
        <a:blip xmlns:r="http://schemas.openxmlformats.org/officeDocument/2006/relationships" r:embed="rId3"/>
        <a:srcRect l="88188"/>
        <a:stretch>
          <a:fillRect/>
        </a:stretch>
      </xdr:blipFill>
      <xdr:spPr>
        <a:xfrm>
          <a:off x="10862201" y="12449274"/>
          <a:ext cx="2374400" cy="906457"/>
        </a:xfrm>
        <a:prstGeom prst="rect">
          <a:avLst/>
        </a:prstGeom>
      </xdr:spPr>
    </xdr:pic>
    <xdr:clientData/>
  </xdr:twoCellAnchor>
  <xdr:twoCellAnchor>
    <xdr:from>
      <xdr:col>9</xdr:col>
      <xdr:colOff>257737</xdr:colOff>
      <xdr:row>49</xdr:row>
      <xdr:rowOff>156882</xdr:rowOff>
    </xdr:from>
    <xdr:to>
      <xdr:col>9</xdr:col>
      <xdr:colOff>605119</xdr:colOff>
      <xdr:row>50</xdr:row>
      <xdr:rowOff>145676</xdr:rowOff>
    </xdr:to>
    <xdr:sp macro="" textlink="">
      <xdr:nvSpPr>
        <xdr:cNvPr id="5" name="Rectángulo 4">
          <a:extLst>
            <a:ext uri="{FF2B5EF4-FFF2-40B4-BE49-F238E27FC236}">
              <a16:creationId xmlns:a16="http://schemas.microsoft.com/office/drawing/2014/main" id="{CB801F36-A515-42CC-A18D-B97E3463131B}"/>
            </a:ext>
          </a:extLst>
        </xdr:cNvPr>
        <xdr:cNvSpPr/>
      </xdr:nvSpPr>
      <xdr:spPr>
        <a:xfrm>
          <a:off x="13897537" y="13310907"/>
          <a:ext cx="347382" cy="274544"/>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editAs="oneCell">
    <xdr:from>
      <xdr:col>10</xdr:col>
      <xdr:colOff>0</xdr:colOff>
      <xdr:row>48</xdr:row>
      <xdr:rowOff>0</xdr:rowOff>
    </xdr:from>
    <xdr:to>
      <xdr:col>10</xdr:col>
      <xdr:colOff>304800</xdr:colOff>
      <xdr:row>49</xdr:row>
      <xdr:rowOff>19050</xdr:rowOff>
    </xdr:to>
    <xdr:sp macro="" textlink="">
      <xdr:nvSpPr>
        <xdr:cNvPr id="6" name="AutoShape 4">
          <a:extLst>
            <a:ext uri="{FF2B5EF4-FFF2-40B4-BE49-F238E27FC236}">
              <a16:creationId xmlns:a16="http://schemas.microsoft.com/office/drawing/2014/main" id="{8EDBCCEA-F160-4C75-85C6-CE96DF51A5D9}"/>
            </a:ext>
          </a:extLst>
        </xdr:cNvPr>
        <xdr:cNvSpPr>
          <a:spLocks noChangeAspect="1" noChangeArrowheads="1"/>
        </xdr:cNvSpPr>
      </xdr:nvSpPr>
      <xdr:spPr bwMode="auto">
        <a:xfrm>
          <a:off x="15259050" y="1286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1591236</xdr:colOff>
      <xdr:row>46</xdr:row>
      <xdr:rowOff>235322</xdr:rowOff>
    </xdr:from>
    <xdr:to>
      <xdr:col>11</xdr:col>
      <xdr:colOff>268380</xdr:colOff>
      <xdr:row>49</xdr:row>
      <xdr:rowOff>135029</xdr:rowOff>
    </xdr:to>
    <xdr:pic>
      <xdr:nvPicPr>
        <xdr:cNvPr id="7" name="Imagen 6">
          <a:extLst>
            <a:ext uri="{FF2B5EF4-FFF2-40B4-BE49-F238E27FC236}">
              <a16:creationId xmlns:a16="http://schemas.microsoft.com/office/drawing/2014/main" id="{861BC03D-CA4D-4C49-AE28-529A2EB4E3AA}"/>
            </a:ext>
          </a:extLst>
        </xdr:cNvPr>
        <xdr:cNvPicPr>
          <a:picLocks noChangeAspect="1"/>
        </xdr:cNvPicPr>
      </xdr:nvPicPr>
      <xdr:blipFill>
        <a:blip xmlns:r="http://schemas.openxmlformats.org/officeDocument/2006/relationships" r:embed="rId4"/>
        <a:stretch>
          <a:fillRect/>
        </a:stretch>
      </xdr:blipFill>
      <xdr:spPr>
        <a:xfrm>
          <a:off x="15231036" y="12532097"/>
          <a:ext cx="1791819" cy="756957"/>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xdr:from>
      <xdr:col>0</xdr:col>
      <xdr:colOff>47627</xdr:colOff>
      <xdr:row>40</xdr:row>
      <xdr:rowOff>171450</xdr:rowOff>
    </xdr:from>
    <xdr:to>
      <xdr:col>6</xdr:col>
      <xdr:colOff>866775</xdr:colOff>
      <xdr:row>54</xdr:row>
      <xdr:rowOff>142875</xdr:rowOff>
    </xdr:to>
    <xdr:graphicFrame macro="">
      <xdr:nvGraphicFramePr>
        <xdr:cNvPr id="2" name="Gráfico 1">
          <a:extLst>
            <a:ext uri="{FF2B5EF4-FFF2-40B4-BE49-F238E27FC236}">
              <a16:creationId xmlns:a16="http://schemas.microsoft.com/office/drawing/2014/main" id="{D90141B6-E165-4260-9CF7-0383132133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133030</xdr:colOff>
      <xdr:row>0</xdr:row>
      <xdr:rowOff>122465</xdr:rowOff>
    </xdr:from>
    <xdr:to>
      <xdr:col>1</xdr:col>
      <xdr:colOff>2239528</xdr:colOff>
      <xdr:row>3</xdr:row>
      <xdr:rowOff>85725</xdr:rowOff>
    </xdr:to>
    <xdr:pic>
      <xdr:nvPicPr>
        <xdr:cNvPr id="3" name="Imagen 2">
          <a:extLst>
            <a:ext uri="{FF2B5EF4-FFF2-40B4-BE49-F238E27FC236}">
              <a16:creationId xmlns:a16="http://schemas.microsoft.com/office/drawing/2014/main" id="{37238A5E-DE47-417B-B303-58BB2F0BB085}"/>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3030" y="122465"/>
          <a:ext cx="2811348" cy="706210"/>
        </a:xfrm>
        <a:prstGeom prst="rect">
          <a:avLst/>
        </a:prstGeom>
      </xdr:spPr>
    </xdr:pic>
    <xdr:clientData/>
  </xdr:twoCellAnchor>
  <xdr:twoCellAnchor editAs="oneCell">
    <xdr:from>
      <xdr:col>7</xdr:col>
      <xdr:colOff>651401</xdr:colOff>
      <xdr:row>46</xdr:row>
      <xdr:rowOff>152499</xdr:rowOff>
    </xdr:from>
    <xdr:to>
      <xdr:col>8</xdr:col>
      <xdr:colOff>1216051</xdr:colOff>
      <xdr:row>49</xdr:row>
      <xdr:rowOff>201706</xdr:rowOff>
    </xdr:to>
    <xdr:pic>
      <xdr:nvPicPr>
        <xdr:cNvPr id="4" name="Imagen 3">
          <a:extLst>
            <a:ext uri="{FF2B5EF4-FFF2-40B4-BE49-F238E27FC236}">
              <a16:creationId xmlns:a16="http://schemas.microsoft.com/office/drawing/2014/main" id="{51702DCE-CCD3-4A6A-8977-0175F3E33C5A}"/>
            </a:ext>
          </a:extLst>
        </xdr:cNvPr>
        <xdr:cNvPicPr>
          <a:picLocks noChangeAspect="1"/>
        </xdr:cNvPicPr>
      </xdr:nvPicPr>
      <xdr:blipFill>
        <a:blip xmlns:r="http://schemas.openxmlformats.org/officeDocument/2006/relationships" r:embed="rId3"/>
        <a:srcRect l="88188"/>
        <a:stretch>
          <a:fillRect/>
        </a:stretch>
      </xdr:blipFill>
      <xdr:spPr>
        <a:xfrm>
          <a:off x="10862201" y="12449274"/>
          <a:ext cx="2374400" cy="906457"/>
        </a:xfrm>
        <a:prstGeom prst="rect">
          <a:avLst/>
        </a:prstGeom>
      </xdr:spPr>
    </xdr:pic>
    <xdr:clientData/>
  </xdr:twoCellAnchor>
  <xdr:twoCellAnchor>
    <xdr:from>
      <xdr:col>9</xdr:col>
      <xdr:colOff>257737</xdr:colOff>
      <xdr:row>49</xdr:row>
      <xdr:rowOff>156882</xdr:rowOff>
    </xdr:from>
    <xdr:to>
      <xdr:col>9</xdr:col>
      <xdr:colOff>605119</xdr:colOff>
      <xdr:row>50</xdr:row>
      <xdr:rowOff>145676</xdr:rowOff>
    </xdr:to>
    <xdr:sp macro="" textlink="">
      <xdr:nvSpPr>
        <xdr:cNvPr id="5" name="Rectángulo 4">
          <a:extLst>
            <a:ext uri="{FF2B5EF4-FFF2-40B4-BE49-F238E27FC236}">
              <a16:creationId xmlns:a16="http://schemas.microsoft.com/office/drawing/2014/main" id="{85D1052F-C5D8-490A-9447-7552657B4433}"/>
            </a:ext>
          </a:extLst>
        </xdr:cNvPr>
        <xdr:cNvSpPr/>
      </xdr:nvSpPr>
      <xdr:spPr>
        <a:xfrm>
          <a:off x="13897537" y="13310907"/>
          <a:ext cx="347382" cy="274544"/>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editAs="oneCell">
    <xdr:from>
      <xdr:col>10</xdr:col>
      <xdr:colOff>0</xdr:colOff>
      <xdr:row>48</xdr:row>
      <xdr:rowOff>0</xdr:rowOff>
    </xdr:from>
    <xdr:to>
      <xdr:col>10</xdr:col>
      <xdr:colOff>304800</xdr:colOff>
      <xdr:row>49</xdr:row>
      <xdr:rowOff>19050</xdr:rowOff>
    </xdr:to>
    <xdr:sp macro="" textlink="">
      <xdr:nvSpPr>
        <xdr:cNvPr id="6" name="AutoShape 4">
          <a:extLst>
            <a:ext uri="{FF2B5EF4-FFF2-40B4-BE49-F238E27FC236}">
              <a16:creationId xmlns:a16="http://schemas.microsoft.com/office/drawing/2014/main" id="{D02B5DC3-28E0-433D-A0B7-A9336FB78A0E}"/>
            </a:ext>
          </a:extLst>
        </xdr:cNvPr>
        <xdr:cNvSpPr>
          <a:spLocks noChangeAspect="1" noChangeArrowheads="1"/>
        </xdr:cNvSpPr>
      </xdr:nvSpPr>
      <xdr:spPr bwMode="auto">
        <a:xfrm>
          <a:off x="15259050" y="1286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1591236</xdr:colOff>
      <xdr:row>46</xdr:row>
      <xdr:rowOff>235322</xdr:rowOff>
    </xdr:from>
    <xdr:to>
      <xdr:col>11</xdr:col>
      <xdr:colOff>268380</xdr:colOff>
      <xdr:row>49</xdr:row>
      <xdr:rowOff>135029</xdr:rowOff>
    </xdr:to>
    <xdr:pic>
      <xdr:nvPicPr>
        <xdr:cNvPr id="7" name="Imagen 6">
          <a:extLst>
            <a:ext uri="{FF2B5EF4-FFF2-40B4-BE49-F238E27FC236}">
              <a16:creationId xmlns:a16="http://schemas.microsoft.com/office/drawing/2014/main" id="{560A99AB-13D1-40E8-BFAF-F1EEAE03505F}"/>
            </a:ext>
          </a:extLst>
        </xdr:cNvPr>
        <xdr:cNvPicPr>
          <a:picLocks noChangeAspect="1"/>
        </xdr:cNvPicPr>
      </xdr:nvPicPr>
      <xdr:blipFill>
        <a:blip xmlns:r="http://schemas.openxmlformats.org/officeDocument/2006/relationships" r:embed="rId4"/>
        <a:stretch>
          <a:fillRect/>
        </a:stretch>
      </xdr:blipFill>
      <xdr:spPr>
        <a:xfrm>
          <a:off x="15231036" y="12532097"/>
          <a:ext cx="1791819" cy="756957"/>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xdr:from>
      <xdr:col>0</xdr:col>
      <xdr:colOff>47627</xdr:colOff>
      <xdr:row>40</xdr:row>
      <xdr:rowOff>171450</xdr:rowOff>
    </xdr:from>
    <xdr:to>
      <xdr:col>6</xdr:col>
      <xdr:colOff>866775</xdr:colOff>
      <xdr:row>54</xdr:row>
      <xdr:rowOff>142875</xdr:rowOff>
    </xdr:to>
    <xdr:graphicFrame macro="">
      <xdr:nvGraphicFramePr>
        <xdr:cNvPr id="2" name="Gráfico 1">
          <a:extLst>
            <a:ext uri="{FF2B5EF4-FFF2-40B4-BE49-F238E27FC236}">
              <a16:creationId xmlns:a16="http://schemas.microsoft.com/office/drawing/2014/main" id="{66CB5CC1-0C1E-43E1-9329-0E5D12EF63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133030</xdr:colOff>
      <xdr:row>0</xdr:row>
      <xdr:rowOff>122465</xdr:rowOff>
    </xdr:from>
    <xdr:to>
      <xdr:col>1</xdr:col>
      <xdr:colOff>2239528</xdr:colOff>
      <xdr:row>3</xdr:row>
      <xdr:rowOff>85725</xdr:rowOff>
    </xdr:to>
    <xdr:pic>
      <xdr:nvPicPr>
        <xdr:cNvPr id="3" name="Imagen 2">
          <a:extLst>
            <a:ext uri="{FF2B5EF4-FFF2-40B4-BE49-F238E27FC236}">
              <a16:creationId xmlns:a16="http://schemas.microsoft.com/office/drawing/2014/main" id="{03AE250D-D6DA-4D50-9806-9C0C9606CB4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3030" y="122465"/>
          <a:ext cx="2811348" cy="706210"/>
        </a:xfrm>
        <a:prstGeom prst="rect">
          <a:avLst/>
        </a:prstGeom>
      </xdr:spPr>
    </xdr:pic>
    <xdr:clientData/>
  </xdr:twoCellAnchor>
  <xdr:twoCellAnchor editAs="oneCell">
    <xdr:from>
      <xdr:col>7</xdr:col>
      <xdr:colOff>651401</xdr:colOff>
      <xdr:row>46</xdr:row>
      <xdr:rowOff>152499</xdr:rowOff>
    </xdr:from>
    <xdr:to>
      <xdr:col>8</xdr:col>
      <xdr:colOff>1216051</xdr:colOff>
      <xdr:row>49</xdr:row>
      <xdr:rowOff>201706</xdr:rowOff>
    </xdr:to>
    <xdr:pic>
      <xdr:nvPicPr>
        <xdr:cNvPr id="4" name="Imagen 3">
          <a:extLst>
            <a:ext uri="{FF2B5EF4-FFF2-40B4-BE49-F238E27FC236}">
              <a16:creationId xmlns:a16="http://schemas.microsoft.com/office/drawing/2014/main" id="{D8718ADE-8003-45CE-857D-C47547B56897}"/>
            </a:ext>
          </a:extLst>
        </xdr:cNvPr>
        <xdr:cNvPicPr>
          <a:picLocks noChangeAspect="1"/>
        </xdr:cNvPicPr>
      </xdr:nvPicPr>
      <xdr:blipFill>
        <a:blip xmlns:r="http://schemas.openxmlformats.org/officeDocument/2006/relationships" r:embed="rId3"/>
        <a:srcRect l="88188"/>
        <a:stretch>
          <a:fillRect/>
        </a:stretch>
      </xdr:blipFill>
      <xdr:spPr>
        <a:xfrm>
          <a:off x="10862201" y="12449274"/>
          <a:ext cx="2374400" cy="906457"/>
        </a:xfrm>
        <a:prstGeom prst="rect">
          <a:avLst/>
        </a:prstGeom>
      </xdr:spPr>
    </xdr:pic>
    <xdr:clientData/>
  </xdr:twoCellAnchor>
  <xdr:twoCellAnchor>
    <xdr:from>
      <xdr:col>9</xdr:col>
      <xdr:colOff>257737</xdr:colOff>
      <xdr:row>49</xdr:row>
      <xdr:rowOff>156882</xdr:rowOff>
    </xdr:from>
    <xdr:to>
      <xdr:col>9</xdr:col>
      <xdr:colOff>605119</xdr:colOff>
      <xdr:row>50</xdr:row>
      <xdr:rowOff>145676</xdr:rowOff>
    </xdr:to>
    <xdr:sp macro="" textlink="">
      <xdr:nvSpPr>
        <xdr:cNvPr id="5" name="Rectángulo 4">
          <a:extLst>
            <a:ext uri="{FF2B5EF4-FFF2-40B4-BE49-F238E27FC236}">
              <a16:creationId xmlns:a16="http://schemas.microsoft.com/office/drawing/2014/main" id="{DF489D04-FDDF-4DE2-8930-E3BAE295D65E}"/>
            </a:ext>
          </a:extLst>
        </xdr:cNvPr>
        <xdr:cNvSpPr/>
      </xdr:nvSpPr>
      <xdr:spPr>
        <a:xfrm>
          <a:off x="13897537" y="13310907"/>
          <a:ext cx="347382" cy="274544"/>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editAs="oneCell">
    <xdr:from>
      <xdr:col>10</xdr:col>
      <xdr:colOff>0</xdr:colOff>
      <xdr:row>48</xdr:row>
      <xdr:rowOff>0</xdr:rowOff>
    </xdr:from>
    <xdr:to>
      <xdr:col>10</xdr:col>
      <xdr:colOff>304800</xdr:colOff>
      <xdr:row>49</xdr:row>
      <xdr:rowOff>19050</xdr:rowOff>
    </xdr:to>
    <xdr:sp macro="" textlink="">
      <xdr:nvSpPr>
        <xdr:cNvPr id="6" name="AutoShape 4">
          <a:extLst>
            <a:ext uri="{FF2B5EF4-FFF2-40B4-BE49-F238E27FC236}">
              <a16:creationId xmlns:a16="http://schemas.microsoft.com/office/drawing/2014/main" id="{E59F81FD-7E26-4E35-B080-1946096AE582}"/>
            </a:ext>
          </a:extLst>
        </xdr:cNvPr>
        <xdr:cNvSpPr>
          <a:spLocks noChangeAspect="1" noChangeArrowheads="1"/>
        </xdr:cNvSpPr>
      </xdr:nvSpPr>
      <xdr:spPr bwMode="auto">
        <a:xfrm>
          <a:off x="15259050" y="1286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1591236</xdr:colOff>
      <xdr:row>46</xdr:row>
      <xdr:rowOff>235322</xdr:rowOff>
    </xdr:from>
    <xdr:to>
      <xdr:col>11</xdr:col>
      <xdr:colOff>268380</xdr:colOff>
      <xdr:row>49</xdr:row>
      <xdr:rowOff>135029</xdr:rowOff>
    </xdr:to>
    <xdr:pic>
      <xdr:nvPicPr>
        <xdr:cNvPr id="7" name="Imagen 6">
          <a:extLst>
            <a:ext uri="{FF2B5EF4-FFF2-40B4-BE49-F238E27FC236}">
              <a16:creationId xmlns:a16="http://schemas.microsoft.com/office/drawing/2014/main" id="{D3A2A325-2188-4BBA-A0E0-CBDEC2473CA1}"/>
            </a:ext>
          </a:extLst>
        </xdr:cNvPr>
        <xdr:cNvPicPr>
          <a:picLocks noChangeAspect="1"/>
        </xdr:cNvPicPr>
      </xdr:nvPicPr>
      <xdr:blipFill>
        <a:blip xmlns:r="http://schemas.openxmlformats.org/officeDocument/2006/relationships" r:embed="rId4"/>
        <a:stretch>
          <a:fillRect/>
        </a:stretch>
      </xdr:blipFill>
      <xdr:spPr>
        <a:xfrm>
          <a:off x="15231036" y="12532097"/>
          <a:ext cx="1791819" cy="756957"/>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xdr:from>
      <xdr:col>0</xdr:col>
      <xdr:colOff>47627</xdr:colOff>
      <xdr:row>40</xdr:row>
      <xdr:rowOff>171450</xdr:rowOff>
    </xdr:from>
    <xdr:to>
      <xdr:col>6</xdr:col>
      <xdr:colOff>866775</xdr:colOff>
      <xdr:row>54</xdr:row>
      <xdr:rowOff>142875</xdr:rowOff>
    </xdr:to>
    <xdr:graphicFrame macro="">
      <xdr:nvGraphicFramePr>
        <xdr:cNvPr id="2" name="Gráfico 1">
          <a:extLst>
            <a:ext uri="{FF2B5EF4-FFF2-40B4-BE49-F238E27FC236}">
              <a16:creationId xmlns:a16="http://schemas.microsoft.com/office/drawing/2014/main" id="{673C1C62-1E3B-4CDE-BECD-1D782A45EC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133030</xdr:colOff>
      <xdr:row>0</xdr:row>
      <xdr:rowOff>122465</xdr:rowOff>
    </xdr:from>
    <xdr:to>
      <xdr:col>1</xdr:col>
      <xdr:colOff>2239528</xdr:colOff>
      <xdr:row>3</xdr:row>
      <xdr:rowOff>85725</xdr:rowOff>
    </xdr:to>
    <xdr:pic>
      <xdr:nvPicPr>
        <xdr:cNvPr id="3" name="Imagen 2">
          <a:extLst>
            <a:ext uri="{FF2B5EF4-FFF2-40B4-BE49-F238E27FC236}">
              <a16:creationId xmlns:a16="http://schemas.microsoft.com/office/drawing/2014/main" id="{EA8F177D-2EFA-4325-8726-1F70AB75E4B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3030" y="122465"/>
          <a:ext cx="2811348" cy="706210"/>
        </a:xfrm>
        <a:prstGeom prst="rect">
          <a:avLst/>
        </a:prstGeom>
      </xdr:spPr>
    </xdr:pic>
    <xdr:clientData/>
  </xdr:twoCellAnchor>
  <xdr:twoCellAnchor editAs="oneCell">
    <xdr:from>
      <xdr:col>7</xdr:col>
      <xdr:colOff>651401</xdr:colOff>
      <xdr:row>46</xdr:row>
      <xdr:rowOff>152499</xdr:rowOff>
    </xdr:from>
    <xdr:to>
      <xdr:col>8</xdr:col>
      <xdr:colOff>1216051</xdr:colOff>
      <xdr:row>49</xdr:row>
      <xdr:rowOff>201706</xdr:rowOff>
    </xdr:to>
    <xdr:pic>
      <xdr:nvPicPr>
        <xdr:cNvPr id="4" name="Imagen 3">
          <a:extLst>
            <a:ext uri="{FF2B5EF4-FFF2-40B4-BE49-F238E27FC236}">
              <a16:creationId xmlns:a16="http://schemas.microsoft.com/office/drawing/2014/main" id="{B1C15354-D99F-40CA-B8CF-9252ABC8ECBF}"/>
            </a:ext>
          </a:extLst>
        </xdr:cNvPr>
        <xdr:cNvPicPr>
          <a:picLocks noChangeAspect="1"/>
        </xdr:cNvPicPr>
      </xdr:nvPicPr>
      <xdr:blipFill>
        <a:blip xmlns:r="http://schemas.openxmlformats.org/officeDocument/2006/relationships" r:embed="rId3"/>
        <a:srcRect l="88188"/>
        <a:stretch>
          <a:fillRect/>
        </a:stretch>
      </xdr:blipFill>
      <xdr:spPr>
        <a:xfrm>
          <a:off x="10862201" y="12449274"/>
          <a:ext cx="2374400" cy="906457"/>
        </a:xfrm>
        <a:prstGeom prst="rect">
          <a:avLst/>
        </a:prstGeom>
      </xdr:spPr>
    </xdr:pic>
    <xdr:clientData/>
  </xdr:twoCellAnchor>
  <xdr:twoCellAnchor>
    <xdr:from>
      <xdr:col>9</xdr:col>
      <xdr:colOff>257737</xdr:colOff>
      <xdr:row>49</xdr:row>
      <xdr:rowOff>156882</xdr:rowOff>
    </xdr:from>
    <xdr:to>
      <xdr:col>9</xdr:col>
      <xdr:colOff>605119</xdr:colOff>
      <xdr:row>50</xdr:row>
      <xdr:rowOff>145676</xdr:rowOff>
    </xdr:to>
    <xdr:sp macro="" textlink="">
      <xdr:nvSpPr>
        <xdr:cNvPr id="5" name="Rectángulo 4">
          <a:extLst>
            <a:ext uri="{FF2B5EF4-FFF2-40B4-BE49-F238E27FC236}">
              <a16:creationId xmlns:a16="http://schemas.microsoft.com/office/drawing/2014/main" id="{0AF67FD2-4027-46F7-9ECD-A503DE52815B}"/>
            </a:ext>
          </a:extLst>
        </xdr:cNvPr>
        <xdr:cNvSpPr/>
      </xdr:nvSpPr>
      <xdr:spPr>
        <a:xfrm>
          <a:off x="13897537" y="13310907"/>
          <a:ext cx="347382" cy="274544"/>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editAs="oneCell">
    <xdr:from>
      <xdr:col>10</xdr:col>
      <xdr:colOff>0</xdr:colOff>
      <xdr:row>48</xdr:row>
      <xdr:rowOff>0</xdr:rowOff>
    </xdr:from>
    <xdr:to>
      <xdr:col>10</xdr:col>
      <xdr:colOff>304800</xdr:colOff>
      <xdr:row>49</xdr:row>
      <xdr:rowOff>19050</xdr:rowOff>
    </xdr:to>
    <xdr:sp macro="" textlink="">
      <xdr:nvSpPr>
        <xdr:cNvPr id="6" name="AutoShape 4">
          <a:extLst>
            <a:ext uri="{FF2B5EF4-FFF2-40B4-BE49-F238E27FC236}">
              <a16:creationId xmlns:a16="http://schemas.microsoft.com/office/drawing/2014/main" id="{9A761C96-142F-44AF-A13B-7BDD296E3BF1}"/>
            </a:ext>
          </a:extLst>
        </xdr:cNvPr>
        <xdr:cNvSpPr>
          <a:spLocks noChangeAspect="1" noChangeArrowheads="1"/>
        </xdr:cNvSpPr>
      </xdr:nvSpPr>
      <xdr:spPr bwMode="auto">
        <a:xfrm>
          <a:off x="15259050" y="1286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1591236</xdr:colOff>
      <xdr:row>46</xdr:row>
      <xdr:rowOff>235322</xdr:rowOff>
    </xdr:from>
    <xdr:to>
      <xdr:col>11</xdr:col>
      <xdr:colOff>268380</xdr:colOff>
      <xdr:row>49</xdr:row>
      <xdr:rowOff>135029</xdr:rowOff>
    </xdr:to>
    <xdr:pic>
      <xdr:nvPicPr>
        <xdr:cNvPr id="7" name="Imagen 6">
          <a:extLst>
            <a:ext uri="{FF2B5EF4-FFF2-40B4-BE49-F238E27FC236}">
              <a16:creationId xmlns:a16="http://schemas.microsoft.com/office/drawing/2014/main" id="{DE6C6D4E-4F52-4B0A-99FB-4A6AF4C9AEC5}"/>
            </a:ext>
          </a:extLst>
        </xdr:cNvPr>
        <xdr:cNvPicPr>
          <a:picLocks noChangeAspect="1"/>
        </xdr:cNvPicPr>
      </xdr:nvPicPr>
      <xdr:blipFill>
        <a:blip xmlns:r="http://schemas.openxmlformats.org/officeDocument/2006/relationships" r:embed="rId4"/>
        <a:stretch>
          <a:fillRect/>
        </a:stretch>
      </xdr:blipFill>
      <xdr:spPr>
        <a:xfrm>
          <a:off x="15231036" y="12532097"/>
          <a:ext cx="1791819" cy="756957"/>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xdr:from>
      <xdr:col>0</xdr:col>
      <xdr:colOff>47627</xdr:colOff>
      <xdr:row>40</xdr:row>
      <xdr:rowOff>171450</xdr:rowOff>
    </xdr:from>
    <xdr:to>
      <xdr:col>6</xdr:col>
      <xdr:colOff>866775</xdr:colOff>
      <xdr:row>54</xdr:row>
      <xdr:rowOff>142875</xdr:rowOff>
    </xdr:to>
    <xdr:graphicFrame macro="">
      <xdr:nvGraphicFramePr>
        <xdr:cNvPr id="2" name="Gráfico 1">
          <a:extLst>
            <a:ext uri="{FF2B5EF4-FFF2-40B4-BE49-F238E27FC236}">
              <a16:creationId xmlns:a16="http://schemas.microsoft.com/office/drawing/2014/main" id="{3AB27A9C-4DCD-44A4-B53D-3BE398F319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133030</xdr:colOff>
      <xdr:row>0</xdr:row>
      <xdr:rowOff>122465</xdr:rowOff>
    </xdr:from>
    <xdr:to>
      <xdr:col>1</xdr:col>
      <xdr:colOff>2239528</xdr:colOff>
      <xdr:row>3</xdr:row>
      <xdr:rowOff>85725</xdr:rowOff>
    </xdr:to>
    <xdr:pic>
      <xdr:nvPicPr>
        <xdr:cNvPr id="3" name="Imagen 2">
          <a:extLst>
            <a:ext uri="{FF2B5EF4-FFF2-40B4-BE49-F238E27FC236}">
              <a16:creationId xmlns:a16="http://schemas.microsoft.com/office/drawing/2014/main" id="{3924E35A-6510-43D2-BC9D-C27C5124F66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3030" y="122465"/>
          <a:ext cx="2811348" cy="706210"/>
        </a:xfrm>
        <a:prstGeom prst="rect">
          <a:avLst/>
        </a:prstGeom>
      </xdr:spPr>
    </xdr:pic>
    <xdr:clientData/>
  </xdr:twoCellAnchor>
  <xdr:twoCellAnchor editAs="oneCell">
    <xdr:from>
      <xdr:col>7</xdr:col>
      <xdr:colOff>651401</xdr:colOff>
      <xdr:row>46</xdr:row>
      <xdr:rowOff>152499</xdr:rowOff>
    </xdr:from>
    <xdr:to>
      <xdr:col>8</xdr:col>
      <xdr:colOff>1216051</xdr:colOff>
      <xdr:row>49</xdr:row>
      <xdr:rowOff>201706</xdr:rowOff>
    </xdr:to>
    <xdr:pic>
      <xdr:nvPicPr>
        <xdr:cNvPr id="4" name="Imagen 3">
          <a:extLst>
            <a:ext uri="{FF2B5EF4-FFF2-40B4-BE49-F238E27FC236}">
              <a16:creationId xmlns:a16="http://schemas.microsoft.com/office/drawing/2014/main" id="{D5BF5460-3EE7-45A1-9A9F-BE3BA23A6DD6}"/>
            </a:ext>
          </a:extLst>
        </xdr:cNvPr>
        <xdr:cNvPicPr>
          <a:picLocks noChangeAspect="1"/>
        </xdr:cNvPicPr>
      </xdr:nvPicPr>
      <xdr:blipFill>
        <a:blip xmlns:r="http://schemas.openxmlformats.org/officeDocument/2006/relationships" r:embed="rId3"/>
        <a:srcRect l="88188"/>
        <a:stretch>
          <a:fillRect/>
        </a:stretch>
      </xdr:blipFill>
      <xdr:spPr>
        <a:xfrm>
          <a:off x="10862201" y="12449274"/>
          <a:ext cx="2374400" cy="906457"/>
        </a:xfrm>
        <a:prstGeom prst="rect">
          <a:avLst/>
        </a:prstGeom>
      </xdr:spPr>
    </xdr:pic>
    <xdr:clientData/>
  </xdr:twoCellAnchor>
  <xdr:twoCellAnchor>
    <xdr:from>
      <xdr:col>9</xdr:col>
      <xdr:colOff>257737</xdr:colOff>
      <xdr:row>49</xdr:row>
      <xdr:rowOff>156882</xdr:rowOff>
    </xdr:from>
    <xdr:to>
      <xdr:col>9</xdr:col>
      <xdr:colOff>605119</xdr:colOff>
      <xdr:row>50</xdr:row>
      <xdr:rowOff>145676</xdr:rowOff>
    </xdr:to>
    <xdr:sp macro="" textlink="">
      <xdr:nvSpPr>
        <xdr:cNvPr id="5" name="Rectángulo 4">
          <a:extLst>
            <a:ext uri="{FF2B5EF4-FFF2-40B4-BE49-F238E27FC236}">
              <a16:creationId xmlns:a16="http://schemas.microsoft.com/office/drawing/2014/main" id="{426BDC52-5417-4F48-9A5B-7FC0F5B5BB72}"/>
            </a:ext>
          </a:extLst>
        </xdr:cNvPr>
        <xdr:cNvSpPr/>
      </xdr:nvSpPr>
      <xdr:spPr>
        <a:xfrm>
          <a:off x="13897537" y="13310907"/>
          <a:ext cx="347382" cy="274544"/>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editAs="oneCell">
    <xdr:from>
      <xdr:col>10</xdr:col>
      <xdr:colOff>0</xdr:colOff>
      <xdr:row>48</xdr:row>
      <xdr:rowOff>0</xdr:rowOff>
    </xdr:from>
    <xdr:to>
      <xdr:col>10</xdr:col>
      <xdr:colOff>304800</xdr:colOff>
      <xdr:row>49</xdr:row>
      <xdr:rowOff>19050</xdr:rowOff>
    </xdr:to>
    <xdr:sp macro="" textlink="">
      <xdr:nvSpPr>
        <xdr:cNvPr id="6" name="AutoShape 4">
          <a:extLst>
            <a:ext uri="{FF2B5EF4-FFF2-40B4-BE49-F238E27FC236}">
              <a16:creationId xmlns:a16="http://schemas.microsoft.com/office/drawing/2014/main" id="{103044C1-C29C-454E-BB49-9BB46E4177EC}"/>
            </a:ext>
          </a:extLst>
        </xdr:cNvPr>
        <xdr:cNvSpPr>
          <a:spLocks noChangeAspect="1" noChangeArrowheads="1"/>
        </xdr:cNvSpPr>
      </xdr:nvSpPr>
      <xdr:spPr bwMode="auto">
        <a:xfrm>
          <a:off x="15259050" y="1286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1591236</xdr:colOff>
      <xdr:row>46</xdr:row>
      <xdr:rowOff>235322</xdr:rowOff>
    </xdr:from>
    <xdr:to>
      <xdr:col>11</xdr:col>
      <xdr:colOff>268380</xdr:colOff>
      <xdr:row>49</xdr:row>
      <xdr:rowOff>135029</xdr:rowOff>
    </xdr:to>
    <xdr:pic>
      <xdr:nvPicPr>
        <xdr:cNvPr id="7" name="Imagen 6">
          <a:extLst>
            <a:ext uri="{FF2B5EF4-FFF2-40B4-BE49-F238E27FC236}">
              <a16:creationId xmlns:a16="http://schemas.microsoft.com/office/drawing/2014/main" id="{DC95A50C-5789-48CA-AD26-AE0ACF68EB93}"/>
            </a:ext>
          </a:extLst>
        </xdr:cNvPr>
        <xdr:cNvPicPr>
          <a:picLocks noChangeAspect="1"/>
        </xdr:cNvPicPr>
      </xdr:nvPicPr>
      <xdr:blipFill>
        <a:blip xmlns:r="http://schemas.openxmlformats.org/officeDocument/2006/relationships" r:embed="rId4"/>
        <a:stretch>
          <a:fillRect/>
        </a:stretch>
      </xdr:blipFill>
      <xdr:spPr>
        <a:xfrm>
          <a:off x="15231036" y="12532097"/>
          <a:ext cx="1791819" cy="756957"/>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xdr:from>
      <xdr:col>0</xdr:col>
      <xdr:colOff>47627</xdr:colOff>
      <xdr:row>40</xdr:row>
      <xdr:rowOff>171450</xdr:rowOff>
    </xdr:from>
    <xdr:to>
      <xdr:col>6</xdr:col>
      <xdr:colOff>866775</xdr:colOff>
      <xdr:row>54</xdr:row>
      <xdr:rowOff>142875</xdr:rowOff>
    </xdr:to>
    <xdr:graphicFrame macro="">
      <xdr:nvGraphicFramePr>
        <xdr:cNvPr id="2" name="Gráfico 1">
          <a:extLst>
            <a:ext uri="{FF2B5EF4-FFF2-40B4-BE49-F238E27FC236}">
              <a16:creationId xmlns:a16="http://schemas.microsoft.com/office/drawing/2014/main" id="{FD0CF47C-9F32-4BE7-8750-90E8D865D5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133030</xdr:colOff>
      <xdr:row>0</xdr:row>
      <xdr:rowOff>122465</xdr:rowOff>
    </xdr:from>
    <xdr:to>
      <xdr:col>1</xdr:col>
      <xdr:colOff>2239528</xdr:colOff>
      <xdr:row>3</xdr:row>
      <xdr:rowOff>85725</xdr:rowOff>
    </xdr:to>
    <xdr:pic>
      <xdr:nvPicPr>
        <xdr:cNvPr id="3" name="Imagen 2">
          <a:extLst>
            <a:ext uri="{FF2B5EF4-FFF2-40B4-BE49-F238E27FC236}">
              <a16:creationId xmlns:a16="http://schemas.microsoft.com/office/drawing/2014/main" id="{8222569E-369D-4E75-AE2D-498AEF3E621F}"/>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3030" y="122465"/>
          <a:ext cx="2811348" cy="706210"/>
        </a:xfrm>
        <a:prstGeom prst="rect">
          <a:avLst/>
        </a:prstGeom>
      </xdr:spPr>
    </xdr:pic>
    <xdr:clientData/>
  </xdr:twoCellAnchor>
  <xdr:twoCellAnchor editAs="oneCell">
    <xdr:from>
      <xdr:col>7</xdr:col>
      <xdr:colOff>651401</xdr:colOff>
      <xdr:row>46</xdr:row>
      <xdr:rowOff>152499</xdr:rowOff>
    </xdr:from>
    <xdr:to>
      <xdr:col>8</xdr:col>
      <xdr:colOff>1216051</xdr:colOff>
      <xdr:row>49</xdr:row>
      <xdr:rowOff>201706</xdr:rowOff>
    </xdr:to>
    <xdr:pic>
      <xdr:nvPicPr>
        <xdr:cNvPr id="4" name="Imagen 3">
          <a:extLst>
            <a:ext uri="{FF2B5EF4-FFF2-40B4-BE49-F238E27FC236}">
              <a16:creationId xmlns:a16="http://schemas.microsoft.com/office/drawing/2014/main" id="{279C5997-5B08-46DA-AD5B-0F096F14673A}"/>
            </a:ext>
          </a:extLst>
        </xdr:cNvPr>
        <xdr:cNvPicPr>
          <a:picLocks noChangeAspect="1"/>
        </xdr:cNvPicPr>
      </xdr:nvPicPr>
      <xdr:blipFill>
        <a:blip xmlns:r="http://schemas.openxmlformats.org/officeDocument/2006/relationships" r:embed="rId3"/>
        <a:srcRect l="88188"/>
        <a:stretch>
          <a:fillRect/>
        </a:stretch>
      </xdr:blipFill>
      <xdr:spPr>
        <a:xfrm>
          <a:off x="10862201" y="12449274"/>
          <a:ext cx="2374400" cy="906457"/>
        </a:xfrm>
        <a:prstGeom prst="rect">
          <a:avLst/>
        </a:prstGeom>
      </xdr:spPr>
    </xdr:pic>
    <xdr:clientData/>
  </xdr:twoCellAnchor>
  <xdr:twoCellAnchor>
    <xdr:from>
      <xdr:col>9</xdr:col>
      <xdr:colOff>257737</xdr:colOff>
      <xdr:row>49</xdr:row>
      <xdr:rowOff>156882</xdr:rowOff>
    </xdr:from>
    <xdr:to>
      <xdr:col>9</xdr:col>
      <xdr:colOff>605119</xdr:colOff>
      <xdr:row>50</xdr:row>
      <xdr:rowOff>145676</xdr:rowOff>
    </xdr:to>
    <xdr:sp macro="" textlink="">
      <xdr:nvSpPr>
        <xdr:cNvPr id="5" name="Rectángulo 4">
          <a:extLst>
            <a:ext uri="{FF2B5EF4-FFF2-40B4-BE49-F238E27FC236}">
              <a16:creationId xmlns:a16="http://schemas.microsoft.com/office/drawing/2014/main" id="{29CC12E0-E6D5-4620-9408-ABBCA305C9FE}"/>
            </a:ext>
          </a:extLst>
        </xdr:cNvPr>
        <xdr:cNvSpPr/>
      </xdr:nvSpPr>
      <xdr:spPr>
        <a:xfrm>
          <a:off x="13897537" y="13310907"/>
          <a:ext cx="347382" cy="274544"/>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editAs="oneCell">
    <xdr:from>
      <xdr:col>10</xdr:col>
      <xdr:colOff>0</xdr:colOff>
      <xdr:row>48</xdr:row>
      <xdr:rowOff>0</xdr:rowOff>
    </xdr:from>
    <xdr:to>
      <xdr:col>10</xdr:col>
      <xdr:colOff>304800</xdr:colOff>
      <xdr:row>49</xdr:row>
      <xdr:rowOff>19050</xdr:rowOff>
    </xdr:to>
    <xdr:sp macro="" textlink="">
      <xdr:nvSpPr>
        <xdr:cNvPr id="6" name="AutoShape 4">
          <a:extLst>
            <a:ext uri="{FF2B5EF4-FFF2-40B4-BE49-F238E27FC236}">
              <a16:creationId xmlns:a16="http://schemas.microsoft.com/office/drawing/2014/main" id="{DBFC3425-F8EE-418E-B5E8-B526C8E89F7C}"/>
            </a:ext>
          </a:extLst>
        </xdr:cNvPr>
        <xdr:cNvSpPr>
          <a:spLocks noChangeAspect="1" noChangeArrowheads="1"/>
        </xdr:cNvSpPr>
      </xdr:nvSpPr>
      <xdr:spPr bwMode="auto">
        <a:xfrm>
          <a:off x="15259050" y="1286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1591236</xdr:colOff>
      <xdr:row>46</xdr:row>
      <xdr:rowOff>235322</xdr:rowOff>
    </xdr:from>
    <xdr:to>
      <xdr:col>11</xdr:col>
      <xdr:colOff>268380</xdr:colOff>
      <xdr:row>49</xdr:row>
      <xdr:rowOff>135029</xdr:rowOff>
    </xdr:to>
    <xdr:pic>
      <xdr:nvPicPr>
        <xdr:cNvPr id="7" name="Imagen 6">
          <a:extLst>
            <a:ext uri="{FF2B5EF4-FFF2-40B4-BE49-F238E27FC236}">
              <a16:creationId xmlns:a16="http://schemas.microsoft.com/office/drawing/2014/main" id="{2AD72282-D7FD-4FC2-A27B-FA2BFAB70C04}"/>
            </a:ext>
          </a:extLst>
        </xdr:cNvPr>
        <xdr:cNvPicPr>
          <a:picLocks noChangeAspect="1"/>
        </xdr:cNvPicPr>
      </xdr:nvPicPr>
      <xdr:blipFill>
        <a:blip xmlns:r="http://schemas.openxmlformats.org/officeDocument/2006/relationships" r:embed="rId4"/>
        <a:stretch>
          <a:fillRect/>
        </a:stretch>
      </xdr:blipFill>
      <xdr:spPr>
        <a:xfrm>
          <a:off x="15231036" y="12532097"/>
          <a:ext cx="1791819" cy="756957"/>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xdr:from>
      <xdr:col>0</xdr:col>
      <xdr:colOff>47627</xdr:colOff>
      <xdr:row>40</xdr:row>
      <xdr:rowOff>171450</xdr:rowOff>
    </xdr:from>
    <xdr:to>
      <xdr:col>6</xdr:col>
      <xdr:colOff>866775</xdr:colOff>
      <xdr:row>54</xdr:row>
      <xdr:rowOff>142875</xdr:rowOff>
    </xdr:to>
    <xdr:graphicFrame macro="">
      <xdr:nvGraphicFramePr>
        <xdr:cNvPr id="2" name="Gráfico 1">
          <a:extLst>
            <a:ext uri="{FF2B5EF4-FFF2-40B4-BE49-F238E27FC236}">
              <a16:creationId xmlns:a16="http://schemas.microsoft.com/office/drawing/2014/main" id="{ADE0684B-3921-4555-8FFF-4147064E28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133030</xdr:colOff>
      <xdr:row>0</xdr:row>
      <xdr:rowOff>122465</xdr:rowOff>
    </xdr:from>
    <xdr:to>
      <xdr:col>1</xdr:col>
      <xdr:colOff>2239528</xdr:colOff>
      <xdr:row>3</xdr:row>
      <xdr:rowOff>85725</xdr:rowOff>
    </xdr:to>
    <xdr:pic>
      <xdr:nvPicPr>
        <xdr:cNvPr id="3" name="Imagen 2">
          <a:extLst>
            <a:ext uri="{FF2B5EF4-FFF2-40B4-BE49-F238E27FC236}">
              <a16:creationId xmlns:a16="http://schemas.microsoft.com/office/drawing/2014/main" id="{7D94C268-3EB2-42AA-9181-45CB741E1A4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3030" y="122465"/>
          <a:ext cx="2811348" cy="706210"/>
        </a:xfrm>
        <a:prstGeom prst="rect">
          <a:avLst/>
        </a:prstGeom>
      </xdr:spPr>
    </xdr:pic>
    <xdr:clientData/>
  </xdr:twoCellAnchor>
  <xdr:twoCellAnchor editAs="oneCell">
    <xdr:from>
      <xdr:col>7</xdr:col>
      <xdr:colOff>651401</xdr:colOff>
      <xdr:row>46</xdr:row>
      <xdr:rowOff>152499</xdr:rowOff>
    </xdr:from>
    <xdr:to>
      <xdr:col>8</xdr:col>
      <xdr:colOff>1216051</xdr:colOff>
      <xdr:row>49</xdr:row>
      <xdr:rowOff>201706</xdr:rowOff>
    </xdr:to>
    <xdr:pic>
      <xdr:nvPicPr>
        <xdr:cNvPr id="4" name="Imagen 3">
          <a:extLst>
            <a:ext uri="{FF2B5EF4-FFF2-40B4-BE49-F238E27FC236}">
              <a16:creationId xmlns:a16="http://schemas.microsoft.com/office/drawing/2014/main" id="{DF3B3928-63FA-4360-8D14-FB2A99B01B42}"/>
            </a:ext>
          </a:extLst>
        </xdr:cNvPr>
        <xdr:cNvPicPr>
          <a:picLocks noChangeAspect="1"/>
        </xdr:cNvPicPr>
      </xdr:nvPicPr>
      <xdr:blipFill>
        <a:blip xmlns:r="http://schemas.openxmlformats.org/officeDocument/2006/relationships" r:embed="rId3"/>
        <a:srcRect l="88188"/>
        <a:stretch>
          <a:fillRect/>
        </a:stretch>
      </xdr:blipFill>
      <xdr:spPr>
        <a:xfrm>
          <a:off x="10862201" y="12449274"/>
          <a:ext cx="2374400" cy="906457"/>
        </a:xfrm>
        <a:prstGeom prst="rect">
          <a:avLst/>
        </a:prstGeom>
      </xdr:spPr>
    </xdr:pic>
    <xdr:clientData/>
  </xdr:twoCellAnchor>
  <xdr:twoCellAnchor>
    <xdr:from>
      <xdr:col>9</xdr:col>
      <xdr:colOff>257737</xdr:colOff>
      <xdr:row>49</xdr:row>
      <xdr:rowOff>156882</xdr:rowOff>
    </xdr:from>
    <xdr:to>
      <xdr:col>9</xdr:col>
      <xdr:colOff>605119</xdr:colOff>
      <xdr:row>50</xdr:row>
      <xdr:rowOff>145676</xdr:rowOff>
    </xdr:to>
    <xdr:sp macro="" textlink="">
      <xdr:nvSpPr>
        <xdr:cNvPr id="5" name="Rectángulo 4">
          <a:extLst>
            <a:ext uri="{FF2B5EF4-FFF2-40B4-BE49-F238E27FC236}">
              <a16:creationId xmlns:a16="http://schemas.microsoft.com/office/drawing/2014/main" id="{8B9A0B80-071F-44CC-9309-AEB907947279}"/>
            </a:ext>
          </a:extLst>
        </xdr:cNvPr>
        <xdr:cNvSpPr/>
      </xdr:nvSpPr>
      <xdr:spPr>
        <a:xfrm>
          <a:off x="13897537" y="13310907"/>
          <a:ext cx="347382" cy="274544"/>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editAs="oneCell">
    <xdr:from>
      <xdr:col>10</xdr:col>
      <xdr:colOff>0</xdr:colOff>
      <xdr:row>48</xdr:row>
      <xdr:rowOff>0</xdr:rowOff>
    </xdr:from>
    <xdr:to>
      <xdr:col>10</xdr:col>
      <xdr:colOff>304800</xdr:colOff>
      <xdr:row>49</xdr:row>
      <xdr:rowOff>19050</xdr:rowOff>
    </xdr:to>
    <xdr:sp macro="" textlink="">
      <xdr:nvSpPr>
        <xdr:cNvPr id="6" name="AutoShape 4">
          <a:extLst>
            <a:ext uri="{FF2B5EF4-FFF2-40B4-BE49-F238E27FC236}">
              <a16:creationId xmlns:a16="http://schemas.microsoft.com/office/drawing/2014/main" id="{DA0F44E6-82E5-444F-ADF2-491755CFD5E4}"/>
            </a:ext>
          </a:extLst>
        </xdr:cNvPr>
        <xdr:cNvSpPr>
          <a:spLocks noChangeAspect="1" noChangeArrowheads="1"/>
        </xdr:cNvSpPr>
      </xdr:nvSpPr>
      <xdr:spPr bwMode="auto">
        <a:xfrm>
          <a:off x="15259050" y="1286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1591236</xdr:colOff>
      <xdr:row>46</xdr:row>
      <xdr:rowOff>235322</xdr:rowOff>
    </xdr:from>
    <xdr:to>
      <xdr:col>11</xdr:col>
      <xdr:colOff>268380</xdr:colOff>
      <xdr:row>49</xdr:row>
      <xdr:rowOff>135029</xdr:rowOff>
    </xdr:to>
    <xdr:pic>
      <xdr:nvPicPr>
        <xdr:cNvPr id="7" name="Imagen 6">
          <a:extLst>
            <a:ext uri="{FF2B5EF4-FFF2-40B4-BE49-F238E27FC236}">
              <a16:creationId xmlns:a16="http://schemas.microsoft.com/office/drawing/2014/main" id="{1C1E7865-8C9F-45A0-8991-93AB1A96A0AC}"/>
            </a:ext>
          </a:extLst>
        </xdr:cNvPr>
        <xdr:cNvPicPr>
          <a:picLocks noChangeAspect="1"/>
        </xdr:cNvPicPr>
      </xdr:nvPicPr>
      <xdr:blipFill>
        <a:blip xmlns:r="http://schemas.openxmlformats.org/officeDocument/2006/relationships" r:embed="rId4"/>
        <a:stretch>
          <a:fillRect/>
        </a:stretch>
      </xdr:blipFill>
      <xdr:spPr>
        <a:xfrm>
          <a:off x="15231036" y="12532097"/>
          <a:ext cx="1791819" cy="756957"/>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xdr:from>
      <xdr:col>0</xdr:col>
      <xdr:colOff>47627</xdr:colOff>
      <xdr:row>40</xdr:row>
      <xdr:rowOff>171450</xdr:rowOff>
    </xdr:from>
    <xdr:to>
      <xdr:col>6</xdr:col>
      <xdr:colOff>866775</xdr:colOff>
      <xdr:row>54</xdr:row>
      <xdr:rowOff>142875</xdr:rowOff>
    </xdr:to>
    <xdr:graphicFrame macro="">
      <xdr:nvGraphicFramePr>
        <xdr:cNvPr id="2" name="Gráfico 1">
          <a:extLst>
            <a:ext uri="{FF2B5EF4-FFF2-40B4-BE49-F238E27FC236}">
              <a16:creationId xmlns:a16="http://schemas.microsoft.com/office/drawing/2014/main" id="{8452D37E-4EF3-42A2-A475-762CEBD6A7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133030</xdr:colOff>
      <xdr:row>0</xdr:row>
      <xdr:rowOff>122465</xdr:rowOff>
    </xdr:from>
    <xdr:to>
      <xdr:col>1</xdr:col>
      <xdr:colOff>2239528</xdr:colOff>
      <xdr:row>3</xdr:row>
      <xdr:rowOff>85725</xdr:rowOff>
    </xdr:to>
    <xdr:pic>
      <xdr:nvPicPr>
        <xdr:cNvPr id="3" name="Imagen 2">
          <a:extLst>
            <a:ext uri="{FF2B5EF4-FFF2-40B4-BE49-F238E27FC236}">
              <a16:creationId xmlns:a16="http://schemas.microsoft.com/office/drawing/2014/main" id="{1A1474DD-165D-498D-8A9C-27D883A3AE3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3030" y="122465"/>
          <a:ext cx="2811348" cy="706210"/>
        </a:xfrm>
        <a:prstGeom prst="rect">
          <a:avLst/>
        </a:prstGeom>
      </xdr:spPr>
    </xdr:pic>
    <xdr:clientData/>
  </xdr:twoCellAnchor>
  <xdr:twoCellAnchor editAs="oneCell">
    <xdr:from>
      <xdr:col>7</xdr:col>
      <xdr:colOff>651401</xdr:colOff>
      <xdr:row>46</xdr:row>
      <xdr:rowOff>152499</xdr:rowOff>
    </xdr:from>
    <xdr:to>
      <xdr:col>8</xdr:col>
      <xdr:colOff>1216051</xdr:colOff>
      <xdr:row>49</xdr:row>
      <xdr:rowOff>201706</xdr:rowOff>
    </xdr:to>
    <xdr:pic>
      <xdr:nvPicPr>
        <xdr:cNvPr id="4" name="Imagen 3">
          <a:extLst>
            <a:ext uri="{FF2B5EF4-FFF2-40B4-BE49-F238E27FC236}">
              <a16:creationId xmlns:a16="http://schemas.microsoft.com/office/drawing/2014/main" id="{BE371F83-BAE5-417C-B2BC-4510510897AB}"/>
            </a:ext>
          </a:extLst>
        </xdr:cNvPr>
        <xdr:cNvPicPr>
          <a:picLocks noChangeAspect="1"/>
        </xdr:cNvPicPr>
      </xdr:nvPicPr>
      <xdr:blipFill>
        <a:blip xmlns:r="http://schemas.openxmlformats.org/officeDocument/2006/relationships" r:embed="rId3"/>
        <a:srcRect l="88188"/>
        <a:stretch>
          <a:fillRect/>
        </a:stretch>
      </xdr:blipFill>
      <xdr:spPr>
        <a:xfrm>
          <a:off x="10862201" y="12449274"/>
          <a:ext cx="2374400" cy="906457"/>
        </a:xfrm>
        <a:prstGeom prst="rect">
          <a:avLst/>
        </a:prstGeom>
      </xdr:spPr>
    </xdr:pic>
    <xdr:clientData/>
  </xdr:twoCellAnchor>
  <xdr:twoCellAnchor>
    <xdr:from>
      <xdr:col>9</xdr:col>
      <xdr:colOff>257737</xdr:colOff>
      <xdr:row>49</xdr:row>
      <xdr:rowOff>156882</xdr:rowOff>
    </xdr:from>
    <xdr:to>
      <xdr:col>9</xdr:col>
      <xdr:colOff>605119</xdr:colOff>
      <xdr:row>50</xdr:row>
      <xdr:rowOff>145676</xdr:rowOff>
    </xdr:to>
    <xdr:sp macro="" textlink="">
      <xdr:nvSpPr>
        <xdr:cNvPr id="5" name="Rectángulo 4">
          <a:extLst>
            <a:ext uri="{FF2B5EF4-FFF2-40B4-BE49-F238E27FC236}">
              <a16:creationId xmlns:a16="http://schemas.microsoft.com/office/drawing/2014/main" id="{5717A3EE-FF95-4229-8712-8A5D08D66ADF}"/>
            </a:ext>
          </a:extLst>
        </xdr:cNvPr>
        <xdr:cNvSpPr/>
      </xdr:nvSpPr>
      <xdr:spPr>
        <a:xfrm>
          <a:off x="13897537" y="13310907"/>
          <a:ext cx="347382" cy="274544"/>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editAs="oneCell">
    <xdr:from>
      <xdr:col>10</xdr:col>
      <xdr:colOff>0</xdr:colOff>
      <xdr:row>48</xdr:row>
      <xdr:rowOff>0</xdr:rowOff>
    </xdr:from>
    <xdr:to>
      <xdr:col>10</xdr:col>
      <xdr:colOff>304800</xdr:colOff>
      <xdr:row>49</xdr:row>
      <xdr:rowOff>19050</xdr:rowOff>
    </xdr:to>
    <xdr:sp macro="" textlink="">
      <xdr:nvSpPr>
        <xdr:cNvPr id="6" name="AutoShape 4">
          <a:extLst>
            <a:ext uri="{FF2B5EF4-FFF2-40B4-BE49-F238E27FC236}">
              <a16:creationId xmlns:a16="http://schemas.microsoft.com/office/drawing/2014/main" id="{23811B35-261B-4DFA-ADFF-A1D3925E278F}"/>
            </a:ext>
          </a:extLst>
        </xdr:cNvPr>
        <xdr:cNvSpPr>
          <a:spLocks noChangeAspect="1" noChangeArrowheads="1"/>
        </xdr:cNvSpPr>
      </xdr:nvSpPr>
      <xdr:spPr bwMode="auto">
        <a:xfrm>
          <a:off x="15259050" y="1286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1591236</xdr:colOff>
      <xdr:row>46</xdr:row>
      <xdr:rowOff>235322</xdr:rowOff>
    </xdr:from>
    <xdr:to>
      <xdr:col>11</xdr:col>
      <xdr:colOff>268380</xdr:colOff>
      <xdr:row>49</xdr:row>
      <xdr:rowOff>135029</xdr:rowOff>
    </xdr:to>
    <xdr:pic>
      <xdr:nvPicPr>
        <xdr:cNvPr id="7" name="Imagen 6">
          <a:extLst>
            <a:ext uri="{FF2B5EF4-FFF2-40B4-BE49-F238E27FC236}">
              <a16:creationId xmlns:a16="http://schemas.microsoft.com/office/drawing/2014/main" id="{BC8A4549-EF95-4471-AE80-281BB394A1DD}"/>
            </a:ext>
          </a:extLst>
        </xdr:cNvPr>
        <xdr:cNvPicPr>
          <a:picLocks noChangeAspect="1"/>
        </xdr:cNvPicPr>
      </xdr:nvPicPr>
      <xdr:blipFill>
        <a:blip xmlns:r="http://schemas.openxmlformats.org/officeDocument/2006/relationships" r:embed="rId4"/>
        <a:stretch>
          <a:fillRect/>
        </a:stretch>
      </xdr:blipFill>
      <xdr:spPr>
        <a:xfrm>
          <a:off x="15231036" y="12532097"/>
          <a:ext cx="1791819" cy="756957"/>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xdr:from>
      <xdr:col>0</xdr:col>
      <xdr:colOff>47627</xdr:colOff>
      <xdr:row>40</xdr:row>
      <xdr:rowOff>171450</xdr:rowOff>
    </xdr:from>
    <xdr:to>
      <xdr:col>6</xdr:col>
      <xdr:colOff>866775</xdr:colOff>
      <xdr:row>54</xdr:row>
      <xdr:rowOff>142875</xdr:rowOff>
    </xdr:to>
    <xdr:graphicFrame macro="">
      <xdr:nvGraphicFramePr>
        <xdr:cNvPr id="2" name="Gráfico 1">
          <a:extLst>
            <a:ext uri="{FF2B5EF4-FFF2-40B4-BE49-F238E27FC236}">
              <a16:creationId xmlns:a16="http://schemas.microsoft.com/office/drawing/2014/main" id="{2B749714-9A13-48F6-9A65-49CFFE0CC9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133030</xdr:colOff>
      <xdr:row>0</xdr:row>
      <xdr:rowOff>122465</xdr:rowOff>
    </xdr:from>
    <xdr:to>
      <xdr:col>1</xdr:col>
      <xdr:colOff>2239528</xdr:colOff>
      <xdr:row>3</xdr:row>
      <xdr:rowOff>85725</xdr:rowOff>
    </xdr:to>
    <xdr:pic>
      <xdr:nvPicPr>
        <xdr:cNvPr id="3" name="Imagen 2">
          <a:extLst>
            <a:ext uri="{FF2B5EF4-FFF2-40B4-BE49-F238E27FC236}">
              <a16:creationId xmlns:a16="http://schemas.microsoft.com/office/drawing/2014/main" id="{C353115D-92F4-4B1C-A8CA-3742BB7DC81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3030" y="122465"/>
          <a:ext cx="2811348" cy="706210"/>
        </a:xfrm>
        <a:prstGeom prst="rect">
          <a:avLst/>
        </a:prstGeom>
      </xdr:spPr>
    </xdr:pic>
    <xdr:clientData/>
  </xdr:twoCellAnchor>
  <xdr:twoCellAnchor editAs="oneCell">
    <xdr:from>
      <xdr:col>7</xdr:col>
      <xdr:colOff>651401</xdr:colOff>
      <xdr:row>46</xdr:row>
      <xdr:rowOff>152499</xdr:rowOff>
    </xdr:from>
    <xdr:to>
      <xdr:col>8</xdr:col>
      <xdr:colOff>1216051</xdr:colOff>
      <xdr:row>49</xdr:row>
      <xdr:rowOff>201706</xdr:rowOff>
    </xdr:to>
    <xdr:pic>
      <xdr:nvPicPr>
        <xdr:cNvPr id="4" name="Imagen 3">
          <a:extLst>
            <a:ext uri="{FF2B5EF4-FFF2-40B4-BE49-F238E27FC236}">
              <a16:creationId xmlns:a16="http://schemas.microsoft.com/office/drawing/2014/main" id="{761A5463-155E-4488-B3D7-3EB8CADBEE49}"/>
            </a:ext>
          </a:extLst>
        </xdr:cNvPr>
        <xdr:cNvPicPr>
          <a:picLocks noChangeAspect="1"/>
        </xdr:cNvPicPr>
      </xdr:nvPicPr>
      <xdr:blipFill>
        <a:blip xmlns:r="http://schemas.openxmlformats.org/officeDocument/2006/relationships" r:embed="rId3"/>
        <a:srcRect l="88188"/>
        <a:stretch>
          <a:fillRect/>
        </a:stretch>
      </xdr:blipFill>
      <xdr:spPr>
        <a:xfrm>
          <a:off x="10862201" y="12449274"/>
          <a:ext cx="2374400" cy="906457"/>
        </a:xfrm>
        <a:prstGeom prst="rect">
          <a:avLst/>
        </a:prstGeom>
      </xdr:spPr>
    </xdr:pic>
    <xdr:clientData/>
  </xdr:twoCellAnchor>
  <xdr:twoCellAnchor>
    <xdr:from>
      <xdr:col>9</xdr:col>
      <xdr:colOff>257737</xdr:colOff>
      <xdr:row>49</xdr:row>
      <xdr:rowOff>156882</xdr:rowOff>
    </xdr:from>
    <xdr:to>
      <xdr:col>9</xdr:col>
      <xdr:colOff>605119</xdr:colOff>
      <xdr:row>50</xdr:row>
      <xdr:rowOff>145676</xdr:rowOff>
    </xdr:to>
    <xdr:sp macro="" textlink="">
      <xdr:nvSpPr>
        <xdr:cNvPr id="5" name="Rectángulo 4">
          <a:extLst>
            <a:ext uri="{FF2B5EF4-FFF2-40B4-BE49-F238E27FC236}">
              <a16:creationId xmlns:a16="http://schemas.microsoft.com/office/drawing/2014/main" id="{91327E5D-F099-430C-BB27-E2AAC3CD8C1E}"/>
            </a:ext>
          </a:extLst>
        </xdr:cNvPr>
        <xdr:cNvSpPr/>
      </xdr:nvSpPr>
      <xdr:spPr>
        <a:xfrm>
          <a:off x="13897537" y="13310907"/>
          <a:ext cx="347382" cy="274544"/>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editAs="oneCell">
    <xdr:from>
      <xdr:col>10</xdr:col>
      <xdr:colOff>0</xdr:colOff>
      <xdr:row>48</xdr:row>
      <xdr:rowOff>0</xdr:rowOff>
    </xdr:from>
    <xdr:to>
      <xdr:col>10</xdr:col>
      <xdr:colOff>304800</xdr:colOff>
      <xdr:row>49</xdr:row>
      <xdr:rowOff>19050</xdr:rowOff>
    </xdr:to>
    <xdr:sp macro="" textlink="">
      <xdr:nvSpPr>
        <xdr:cNvPr id="6" name="AutoShape 4">
          <a:extLst>
            <a:ext uri="{FF2B5EF4-FFF2-40B4-BE49-F238E27FC236}">
              <a16:creationId xmlns:a16="http://schemas.microsoft.com/office/drawing/2014/main" id="{BA9E2101-FDBE-46B2-B3E5-1B1801C9BA82}"/>
            </a:ext>
          </a:extLst>
        </xdr:cNvPr>
        <xdr:cNvSpPr>
          <a:spLocks noChangeAspect="1" noChangeArrowheads="1"/>
        </xdr:cNvSpPr>
      </xdr:nvSpPr>
      <xdr:spPr bwMode="auto">
        <a:xfrm>
          <a:off x="15259050" y="1286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1591236</xdr:colOff>
      <xdr:row>46</xdr:row>
      <xdr:rowOff>235322</xdr:rowOff>
    </xdr:from>
    <xdr:to>
      <xdr:col>11</xdr:col>
      <xdr:colOff>268380</xdr:colOff>
      <xdr:row>49</xdr:row>
      <xdr:rowOff>135029</xdr:rowOff>
    </xdr:to>
    <xdr:pic>
      <xdr:nvPicPr>
        <xdr:cNvPr id="7" name="Imagen 6">
          <a:extLst>
            <a:ext uri="{FF2B5EF4-FFF2-40B4-BE49-F238E27FC236}">
              <a16:creationId xmlns:a16="http://schemas.microsoft.com/office/drawing/2014/main" id="{7CF5633F-44DF-4ABB-A1E7-46E19B1E5672}"/>
            </a:ext>
          </a:extLst>
        </xdr:cNvPr>
        <xdr:cNvPicPr>
          <a:picLocks noChangeAspect="1"/>
        </xdr:cNvPicPr>
      </xdr:nvPicPr>
      <xdr:blipFill>
        <a:blip xmlns:r="http://schemas.openxmlformats.org/officeDocument/2006/relationships" r:embed="rId4"/>
        <a:stretch>
          <a:fillRect/>
        </a:stretch>
      </xdr:blipFill>
      <xdr:spPr>
        <a:xfrm>
          <a:off x="15231036" y="12532097"/>
          <a:ext cx="1791819" cy="756957"/>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ervidor\disco%20duro\irina\CLAS-BOG.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
      <sheetName val="Recipiente"/>
      <sheetName val="Guia rec."/>
      <sheetName val="MEZCLAS"/>
      <sheetName val="Módulo1"/>
      <sheetName val="Módulo11"/>
      <sheetName val="2-6"/>
      <sheetName val="LIMITE"/>
      <sheetName val="Hoja1"/>
      <sheetName val="Clasificado 1 1-2 "/>
      <sheetName val="CLAS-BOG"/>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5.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6.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printerSettings" Target="../printerSettings/printerSettings8.bin"/><Relationship Id="rId4" Type="http://schemas.openxmlformats.org/officeDocument/2006/relationships/comments" Target="../comments8.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9.xml"/><Relationship Id="rId1" Type="http://schemas.openxmlformats.org/officeDocument/2006/relationships/printerSettings" Target="../printerSettings/printerSettings9.bin"/><Relationship Id="rId4" Type="http://schemas.openxmlformats.org/officeDocument/2006/relationships/comments" Target="../comments9.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0.xml"/><Relationship Id="rId1" Type="http://schemas.openxmlformats.org/officeDocument/2006/relationships/printerSettings" Target="../printerSettings/printerSettings10.bin"/><Relationship Id="rId4" Type="http://schemas.openxmlformats.org/officeDocument/2006/relationships/comments" Target="../comments10.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1.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12.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13.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drawing" Target="../drawings/drawing14.xml"/><Relationship Id="rId1" Type="http://schemas.openxmlformats.org/officeDocument/2006/relationships/printerSettings" Target="../printerSettings/printerSettings14.bin"/><Relationship Id="rId4" Type="http://schemas.openxmlformats.org/officeDocument/2006/relationships/comments" Target="../comments14.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15.vml"/><Relationship Id="rId2" Type="http://schemas.openxmlformats.org/officeDocument/2006/relationships/drawing" Target="../drawings/drawing15.xml"/><Relationship Id="rId1" Type="http://schemas.openxmlformats.org/officeDocument/2006/relationships/printerSettings" Target="../printerSettings/printerSettings15.bin"/><Relationship Id="rId4" Type="http://schemas.openxmlformats.org/officeDocument/2006/relationships/comments" Target="../comments15.xml"/></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16.xml"/><Relationship Id="rId1" Type="http://schemas.openxmlformats.org/officeDocument/2006/relationships/printerSettings" Target="../printerSettings/printerSettings16.bin"/><Relationship Id="rId4" Type="http://schemas.openxmlformats.org/officeDocument/2006/relationships/comments" Target="../comments16.xml"/></Relationships>
</file>

<file path=xl/worksheets/_rels/sheet17.xml.rels><?xml version="1.0" encoding="UTF-8" standalone="yes"?>
<Relationships xmlns="http://schemas.openxmlformats.org/package/2006/relationships"><Relationship Id="rId3" Type="http://schemas.openxmlformats.org/officeDocument/2006/relationships/vmlDrawing" Target="../drawings/vmlDrawing17.vml"/><Relationship Id="rId2" Type="http://schemas.openxmlformats.org/officeDocument/2006/relationships/drawing" Target="../drawings/drawing17.xml"/><Relationship Id="rId1" Type="http://schemas.openxmlformats.org/officeDocument/2006/relationships/printerSettings" Target="../printerSettings/printerSettings17.bin"/><Relationship Id="rId4" Type="http://schemas.openxmlformats.org/officeDocument/2006/relationships/comments" Target="../comments17.xml"/></Relationships>
</file>

<file path=xl/worksheets/_rels/sheet18.xml.rels><?xml version="1.0" encoding="UTF-8" standalone="yes"?>
<Relationships xmlns="http://schemas.openxmlformats.org/package/2006/relationships"><Relationship Id="rId3" Type="http://schemas.openxmlformats.org/officeDocument/2006/relationships/vmlDrawing" Target="../drawings/vmlDrawing18.vml"/><Relationship Id="rId2" Type="http://schemas.openxmlformats.org/officeDocument/2006/relationships/drawing" Target="../drawings/drawing18.xml"/><Relationship Id="rId1" Type="http://schemas.openxmlformats.org/officeDocument/2006/relationships/printerSettings" Target="../printerSettings/printerSettings18.bin"/><Relationship Id="rId4" Type="http://schemas.openxmlformats.org/officeDocument/2006/relationships/comments" Target="../comments18.xml"/></Relationships>
</file>

<file path=xl/worksheets/_rels/sheet19.xml.rels><?xml version="1.0" encoding="UTF-8" standalone="yes"?>
<Relationships xmlns="http://schemas.openxmlformats.org/package/2006/relationships"><Relationship Id="rId3" Type="http://schemas.openxmlformats.org/officeDocument/2006/relationships/vmlDrawing" Target="../drawings/vmlDrawing19.vml"/><Relationship Id="rId2" Type="http://schemas.openxmlformats.org/officeDocument/2006/relationships/drawing" Target="../drawings/drawing19.xml"/><Relationship Id="rId1" Type="http://schemas.openxmlformats.org/officeDocument/2006/relationships/printerSettings" Target="../printerSettings/printerSettings19.bin"/><Relationship Id="rId4" Type="http://schemas.openxmlformats.org/officeDocument/2006/relationships/comments" Target="../comments19.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20.vml"/><Relationship Id="rId2" Type="http://schemas.openxmlformats.org/officeDocument/2006/relationships/drawing" Target="../drawings/drawing20.xml"/><Relationship Id="rId1" Type="http://schemas.openxmlformats.org/officeDocument/2006/relationships/printerSettings" Target="../printerSettings/printerSettings20.bin"/><Relationship Id="rId4" Type="http://schemas.openxmlformats.org/officeDocument/2006/relationships/comments" Target="../comments20.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21.vml"/><Relationship Id="rId2" Type="http://schemas.openxmlformats.org/officeDocument/2006/relationships/drawing" Target="../drawings/drawing21.xml"/><Relationship Id="rId1" Type="http://schemas.openxmlformats.org/officeDocument/2006/relationships/printerSettings" Target="../printerSettings/printerSettings21.bin"/><Relationship Id="rId4" Type="http://schemas.openxmlformats.org/officeDocument/2006/relationships/comments" Target="../comments21.xml"/></Relationships>
</file>

<file path=xl/worksheets/_rels/sheet22.xml.rels><?xml version="1.0" encoding="UTF-8" standalone="yes"?>
<Relationships xmlns="http://schemas.openxmlformats.org/package/2006/relationships"><Relationship Id="rId3" Type="http://schemas.openxmlformats.org/officeDocument/2006/relationships/vmlDrawing" Target="../drawings/vmlDrawing22.vml"/><Relationship Id="rId2" Type="http://schemas.openxmlformats.org/officeDocument/2006/relationships/drawing" Target="../drawings/drawing22.xml"/><Relationship Id="rId1" Type="http://schemas.openxmlformats.org/officeDocument/2006/relationships/printerSettings" Target="../printerSettings/printerSettings22.bin"/><Relationship Id="rId4" Type="http://schemas.openxmlformats.org/officeDocument/2006/relationships/comments" Target="../comments22.xml"/></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23.vml"/><Relationship Id="rId2" Type="http://schemas.openxmlformats.org/officeDocument/2006/relationships/drawing" Target="../drawings/drawing23.xml"/><Relationship Id="rId1" Type="http://schemas.openxmlformats.org/officeDocument/2006/relationships/printerSettings" Target="../printerSettings/printerSettings23.bin"/><Relationship Id="rId4" Type="http://schemas.openxmlformats.org/officeDocument/2006/relationships/comments" Target="../comments2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AB73"/>
  <sheetViews>
    <sheetView showGridLines="0" tabSelected="1" view="pageBreakPreview" topLeftCell="E31" zoomScale="85" zoomScaleNormal="50" zoomScalePageLayoutView="50" workbookViewId="0">
      <selection activeCell="K45" sqref="K45"/>
    </sheetView>
  </sheetViews>
  <sheetFormatPr baseColWidth="10" defaultColWidth="11" defaultRowHeight="14.25"/>
  <cols>
    <col min="1" max="1" width="10.5703125" style="3" customWidth="1"/>
    <col min="2" max="2" width="35.42578125" style="3" customWidth="1"/>
    <col min="3" max="3" width="20.85546875" style="3" customWidth="1"/>
    <col min="4" max="5" width="26.7109375" style="3" customWidth="1"/>
    <col min="6" max="6" width="3.7109375" style="3" customWidth="1"/>
    <col min="7" max="8" width="27.140625" style="3" customWidth="1"/>
    <col min="9" max="10" width="24.28515625" style="3" customWidth="1"/>
    <col min="11" max="12" width="22.42578125" style="3" customWidth="1"/>
    <col min="13" max="13" width="1.85546875" style="3" customWidth="1"/>
    <col min="14" max="16" width="12.85546875" style="3" customWidth="1"/>
    <col min="17" max="17" width="6.5703125" style="3" customWidth="1"/>
    <col min="18" max="18" width="6.28515625" style="3" customWidth="1"/>
    <col min="19" max="184" width="11.42578125" style="3"/>
    <col min="185" max="185" width="0.7109375" style="3" customWidth="1"/>
    <col min="186" max="186" width="6.5703125" style="3" customWidth="1"/>
    <col min="187" max="187" width="13.5703125" style="3" customWidth="1"/>
    <col min="188" max="188" width="13.42578125" style="3" customWidth="1"/>
    <col min="189" max="190" width="12.5703125" style="3" customWidth="1"/>
    <col min="191" max="191" width="14.85546875" style="3" customWidth="1"/>
    <col min="192" max="192" width="20.7109375" style="3" customWidth="1"/>
    <col min="193" max="193" width="12.5703125" style="3" customWidth="1"/>
    <col min="194" max="194" width="13" style="3" customWidth="1"/>
    <col min="195" max="195" width="16" style="3" customWidth="1"/>
    <col min="196" max="196" width="6.42578125" style="3" customWidth="1"/>
    <col min="197" max="197" width="16" style="3" customWidth="1"/>
    <col min="198" max="198" width="2.85546875" style="3" customWidth="1"/>
    <col min="199" max="199" width="0.85546875" style="3" customWidth="1"/>
    <col min="200" max="200" width="11.42578125" style="3"/>
    <col min="201" max="201" width="15.42578125" style="3" customWidth="1"/>
    <col min="202" max="204" width="14.85546875" style="3" customWidth="1"/>
    <col min="205" max="205" width="0.7109375" style="3" customWidth="1"/>
    <col min="206" max="206" width="11.42578125" style="3"/>
    <col min="207" max="207" width="15.7109375" style="3" customWidth="1"/>
    <col min="208" max="209" width="14.85546875" style="3" customWidth="1"/>
    <col min="210" max="210" width="3.28515625" style="3" customWidth="1"/>
    <col min="211" max="211" width="20.140625" style="3" customWidth="1"/>
    <col min="212" max="212" width="3.28515625" style="3" customWidth="1"/>
    <col min="213" max="217" width="11.42578125" style="3"/>
    <col min="218" max="230" width="4.7109375" style="3" customWidth="1"/>
    <col min="231" max="440" width="11.42578125" style="3"/>
    <col min="441" max="441" width="0.7109375" style="3" customWidth="1"/>
    <col min="442" max="442" width="6.5703125" style="3" customWidth="1"/>
    <col min="443" max="443" width="13.5703125" style="3" customWidth="1"/>
    <col min="444" max="444" width="13.42578125" style="3" customWidth="1"/>
    <col min="445" max="446" width="12.5703125" style="3" customWidth="1"/>
    <col min="447" max="447" width="14.85546875" style="3" customWidth="1"/>
    <col min="448" max="448" width="20.7109375" style="3" customWidth="1"/>
    <col min="449" max="449" width="12.5703125" style="3" customWidth="1"/>
    <col min="450" max="450" width="13" style="3" customWidth="1"/>
    <col min="451" max="451" width="16" style="3" customWidth="1"/>
    <col min="452" max="452" width="6.42578125" style="3" customWidth="1"/>
    <col min="453" max="453" width="16" style="3" customWidth="1"/>
    <col min="454" max="454" width="2.85546875" style="3" customWidth="1"/>
    <col min="455" max="455" width="0.85546875" style="3" customWidth="1"/>
    <col min="456" max="456" width="11.42578125" style="3"/>
    <col min="457" max="457" width="15.42578125" style="3" customWidth="1"/>
    <col min="458" max="460" width="14.85546875" style="3" customWidth="1"/>
    <col min="461" max="461" width="0.7109375" style="3" customWidth="1"/>
    <col min="462" max="462" width="11.42578125" style="3"/>
    <col min="463" max="463" width="15.7109375" style="3" customWidth="1"/>
    <col min="464" max="465" width="14.85546875" style="3" customWidth="1"/>
    <col min="466" max="466" width="3.28515625" style="3" customWidth="1"/>
    <col min="467" max="467" width="20.140625" style="3" customWidth="1"/>
    <col min="468" max="468" width="3.28515625" style="3" customWidth="1"/>
    <col min="469" max="473" width="11.42578125" style="3"/>
    <col min="474" max="486" width="4.7109375" style="3" customWidth="1"/>
    <col min="487" max="696" width="11.42578125" style="3"/>
    <col min="697" max="697" width="0.7109375" style="3" customWidth="1"/>
    <col min="698" max="698" width="6.5703125" style="3" customWidth="1"/>
    <col min="699" max="699" width="13.5703125" style="3" customWidth="1"/>
    <col min="700" max="700" width="13.42578125" style="3" customWidth="1"/>
    <col min="701" max="702" width="12.5703125" style="3" customWidth="1"/>
    <col min="703" max="703" width="14.85546875" style="3" customWidth="1"/>
    <col min="704" max="704" width="20.7109375" style="3" customWidth="1"/>
    <col min="705" max="705" width="12.5703125" style="3" customWidth="1"/>
    <col min="706" max="706" width="13" style="3" customWidth="1"/>
    <col min="707" max="707" width="16" style="3" customWidth="1"/>
    <col min="708" max="708" width="6.42578125" style="3" customWidth="1"/>
    <col min="709" max="709" width="16" style="3" customWidth="1"/>
    <col min="710" max="710" width="2.85546875" style="3" customWidth="1"/>
    <col min="711" max="711" width="0.85546875" style="3" customWidth="1"/>
    <col min="712" max="712" width="11.42578125" style="3"/>
    <col min="713" max="713" width="15.42578125" style="3" customWidth="1"/>
    <col min="714" max="716" width="14.85546875" style="3" customWidth="1"/>
    <col min="717" max="717" width="0.7109375" style="3" customWidth="1"/>
    <col min="718" max="718" width="11.42578125" style="3"/>
    <col min="719" max="719" width="15.7109375" style="3" customWidth="1"/>
    <col min="720" max="721" width="14.85546875" style="3" customWidth="1"/>
    <col min="722" max="722" width="3.28515625" style="3" customWidth="1"/>
    <col min="723" max="723" width="20.140625" style="3" customWidth="1"/>
    <col min="724" max="724" width="3.28515625" style="3" customWidth="1"/>
    <col min="725" max="729" width="11.42578125" style="3"/>
    <col min="730" max="742" width="4.7109375" style="3" customWidth="1"/>
    <col min="743" max="952" width="11.42578125" style="3"/>
    <col min="953" max="953" width="0.7109375" style="3" customWidth="1"/>
    <col min="954" max="954" width="6.5703125" style="3" customWidth="1"/>
    <col min="955" max="955" width="13.5703125" style="3" customWidth="1"/>
    <col min="956" max="956" width="13.42578125" style="3" customWidth="1"/>
    <col min="957" max="958" width="12.5703125" style="3" customWidth="1"/>
    <col min="959" max="959" width="14.85546875" style="3" customWidth="1"/>
    <col min="960" max="960" width="20.7109375" style="3" customWidth="1"/>
    <col min="961" max="961" width="12.5703125" style="3" customWidth="1"/>
    <col min="962" max="962" width="13" style="3" customWidth="1"/>
    <col min="963" max="963" width="16" style="3" customWidth="1"/>
    <col min="964" max="964" width="6.42578125" style="3" customWidth="1"/>
    <col min="965" max="965" width="16" style="3" customWidth="1"/>
    <col min="966" max="966" width="2.85546875" style="3" customWidth="1"/>
    <col min="967" max="967" width="0.85546875" style="3" customWidth="1"/>
    <col min="968" max="968" width="11.42578125" style="3"/>
    <col min="969" max="969" width="15.42578125" style="3" customWidth="1"/>
    <col min="970" max="972" width="14.85546875" style="3" customWidth="1"/>
    <col min="973" max="973" width="0.7109375" style="3" customWidth="1"/>
    <col min="974" max="974" width="11.42578125" style="3"/>
    <col min="975" max="975" width="15.7109375" style="3" customWidth="1"/>
    <col min="976" max="977" width="14.85546875" style="3" customWidth="1"/>
    <col min="978" max="978" width="3.28515625" style="3" customWidth="1"/>
    <col min="979" max="979" width="20.140625" style="3" customWidth="1"/>
    <col min="980" max="980" width="3.28515625" style="3" customWidth="1"/>
    <col min="981" max="985" width="11.42578125" style="3"/>
    <col min="986" max="998" width="4.7109375" style="3" customWidth="1"/>
    <col min="999" max="1208" width="11.42578125" style="3"/>
    <col min="1209" max="1209" width="0.7109375" style="3" customWidth="1"/>
    <col min="1210" max="1210" width="6.5703125" style="3" customWidth="1"/>
    <col min="1211" max="1211" width="13.5703125" style="3" customWidth="1"/>
    <col min="1212" max="1212" width="13.42578125" style="3" customWidth="1"/>
    <col min="1213" max="1214" width="12.5703125" style="3" customWidth="1"/>
    <col min="1215" max="1215" width="14.85546875" style="3" customWidth="1"/>
    <col min="1216" max="1216" width="20.7109375" style="3" customWidth="1"/>
    <col min="1217" max="1217" width="12.5703125" style="3" customWidth="1"/>
    <col min="1218" max="1218" width="13" style="3" customWidth="1"/>
    <col min="1219" max="1219" width="16" style="3" customWidth="1"/>
    <col min="1220" max="1220" width="6.42578125" style="3" customWidth="1"/>
    <col min="1221" max="1221" width="16" style="3" customWidth="1"/>
    <col min="1222" max="1222" width="2.85546875" style="3" customWidth="1"/>
    <col min="1223" max="1223" width="0.85546875" style="3" customWidth="1"/>
    <col min="1224" max="1224" width="11.42578125" style="3"/>
    <col min="1225" max="1225" width="15.42578125" style="3" customWidth="1"/>
    <col min="1226" max="1228" width="14.85546875" style="3" customWidth="1"/>
    <col min="1229" max="1229" width="0.7109375" style="3" customWidth="1"/>
    <col min="1230" max="1230" width="11.42578125" style="3"/>
    <col min="1231" max="1231" width="15.7109375" style="3" customWidth="1"/>
    <col min="1232" max="1233" width="14.85546875" style="3" customWidth="1"/>
    <col min="1234" max="1234" width="3.28515625" style="3" customWidth="1"/>
    <col min="1235" max="1235" width="20.140625" style="3" customWidth="1"/>
    <col min="1236" max="1236" width="3.28515625" style="3" customWidth="1"/>
    <col min="1237" max="1241" width="11.42578125" style="3"/>
    <col min="1242" max="1254" width="4.7109375" style="3" customWidth="1"/>
    <col min="1255" max="1464" width="11.42578125" style="3"/>
    <col min="1465" max="1465" width="0.7109375" style="3" customWidth="1"/>
    <col min="1466" max="1466" width="6.5703125" style="3" customWidth="1"/>
    <col min="1467" max="1467" width="13.5703125" style="3" customWidth="1"/>
    <col min="1468" max="1468" width="13.42578125" style="3" customWidth="1"/>
    <col min="1469" max="1470" width="12.5703125" style="3" customWidth="1"/>
    <col min="1471" max="1471" width="14.85546875" style="3" customWidth="1"/>
    <col min="1472" max="1472" width="20.7109375" style="3" customWidth="1"/>
    <col min="1473" max="1473" width="12.5703125" style="3" customWidth="1"/>
    <col min="1474" max="1474" width="13" style="3" customWidth="1"/>
    <col min="1475" max="1475" width="16" style="3" customWidth="1"/>
    <col min="1476" max="1476" width="6.42578125" style="3" customWidth="1"/>
    <col min="1477" max="1477" width="16" style="3" customWidth="1"/>
    <col min="1478" max="1478" width="2.85546875" style="3" customWidth="1"/>
    <col min="1479" max="1479" width="0.85546875" style="3" customWidth="1"/>
    <col min="1480" max="1480" width="11.42578125" style="3"/>
    <col min="1481" max="1481" width="15.42578125" style="3" customWidth="1"/>
    <col min="1482" max="1484" width="14.85546875" style="3" customWidth="1"/>
    <col min="1485" max="1485" width="0.7109375" style="3" customWidth="1"/>
    <col min="1486" max="1486" width="11.42578125" style="3"/>
    <col min="1487" max="1487" width="15.7109375" style="3" customWidth="1"/>
    <col min="1488" max="1489" width="14.85546875" style="3" customWidth="1"/>
    <col min="1490" max="1490" width="3.28515625" style="3" customWidth="1"/>
    <col min="1491" max="1491" width="20.140625" style="3" customWidth="1"/>
    <col min="1492" max="1492" width="3.28515625" style="3" customWidth="1"/>
    <col min="1493" max="1497" width="11.42578125" style="3"/>
    <col min="1498" max="1510" width="4.7109375" style="3" customWidth="1"/>
    <col min="1511" max="1720" width="11.42578125" style="3"/>
    <col min="1721" max="1721" width="0.7109375" style="3" customWidth="1"/>
    <col min="1722" max="1722" width="6.5703125" style="3" customWidth="1"/>
    <col min="1723" max="1723" width="13.5703125" style="3" customWidth="1"/>
    <col min="1724" max="1724" width="13.42578125" style="3" customWidth="1"/>
    <col min="1725" max="1726" width="12.5703125" style="3" customWidth="1"/>
    <col min="1727" max="1727" width="14.85546875" style="3" customWidth="1"/>
    <col min="1728" max="1728" width="20.7109375" style="3" customWidth="1"/>
    <col min="1729" max="1729" width="12.5703125" style="3" customWidth="1"/>
    <col min="1730" max="1730" width="13" style="3" customWidth="1"/>
    <col min="1731" max="1731" width="16" style="3" customWidth="1"/>
    <col min="1732" max="1732" width="6.42578125" style="3" customWidth="1"/>
    <col min="1733" max="1733" width="16" style="3" customWidth="1"/>
    <col min="1734" max="1734" width="2.85546875" style="3" customWidth="1"/>
    <col min="1735" max="1735" width="0.85546875" style="3" customWidth="1"/>
    <col min="1736" max="1736" width="11.42578125" style="3"/>
    <col min="1737" max="1737" width="15.42578125" style="3" customWidth="1"/>
    <col min="1738" max="1740" width="14.85546875" style="3" customWidth="1"/>
    <col min="1741" max="1741" width="0.7109375" style="3" customWidth="1"/>
    <col min="1742" max="1742" width="11.42578125" style="3"/>
    <col min="1743" max="1743" width="15.7109375" style="3" customWidth="1"/>
    <col min="1744" max="1745" width="14.85546875" style="3" customWidth="1"/>
    <col min="1746" max="1746" width="3.28515625" style="3" customWidth="1"/>
    <col min="1747" max="1747" width="20.140625" style="3" customWidth="1"/>
    <col min="1748" max="1748" width="3.28515625" style="3" customWidth="1"/>
    <col min="1749" max="1753" width="11.42578125" style="3"/>
    <col min="1754" max="1766" width="4.7109375" style="3" customWidth="1"/>
    <col min="1767" max="1976" width="11.42578125" style="3"/>
    <col min="1977" max="1977" width="0.7109375" style="3" customWidth="1"/>
    <col min="1978" max="1978" width="6.5703125" style="3" customWidth="1"/>
    <col min="1979" max="1979" width="13.5703125" style="3" customWidth="1"/>
    <col min="1980" max="1980" width="13.42578125" style="3" customWidth="1"/>
    <col min="1981" max="1982" width="12.5703125" style="3" customWidth="1"/>
    <col min="1983" max="1983" width="14.85546875" style="3" customWidth="1"/>
    <col min="1984" max="1984" width="20.7109375" style="3" customWidth="1"/>
    <col min="1985" max="1985" width="12.5703125" style="3" customWidth="1"/>
    <col min="1986" max="1986" width="13" style="3" customWidth="1"/>
    <col min="1987" max="1987" width="16" style="3" customWidth="1"/>
    <col min="1988" max="1988" width="6.42578125" style="3" customWidth="1"/>
    <col min="1989" max="1989" width="16" style="3" customWidth="1"/>
    <col min="1990" max="1990" width="2.85546875" style="3" customWidth="1"/>
    <col min="1991" max="1991" width="0.85546875" style="3" customWidth="1"/>
    <col min="1992" max="1992" width="11.42578125" style="3"/>
    <col min="1993" max="1993" width="15.42578125" style="3" customWidth="1"/>
    <col min="1994" max="1996" width="14.85546875" style="3" customWidth="1"/>
    <col min="1997" max="1997" width="0.7109375" style="3" customWidth="1"/>
    <col min="1998" max="1998" width="11.42578125" style="3"/>
    <col min="1999" max="1999" width="15.7109375" style="3" customWidth="1"/>
    <col min="2000" max="2001" width="14.85546875" style="3" customWidth="1"/>
    <col min="2002" max="2002" width="3.28515625" style="3" customWidth="1"/>
    <col min="2003" max="2003" width="20.140625" style="3" customWidth="1"/>
    <col min="2004" max="2004" width="3.28515625" style="3" customWidth="1"/>
    <col min="2005" max="2009" width="11.42578125" style="3"/>
    <col min="2010" max="2022" width="4.7109375" style="3" customWidth="1"/>
    <col min="2023" max="2232" width="11.42578125" style="3"/>
    <col min="2233" max="2233" width="0.7109375" style="3" customWidth="1"/>
    <col min="2234" max="2234" width="6.5703125" style="3" customWidth="1"/>
    <col min="2235" max="2235" width="13.5703125" style="3" customWidth="1"/>
    <col min="2236" max="2236" width="13.42578125" style="3" customWidth="1"/>
    <col min="2237" max="2238" width="12.5703125" style="3" customWidth="1"/>
    <col min="2239" max="2239" width="14.85546875" style="3" customWidth="1"/>
    <col min="2240" max="2240" width="20.7109375" style="3" customWidth="1"/>
    <col min="2241" max="2241" width="12.5703125" style="3" customWidth="1"/>
    <col min="2242" max="2242" width="13" style="3" customWidth="1"/>
    <col min="2243" max="2243" width="16" style="3" customWidth="1"/>
    <col min="2244" max="2244" width="6.42578125" style="3" customWidth="1"/>
    <col min="2245" max="2245" width="16" style="3" customWidth="1"/>
    <col min="2246" max="2246" width="2.85546875" style="3" customWidth="1"/>
    <col min="2247" max="2247" width="0.85546875" style="3" customWidth="1"/>
    <col min="2248" max="2248" width="11.42578125" style="3"/>
    <col min="2249" max="2249" width="15.42578125" style="3" customWidth="1"/>
    <col min="2250" max="2252" width="14.85546875" style="3" customWidth="1"/>
    <col min="2253" max="2253" width="0.7109375" style="3" customWidth="1"/>
    <col min="2254" max="2254" width="11.42578125" style="3"/>
    <col min="2255" max="2255" width="15.7109375" style="3" customWidth="1"/>
    <col min="2256" max="2257" width="14.85546875" style="3" customWidth="1"/>
    <col min="2258" max="2258" width="3.28515625" style="3" customWidth="1"/>
    <col min="2259" max="2259" width="20.140625" style="3" customWidth="1"/>
    <col min="2260" max="2260" width="3.28515625" style="3" customWidth="1"/>
    <col min="2261" max="2265" width="11.42578125" style="3"/>
    <col min="2266" max="2278" width="4.7109375" style="3" customWidth="1"/>
    <col min="2279" max="2488" width="11.42578125" style="3"/>
    <col min="2489" max="2489" width="0.7109375" style="3" customWidth="1"/>
    <col min="2490" max="2490" width="6.5703125" style="3" customWidth="1"/>
    <col min="2491" max="2491" width="13.5703125" style="3" customWidth="1"/>
    <col min="2492" max="2492" width="13.42578125" style="3" customWidth="1"/>
    <col min="2493" max="2494" width="12.5703125" style="3" customWidth="1"/>
    <col min="2495" max="2495" width="14.85546875" style="3" customWidth="1"/>
    <col min="2496" max="2496" width="20.7109375" style="3" customWidth="1"/>
    <col min="2497" max="2497" width="12.5703125" style="3" customWidth="1"/>
    <col min="2498" max="2498" width="13" style="3" customWidth="1"/>
    <col min="2499" max="2499" width="16" style="3" customWidth="1"/>
    <col min="2500" max="2500" width="6.42578125" style="3" customWidth="1"/>
    <col min="2501" max="2501" width="16" style="3" customWidth="1"/>
    <col min="2502" max="2502" width="2.85546875" style="3" customWidth="1"/>
    <col min="2503" max="2503" width="0.85546875" style="3" customWidth="1"/>
    <col min="2504" max="2504" width="11.42578125" style="3"/>
    <col min="2505" max="2505" width="15.42578125" style="3" customWidth="1"/>
    <col min="2506" max="2508" width="14.85546875" style="3" customWidth="1"/>
    <col min="2509" max="2509" width="0.7109375" style="3" customWidth="1"/>
    <col min="2510" max="2510" width="11.42578125" style="3"/>
    <col min="2511" max="2511" width="15.7109375" style="3" customWidth="1"/>
    <col min="2512" max="2513" width="14.85546875" style="3" customWidth="1"/>
    <col min="2514" max="2514" width="3.28515625" style="3" customWidth="1"/>
    <col min="2515" max="2515" width="20.140625" style="3" customWidth="1"/>
    <col min="2516" max="2516" width="3.28515625" style="3" customWidth="1"/>
    <col min="2517" max="2521" width="11.42578125" style="3"/>
    <col min="2522" max="2534" width="4.7109375" style="3" customWidth="1"/>
    <col min="2535" max="2744" width="11.42578125" style="3"/>
    <col min="2745" max="2745" width="0.7109375" style="3" customWidth="1"/>
    <col min="2746" max="2746" width="6.5703125" style="3" customWidth="1"/>
    <col min="2747" max="2747" width="13.5703125" style="3" customWidth="1"/>
    <col min="2748" max="2748" width="13.42578125" style="3" customWidth="1"/>
    <col min="2749" max="2750" width="12.5703125" style="3" customWidth="1"/>
    <col min="2751" max="2751" width="14.85546875" style="3" customWidth="1"/>
    <col min="2752" max="2752" width="20.7109375" style="3" customWidth="1"/>
    <col min="2753" max="2753" width="12.5703125" style="3" customWidth="1"/>
    <col min="2754" max="2754" width="13" style="3" customWidth="1"/>
    <col min="2755" max="2755" width="16" style="3" customWidth="1"/>
    <col min="2756" max="2756" width="6.42578125" style="3" customWidth="1"/>
    <col min="2757" max="2757" width="16" style="3" customWidth="1"/>
    <col min="2758" max="2758" width="2.85546875" style="3" customWidth="1"/>
    <col min="2759" max="2759" width="0.85546875" style="3" customWidth="1"/>
    <col min="2760" max="2760" width="11.42578125" style="3"/>
    <col min="2761" max="2761" width="15.42578125" style="3" customWidth="1"/>
    <col min="2762" max="2764" width="14.85546875" style="3" customWidth="1"/>
    <col min="2765" max="2765" width="0.7109375" style="3" customWidth="1"/>
    <col min="2766" max="2766" width="11.42578125" style="3"/>
    <col min="2767" max="2767" width="15.7109375" style="3" customWidth="1"/>
    <col min="2768" max="2769" width="14.85546875" style="3" customWidth="1"/>
    <col min="2770" max="2770" width="3.28515625" style="3" customWidth="1"/>
    <col min="2771" max="2771" width="20.140625" style="3" customWidth="1"/>
    <col min="2772" max="2772" width="3.28515625" style="3" customWidth="1"/>
    <col min="2773" max="2777" width="11.42578125" style="3"/>
    <col min="2778" max="2790" width="4.7109375" style="3" customWidth="1"/>
    <col min="2791" max="3000" width="11.42578125" style="3"/>
    <col min="3001" max="3001" width="0.7109375" style="3" customWidth="1"/>
    <col min="3002" max="3002" width="6.5703125" style="3" customWidth="1"/>
    <col min="3003" max="3003" width="13.5703125" style="3" customWidth="1"/>
    <col min="3004" max="3004" width="13.42578125" style="3" customWidth="1"/>
    <col min="3005" max="3006" width="12.5703125" style="3" customWidth="1"/>
    <col min="3007" max="3007" width="14.85546875" style="3" customWidth="1"/>
    <col min="3008" max="3008" width="20.7109375" style="3" customWidth="1"/>
    <col min="3009" max="3009" width="12.5703125" style="3" customWidth="1"/>
    <col min="3010" max="3010" width="13" style="3" customWidth="1"/>
    <col min="3011" max="3011" width="16" style="3" customWidth="1"/>
    <col min="3012" max="3012" width="6.42578125" style="3" customWidth="1"/>
    <col min="3013" max="3013" width="16" style="3" customWidth="1"/>
    <col min="3014" max="3014" width="2.85546875" style="3" customWidth="1"/>
    <col min="3015" max="3015" width="0.85546875" style="3" customWidth="1"/>
    <col min="3016" max="3016" width="11.42578125" style="3"/>
    <col min="3017" max="3017" width="15.42578125" style="3" customWidth="1"/>
    <col min="3018" max="3020" width="14.85546875" style="3" customWidth="1"/>
    <col min="3021" max="3021" width="0.7109375" style="3" customWidth="1"/>
    <col min="3022" max="3022" width="11.42578125" style="3"/>
    <col min="3023" max="3023" width="15.7109375" style="3" customWidth="1"/>
    <col min="3024" max="3025" width="14.85546875" style="3" customWidth="1"/>
    <col min="3026" max="3026" width="3.28515625" style="3" customWidth="1"/>
    <col min="3027" max="3027" width="20.140625" style="3" customWidth="1"/>
    <col min="3028" max="3028" width="3.28515625" style="3" customWidth="1"/>
    <col min="3029" max="3033" width="11.42578125" style="3"/>
    <col min="3034" max="3046" width="4.7109375" style="3" customWidth="1"/>
    <col min="3047" max="3256" width="11.42578125" style="3"/>
    <col min="3257" max="3257" width="0.7109375" style="3" customWidth="1"/>
    <col min="3258" max="3258" width="6.5703125" style="3" customWidth="1"/>
    <col min="3259" max="3259" width="13.5703125" style="3" customWidth="1"/>
    <col min="3260" max="3260" width="13.42578125" style="3" customWidth="1"/>
    <col min="3261" max="3262" width="12.5703125" style="3" customWidth="1"/>
    <col min="3263" max="3263" width="14.85546875" style="3" customWidth="1"/>
    <col min="3264" max="3264" width="20.7109375" style="3" customWidth="1"/>
    <col min="3265" max="3265" width="12.5703125" style="3" customWidth="1"/>
    <col min="3266" max="3266" width="13" style="3" customWidth="1"/>
    <col min="3267" max="3267" width="16" style="3" customWidth="1"/>
    <col min="3268" max="3268" width="6.42578125" style="3" customWidth="1"/>
    <col min="3269" max="3269" width="16" style="3" customWidth="1"/>
    <col min="3270" max="3270" width="2.85546875" style="3" customWidth="1"/>
    <col min="3271" max="3271" width="0.85546875" style="3" customWidth="1"/>
    <col min="3272" max="3272" width="11.42578125" style="3"/>
    <col min="3273" max="3273" width="15.42578125" style="3" customWidth="1"/>
    <col min="3274" max="3276" width="14.85546875" style="3" customWidth="1"/>
    <col min="3277" max="3277" width="0.7109375" style="3" customWidth="1"/>
    <col min="3278" max="3278" width="11.42578125" style="3"/>
    <col min="3279" max="3279" width="15.7109375" style="3" customWidth="1"/>
    <col min="3280" max="3281" width="14.85546875" style="3" customWidth="1"/>
    <col min="3282" max="3282" width="3.28515625" style="3" customWidth="1"/>
    <col min="3283" max="3283" width="20.140625" style="3" customWidth="1"/>
    <col min="3284" max="3284" width="3.28515625" style="3" customWidth="1"/>
    <col min="3285" max="3289" width="11.42578125" style="3"/>
    <col min="3290" max="3302" width="4.7109375" style="3" customWidth="1"/>
    <col min="3303" max="3512" width="11.42578125" style="3"/>
    <col min="3513" max="3513" width="0.7109375" style="3" customWidth="1"/>
    <col min="3514" max="3514" width="6.5703125" style="3" customWidth="1"/>
    <col min="3515" max="3515" width="13.5703125" style="3" customWidth="1"/>
    <col min="3516" max="3516" width="13.42578125" style="3" customWidth="1"/>
    <col min="3517" max="3518" width="12.5703125" style="3" customWidth="1"/>
    <col min="3519" max="3519" width="14.85546875" style="3" customWidth="1"/>
    <col min="3520" max="3520" width="20.7109375" style="3" customWidth="1"/>
    <col min="3521" max="3521" width="12.5703125" style="3" customWidth="1"/>
    <col min="3522" max="3522" width="13" style="3" customWidth="1"/>
    <col min="3523" max="3523" width="16" style="3" customWidth="1"/>
    <col min="3524" max="3524" width="6.42578125" style="3" customWidth="1"/>
    <col min="3525" max="3525" width="16" style="3" customWidth="1"/>
    <col min="3526" max="3526" width="2.85546875" style="3" customWidth="1"/>
    <col min="3527" max="3527" width="0.85546875" style="3" customWidth="1"/>
    <col min="3528" max="3528" width="11.42578125" style="3"/>
    <col min="3529" max="3529" width="15.42578125" style="3" customWidth="1"/>
    <col min="3530" max="3532" width="14.85546875" style="3" customWidth="1"/>
    <col min="3533" max="3533" width="0.7109375" style="3" customWidth="1"/>
    <col min="3534" max="3534" width="11.42578125" style="3"/>
    <col min="3535" max="3535" width="15.7109375" style="3" customWidth="1"/>
    <col min="3536" max="3537" width="14.85546875" style="3" customWidth="1"/>
    <col min="3538" max="3538" width="3.28515625" style="3" customWidth="1"/>
    <col min="3539" max="3539" width="20.140625" style="3" customWidth="1"/>
    <col min="3540" max="3540" width="3.28515625" style="3" customWidth="1"/>
    <col min="3541" max="3545" width="11.42578125" style="3"/>
    <col min="3546" max="3558" width="4.7109375" style="3" customWidth="1"/>
    <col min="3559" max="3768" width="11.42578125" style="3"/>
    <col min="3769" max="3769" width="0.7109375" style="3" customWidth="1"/>
    <col min="3770" max="3770" width="6.5703125" style="3" customWidth="1"/>
    <col min="3771" max="3771" width="13.5703125" style="3" customWidth="1"/>
    <col min="3772" max="3772" width="13.42578125" style="3" customWidth="1"/>
    <col min="3773" max="3774" width="12.5703125" style="3" customWidth="1"/>
    <col min="3775" max="3775" width="14.85546875" style="3" customWidth="1"/>
    <col min="3776" max="3776" width="20.7109375" style="3" customWidth="1"/>
    <col min="3777" max="3777" width="12.5703125" style="3" customWidth="1"/>
    <col min="3778" max="3778" width="13" style="3" customWidth="1"/>
    <col min="3779" max="3779" width="16" style="3" customWidth="1"/>
    <col min="3780" max="3780" width="6.42578125" style="3" customWidth="1"/>
    <col min="3781" max="3781" width="16" style="3" customWidth="1"/>
    <col min="3782" max="3782" width="2.85546875" style="3" customWidth="1"/>
    <col min="3783" max="3783" width="0.85546875" style="3" customWidth="1"/>
    <col min="3784" max="3784" width="11.42578125" style="3"/>
    <col min="3785" max="3785" width="15.42578125" style="3" customWidth="1"/>
    <col min="3786" max="3788" width="14.85546875" style="3" customWidth="1"/>
    <col min="3789" max="3789" width="0.7109375" style="3" customWidth="1"/>
    <col min="3790" max="3790" width="11.42578125" style="3"/>
    <col min="3791" max="3791" width="15.7109375" style="3" customWidth="1"/>
    <col min="3792" max="3793" width="14.85546875" style="3" customWidth="1"/>
    <col min="3794" max="3794" width="3.28515625" style="3" customWidth="1"/>
    <col min="3795" max="3795" width="20.140625" style="3" customWidth="1"/>
    <col min="3796" max="3796" width="3.28515625" style="3" customWidth="1"/>
    <col min="3797" max="3801" width="11.42578125" style="3"/>
    <col min="3802" max="3814" width="4.7109375" style="3" customWidth="1"/>
    <col min="3815" max="4024" width="11.42578125" style="3"/>
    <col min="4025" max="4025" width="0.7109375" style="3" customWidth="1"/>
    <col min="4026" max="4026" width="6.5703125" style="3" customWidth="1"/>
    <col min="4027" max="4027" width="13.5703125" style="3" customWidth="1"/>
    <col min="4028" max="4028" width="13.42578125" style="3" customWidth="1"/>
    <col min="4029" max="4030" width="12.5703125" style="3" customWidth="1"/>
    <col min="4031" max="4031" width="14.85546875" style="3" customWidth="1"/>
    <col min="4032" max="4032" width="20.7109375" style="3" customWidth="1"/>
    <col min="4033" max="4033" width="12.5703125" style="3" customWidth="1"/>
    <col min="4034" max="4034" width="13" style="3" customWidth="1"/>
    <col min="4035" max="4035" width="16" style="3" customWidth="1"/>
    <col min="4036" max="4036" width="6.42578125" style="3" customWidth="1"/>
    <col min="4037" max="4037" width="16" style="3" customWidth="1"/>
    <col min="4038" max="4038" width="2.85546875" style="3" customWidth="1"/>
    <col min="4039" max="4039" width="0.85546875" style="3" customWidth="1"/>
    <col min="4040" max="4040" width="11.42578125" style="3"/>
    <col min="4041" max="4041" width="15.42578125" style="3" customWidth="1"/>
    <col min="4042" max="4044" width="14.85546875" style="3" customWidth="1"/>
    <col min="4045" max="4045" width="0.7109375" style="3" customWidth="1"/>
    <col min="4046" max="4046" width="11.42578125" style="3"/>
    <col min="4047" max="4047" width="15.7109375" style="3" customWidth="1"/>
    <col min="4048" max="4049" width="14.85546875" style="3" customWidth="1"/>
    <col min="4050" max="4050" width="3.28515625" style="3" customWidth="1"/>
    <col min="4051" max="4051" width="20.140625" style="3" customWidth="1"/>
    <col min="4052" max="4052" width="3.28515625" style="3" customWidth="1"/>
    <col min="4053" max="4057" width="11.42578125" style="3"/>
    <col min="4058" max="4070" width="4.7109375" style="3" customWidth="1"/>
    <col min="4071" max="4280" width="11.42578125" style="3"/>
    <col min="4281" max="4281" width="0.7109375" style="3" customWidth="1"/>
    <col min="4282" max="4282" width="6.5703125" style="3" customWidth="1"/>
    <col min="4283" max="4283" width="13.5703125" style="3" customWidth="1"/>
    <col min="4284" max="4284" width="13.42578125" style="3" customWidth="1"/>
    <col min="4285" max="4286" width="12.5703125" style="3" customWidth="1"/>
    <col min="4287" max="4287" width="14.85546875" style="3" customWidth="1"/>
    <col min="4288" max="4288" width="20.7109375" style="3" customWidth="1"/>
    <col min="4289" max="4289" width="12.5703125" style="3" customWidth="1"/>
    <col min="4290" max="4290" width="13" style="3" customWidth="1"/>
    <col min="4291" max="4291" width="16" style="3" customWidth="1"/>
    <col min="4292" max="4292" width="6.42578125" style="3" customWidth="1"/>
    <col min="4293" max="4293" width="16" style="3" customWidth="1"/>
    <col min="4294" max="4294" width="2.85546875" style="3" customWidth="1"/>
    <col min="4295" max="4295" width="0.85546875" style="3" customWidth="1"/>
    <col min="4296" max="4296" width="11.42578125" style="3"/>
    <col min="4297" max="4297" width="15.42578125" style="3" customWidth="1"/>
    <col min="4298" max="4300" width="14.85546875" style="3" customWidth="1"/>
    <col min="4301" max="4301" width="0.7109375" style="3" customWidth="1"/>
    <col min="4302" max="4302" width="11.42578125" style="3"/>
    <col min="4303" max="4303" width="15.7109375" style="3" customWidth="1"/>
    <col min="4304" max="4305" width="14.85546875" style="3" customWidth="1"/>
    <col min="4306" max="4306" width="3.28515625" style="3" customWidth="1"/>
    <col min="4307" max="4307" width="20.140625" style="3" customWidth="1"/>
    <col min="4308" max="4308" width="3.28515625" style="3" customWidth="1"/>
    <col min="4309" max="4313" width="11.42578125" style="3"/>
    <col min="4314" max="4326" width="4.7109375" style="3" customWidth="1"/>
    <col min="4327" max="4536" width="11.42578125" style="3"/>
    <col min="4537" max="4537" width="0.7109375" style="3" customWidth="1"/>
    <col min="4538" max="4538" width="6.5703125" style="3" customWidth="1"/>
    <col min="4539" max="4539" width="13.5703125" style="3" customWidth="1"/>
    <col min="4540" max="4540" width="13.42578125" style="3" customWidth="1"/>
    <col min="4541" max="4542" width="12.5703125" style="3" customWidth="1"/>
    <col min="4543" max="4543" width="14.85546875" style="3" customWidth="1"/>
    <col min="4544" max="4544" width="20.7109375" style="3" customWidth="1"/>
    <col min="4545" max="4545" width="12.5703125" style="3" customWidth="1"/>
    <col min="4546" max="4546" width="13" style="3" customWidth="1"/>
    <col min="4547" max="4547" width="16" style="3" customWidth="1"/>
    <col min="4548" max="4548" width="6.42578125" style="3" customWidth="1"/>
    <col min="4549" max="4549" width="16" style="3" customWidth="1"/>
    <col min="4550" max="4550" width="2.85546875" style="3" customWidth="1"/>
    <col min="4551" max="4551" width="0.85546875" style="3" customWidth="1"/>
    <col min="4552" max="4552" width="11.42578125" style="3"/>
    <col min="4553" max="4553" width="15.42578125" style="3" customWidth="1"/>
    <col min="4554" max="4556" width="14.85546875" style="3" customWidth="1"/>
    <col min="4557" max="4557" width="0.7109375" style="3" customWidth="1"/>
    <col min="4558" max="4558" width="11.42578125" style="3"/>
    <col min="4559" max="4559" width="15.7109375" style="3" customWidth="1"/>
    <col min="4560" max="4561" width="14.85546875" style="3" customWidth="1"/>
    <col min="4562" max="4562" width="3.28515625" style="3" customWidth="1"/>
    <col min="4563" max="4563" width="20.140625" style="3" customWidth="1"/>
    <col min="4564" max="4564" width="3.28515625" style="3" customWidth="1"/>
    <col min="4565" max="4569" width="11.42578125" style="3"/>
    <col min="4570" max="4582" width="4.7109375" style="3" customWidth="1"/>
    <col min="4583" max="4792" width="11.42578125" style="3"/>
    <col min="4793" max="4793" width="0.7109375" style="3" customWidth="1"/>
    <col min="4794" max="4794" width="6.5703125" style="3" customWidth="1"/>
    <col min="4795" max="4795" width="13.5703125" style="3" customWidth="1"/>
    <col min="4796" max="4796" width="13.42578125" style="3" customWidth="1"/>
    <col min="4797" max="4798" width="12.5703125" style="3" customWidth="1"/>
    <col min="4799" max="4799" width="14.85546875" style="3" customWidth="1"/>
    <col min="4800" max="4800" width="20.7109375" style="3" customWidth="1"/>
    <col min="4801" max="4801" width="12.5703125" style="3" customWidth="1"/>
    <col min="4802" max="4802" width="13" style="3" customWidth="1"/>
    <col min="4803" max="4803" width="16" style="3" customWidth="1"/>
    <col min="4804" max="4804" width="6.42578125" style="3" customWidth="1"/>
    <col min="4805" max="4805" width="16" style="3" customWidth="1"/>
    <col min="4806" max="4806" width="2.85546875" style="3" customWidth="1"/>
    <col min="4807" max="4807" width="0.85546875" style="3" customWidth="1"/>
    <col min="4808" max="4808" width="11.42578125" style="3"/>
    <col min="4809" max="4809" width="15.42578125" style="3" customWidth="1"/>
    <col min="4810" max="4812" width="14.85546875" style="3" customWidth="1"/>
    <col min="4813" max="4813" width="0.7109375" style="3" customWidth="1"/>
    <col min="4814" max="4814" width="11.42578125" style="3"/>
    <col min="4815" max="4815" width="15.7109375" style="3" customWidth="1"/>
    <col min="4816" max="4817" width="14.85546875" style="3" customWidth="1"/>
    <col min="4818" max="4818" width="3.28515625" style="3" customWidth="1"/>
    <col min="4819" max="4819" width="20.140625" style="3" customWidth="1"/>
    <col min="4820" max="4820" width="3.28515625" style="3" customWidth="1"/>
    <col min="4821" max="4825" width="11.42578125" style="3"/>
    <col min="4826" max="4838" width="4.7109375" style="3" customWidth="1"/>
    <col min="4839" max="5048" width="11.42578125" style="3"/>
    <col min="5049" max="5049" width="0.7109375" style="3" customWidth="1"/>
    <col min="5050" max="5050" width="6.5703125" style="3" customWidth="1"/>
    <col min="5051" max="5051" width="13.5703125" style="3" customWidth="1"/>
    <col min="5052" max="5052" width="13.42578125" style="3" customWidth="1"/>
    <col min="5053" max="5054" width="12.5703125" style="3" customWidth="1"/>
    <col min="5055" max="5055" width="14.85546875" style="3" customWidth="1"/>
    <col min="5056" max="5056" width="20.7109375" style="3" customWidth="1"/>
    <col min="5057" max="5057" width="12.5703125" style="3" customWidth="1"/>
    <col min="5058" max="5058" width="13" style="3" customWidth="1"/>
    <col min="5059" max="5059" width="16" style="3" customWidth="1"/>
    <col min="5060" max="5060" width="6.42578125" style="3" customWidth="1"/>
    <col min="5061" max="5061" width="16" style="3" customWidth="1"/>
    <col min="5062" max="5062" width="2.85546875" style="3" customWidth="1"/>
    <col min="5063" max="5063" width="0.85546875" style="3" customWidth="1"/>
    <col min="5064" max="5064" width="11.42578125" style="3"/>
    <col min="5065" max="5065" width="15.42578125" style="3" customWidth="1"/>
    <col min="5066" max="5068" width="14.85546875" style="3" customWidth="1"/>
    <col min="5069" max="5069" width="0.7109375" style="3" customWidth="1"/>
    <col min="5070" max="5070" width="11.42578125" style="3"/>
    <col min="5071" max="5071" width="15.7109375" style="3" customWidth="1"/>
    <col min="5072" max="5073" width="14.85546875" style="3" customWidth="1"/>
    <col min="5074" max="5074" width="3.28515625" style="3" customWidth="1"/>
    <col min="5075" max="5075" width="20.140625" style="3" customWidth="1"/>
    <col min="5076" max="5076" width="3.28515625" style="3" customWidth="1"/>
    <col min="5077" max="5081" width="11.42578125" style="3"/>
    <col min="5082" max="5094" width="4.7109375" style="3" customWidth="1"/>
    <col min="5095" max="5304" width="11.42578125" style="3"/>
    <col min="5305" max="5305" width="0.7109375" style="3" customWidth="1"/>
    <col min="5306" max="5306" width="6.5703125" style="3" customWidth="1"/>
    <col min="5307" max="5307" width="13.5703125" style="3" customWidth="1"/>
    <col min="5308" max="5308" width="13.42578125" style="3" customWidth="1"/>
    <col min="5309" max="5310" width="12.5703125" style="3" customWidth="1"/>
    <col min="5311" max="5311" width="14.85546875" style="3" customWidth="1"/>
    <col min="5312" max="5312" width="20.7109375" style="3" customWidth="1"/>
    <col min="5313" max="5313" width="12.5703125" style="3" customWidth="1"/>
    <col min="5314" max="5314" width="13" style="3" customWidth="1"/>
    <col min="5315" max="5315" width="16" style="3" customWidth="1"/>
    <col min="5316" max="5316" width="6.42578125" style="3" customWidth="1"/>
    <col min="5317" max="5317" width="16" style="3" customWidth="1"/>
    <col min="5318" max="5318" width="2.85546875" style="3" customWidth="1"/>
    <col min="5319" max="5319" width="0.85546875" style="3" customWidth="1"/>
    <col min="5320" max="5320" width="11.42578125" style="3"/>
    <col min="5321" max="5321" width="15.42578125" style="3" customWidth="1"/>
    <col min="5322" max="5324" width="14.85546875" style="3" customWidth="1"/>
    <col min="5325" max="5325" width="0.7109375" style="3" customWidth="1"/>
    <col min="5326" max="5326" width="11.42578125" style="3"/>
    <col min="5327" max="5327" width="15.7109375" style="3" customWidth="1"/>
    <col min="5328" max="5329" width="14.85546875" style="3" customWidth="1"/>
    <col min="5330" max="5330" width="3.28515625" style="3" customWidth="1"/>
    <col min="5331" max="5331" width="20.140625" style="3" customWidth="1"/>
    <col min="5332" max="5332" width="3.28515625" style="3" customWidth="1"/>
    <col min="5333" max="5337" width="11.42578125" style="3"/>
    <col min="5338" max="5350" width="4.7109375" style="3" customWidth="1"/>
    <col min="5351" max="5560" width="11.42578125" style="3"/>
    <col min="5561" max="5561" width="0.7109375" style="3" customWidth="1"/>
    <col min="5562" max="5562" width="6.5703125" style="3" customWidth="1"/>
    <col min="5563" max="5563" width="13.5703125" style="3" customWidth="1"/>
    <col min="5564" max="5564" width="13.42578125" style="3" customWidth="1"/>
    <col min="5565" max="5566" width="12.5703125" style="3" customWidth="1"/>
    <col min="5567" max="5567" width="14.85546875" style="3" customWidth="1"/>
    <col min="5568" max="5568" width="20.7109375" style="3" customWidth="1"/>
    <col min="5569" max="5569" width="12.5703125" style="3" customWidth="1"/>
    <col min="5570" max="5570" width="13" style="3" customWidth="1"/>
    <col min="5571" max="5571" width="16" style="3" customWidth="1"/>
    <col min="5572" max="5572" width="6.42578125" style="3" customWidth="1"/>
    <col min="5573" max="5573" width="16" style="3" customWidth="1"/>
    <col min="5574" max="5574" width="2.85546875" style="3" customWidth="1"/>
    <col min="5575" max="5575" width="0.85546875" style="3" customWidth="1"/>
    <col min="5576" max="5576" width="11.42578125" style="3"/>
    <col min="5577" max="5577" width="15.42578125" style="3" customWidth="1"/>
    <col min="5578" max="5580" width="14.85546875" style="3" customWidth="1"/>
    <col min="5581" max="5581" width="0.7109375" style="3" customWidth="1"/>
    <col min="5582" max="5582" width="11.42578125" style="3"/>
    <col min="5583" max="5583" width="15.7109375" style="3" customWidth="1"/>
    <col min="5584" max="5585" width="14.85546875" style="3" customWidth="1"/>
    <col min="5586" max="5586" width="3.28515625" style="3" customWidth="1"/>
    <col min="5587" max="5587" width="20.140625" style="3" customWidth="1"/>
    <col min="5588" max="5588" width="3.28515625" style="3" customWidth="1"/>
    <col min="5589" max="5593" width="11.42578125" style="3"/>
    <col min="5594" max="5606" width="4.7109375" style="3" customWidth="1"/>
    <col min="5607" max="5816" width="11.42578125" style="3"/>
    <col min="5817" max="5817" width="0.7109375" style="3" customWidth="1"/>
    <col min="5818" max="5818" width="6.5703125" style="3" customWidth="1"/>
    <col min="5819" max="5819" width="13.5703125" style="3" customWidth="1"/>
    <col min="5820" max="5820" width="13.42578125" style="3" customWidth="1"/>
    <col min="5821" max="5822" width="12.5703125" style="3" customWidth="1"/>
    <col min="5823" max="5823" width="14.85546875" style="3" customWidth="1"/>
    <col min="5824" max="5824" width="20.7109375" style="3" customWidth="1"/>
    <col min="5825" max="5825" width="12.5703125" style="3" customWidth="1"/>
    <col min="5826" max="5826" width="13" style="3" customWidth="1"/>
    <col min="5827" max="5827" width="16" style="3" customWidth="1"/>
    <col min="5828" max="5828" width="6.42578125" style="3" customWidth="1"/>
    <col min="5829" max="5829" width="16" style="3" customWidth="1"/>
    <col min="5830" max="5830" width="2.85546875" style="3" customWidth="1"/>
    <col min="5831" max="5831" width="0.85546875" style="3" customWidth="1"/>
    <col min="5832" max="5832" width="11.42578125" style="3"/>
    <col min="5833" max="5833" width="15.42578125" style="3" customWidth="1"/>
    <col min="5834" max="5836" width="14.85546875" style="3" customWidth="1"/>
    <col min="5837" max="5837" width="0.7109375" style="3" customWidth="1"/>
    <col min="5838" max="5838" width="11.42578125" style="3"/>
    <col min="5839" max="5839" width="15.7109375" style="3" customWidth="1"/>
    <col min="5840" max="5841" width="14.85546875" style="3" customWidth="1"/>
    <col min="5842" max="5842" width="3.28515625" style="3" customWidth="1"/>
    <col min="5843" max="5843" width="20.140625" style="3" customWidth="1"/>
    <col min="5844" max="5844" width="3.28515625" style="3" customWidth="1"/>
    <col min="5845" max="5849" width="11.42578125" style="3"/>
    <col min="5850" max="5862" width="4.7109375" style="3" customWidth="1"/>
    <col min="5863" max="6072" width="11.42578125" style="3"/>
    <col min="6073" max="6073" width="0.7109375" style="3" customWidth="1"/>
    <col min="6074" max="6074" width="6.5703125" style="3" customWidth="1"/>
    <col min="6075" max="6075" width="13.5703125" style="3" customWidth="1"/>
    <col min="6076" max="6076" width="13.42578125" style="3" customWidth="1"/>
    <col min="6077" max="6078" width="12.5703125" style="3" customWidth="1"/>
    <col min="6079" max="6079" width="14.85546875" style="3" customWidth="1"/>
    <col min="6080" max="6080" width="20.7109375" style="3" customWidth="1"/>
    <col min="6081" max="6081" width="12.5703125" style="3" customWidth="1"/>
    <col min="6082" max="6082" width="13" style="3" customWidth="1"/>
    <col min="6083" max="6083" width="16" style="3" customWidth="1"/>
    <col min="6084" max="6084" width="6.42578125" style="3" customWidth="1"/>
    <col min="6085" max="6085" width="16" style="3" customWidth="1"/>
    <col min="6086" max="6086" width="2.85546875" style="3" customWidth="1"/>
    <col min="6087" max="6087" width="0.85546875" style="3" customWidth="1"/>
    <col min="6088" max="6088" width="11.42578125" style="3"/>
    <col min="6089" max="6089" width="15.42578125" style="3" customWidth="1"/>
    <col min="6090" max="6092" width="14.85546875" style="3" customWidth="1"/>
    <col min="6093" max="6093" width="0.7109375" style="3" customWidth="1"/>
    <col min="6094" max="6094" width="11.42578125" style="3"/>
    <col min="6095" max="6095" width="15.7109375" style="3" customWidth="1"/>
    <col min="6096" max="6097" width="14.85546875" style="3" customWidth="1"/>
    <col min="6098" max="6098" width="3.28515625" style="3" customWidth="1"/>
    <col min="6099" max="6099" width="20.140625" style="3" customWidth="1"/>
    <col min="6100" max="6100" width="3.28515625" style="3" customWidth="1"/>
    <col min="6101" max="6105" width="11.42578125" style="3"/>
    <col min="6106" max="6118" width="4.7109375" style="3" customWidth="1"/>
    <col min="6119" max="6328" width="11.42578125" style="3"/>
    <col min="6329" max="6329" width="0.7109375" style="3" customWidth="1"/>
    <col min="6330" max="6330" width="6.5703125" style="3" customWidth="1"/>
    <col min="6331" max="6331" width="13.5703125" style="3" customWidth="1"/>
    <col min="6332" max="6332" width="13.42578125" style="3" customWidth="1"/>
    <col min="6333" max="6334" width="12.5703125" style="3" customWidth="1"/>
    <col min="6335" max="6335" width="14.85546875" style="3" customWidth="1"/>
    <col min="6336" max="6336" width="20.7109375" style="3" customWidth="1"/>
    <col min="6337" max="6337" width="12.5703125" style="3" customWidth="1"/>
    <col min="6338" max="6338" width="13" style="3" customWidth="1"/>
    <col min="6339" max="6339" width="16" style="3" customWidth="1"/>
    <col min="6340" max="6340" width="6.42578125" style="3" customWidth="1"/>
    <col min="6341" max="6341" width="16" style="3" customWidth="1"/>
    <col min="6342" max="6342" width="2.85546875" style="3" customWidth="1"/>
    <col min="6343" max="6343" width="0.85546875" style="3" customWidth="1"/>
    <col min="6344" max="6344" width="11.42578125" style="3"/>
    <col min="6345" max="6345" width="15.42578125" style="3" customWidth="1"/>
    <col min="6346" max="6348" width="14.85546875" style="3" customWidth="1"/>
    <col min="6349" max="6349" width="0.7109375" style="3" customWidth="1"/>
    <col min="6350" max="6350" width="11.42578125" style="3"/>
    <col min="6351" max="6351" width="15.7109375" style="3" customWidth="1"/>
    <col min="6352" max="6353" width="14.85546875" style="3" customWidth="1"/>
    <col min="6354" max="6354" width="3.28515625" style="3" customWidth="1"/>
    <col min="6355" max="6355" width="20.140625" style="3" customWidth="1"/>
    <col min="6356" max="6356" width="3.28515625" style="3" customWidth="1"/>
    <col min="6357" max="6361" width="11.42578125" style="3"/>
    <col min="6362" max="6374" width="4.7109375" style="3" customWidth="1"/>
    <col min="6375" max="6584" width="11.42578125" style="3"/>
    <col min="6585" max="6585" width="0.7109375" style="3" customWidth="1"/>
    <col min="6586" max="6586" width="6.5703125" style="3" customWidth="1"/>
    <col min="6587" max="6587" width="13.5703125" style="3" customWidth="1"/>
    <col min="6588" max="6588" width="13.42578125" style="3" customWidth="1"/>
    <col min="6589" max="6590" width="12.5703125" style="3" customWidth="1"/>
    <col min="6591" max="6591" width="14.85546875" style="3" customWidth="1"/>
    <col min="6592" max="6592" width="20.7109375" style="3" customWidth="1"/>
    <col min="6593" max="6593" width="12.5703125" style="3" customWidth="1"/>
    <col min="6594" max="6594" width="13" style="3" customWidth="1"/>
    <col min="6595" max="6595" width="16" style="3" customWidth="1"/>
    <col min="6596" max="6596" width="6.42578125" style="3" customWidth="1"/>
    <col min="6597" max="6597" width="16" style="3" customWidth="1"/>
    <col min="6598" max="6598" width="2.85546875" style="3" customWidth="1"/>
    <col min="6599" max="6599" width="0.85546875" style="3" customWidth="1"/>
    <col min="6600" max="6600" width="11.42578125" style="3"/>
    <col min="6601" max="6601" width="15.42578125" style="3" customWidth="1"/>
    <col min="6602" max="6604" width="14.85546875" style="3" customWidth="1"/>
    <col min="6605" max="6605" width="0.7109375" style="3" customWidth="1"/>
    <col min="6606" max="6606" width="11.42578125" style="3"/>
    <col min="6607" max="6607" width="15.7109375" style="3" customWidth="1"/>
    <col min="6608" max="6609" width="14.85546875" style="3" customWidth="1"/>
    <col min="6610" max="6610" width="3.28515625" style="3" customWidth="1"/>
    <col min="6611" max="6611" width="20.140625" style="3" customWidth="1"/>
    <col min="6612" max="6612" width="3.28515625" style="3" customWidth="1"/>
    <col min="6613" max="6617" width="11.42578125" style="3"/>
    <col min="6618" max="6630" width="4.7109375" style="3" customWidth="1"/>
    <col min="6631" max="6840" width="11.42578125" style="3"/>
    <col min="6841" max="6841" width="0.7109375" style="3" customWidth="1"/>
    <col min="6842" max="6842" width="6.5703125" style="3" customWidth="1"/>
    <col min="6843" max="6843" width="13.5703125" style="3" customWidth="1"/>
    <col min="6844" max="6844" width="13.42578125" style="3" customWidth="1"/>
    <col min="6845" max="6846" width="12.5703125" style="3" customWidth="1"/>
    <col min="6847" max="6847" width="14.85546875" style="3" customWidth="1"/>
    <col min="6848" max="6848" width="20.7109375" style="3" customWidth="1"/>
    <col min="6849" max="6849" width="12.5703125" style="3" customWidth="1"/>
    <col min="6850" max="6850" width="13" style="3" customWidth="1"/>
    <col min="6851" max="6851" width="16" style="3" customWidth="1"/>
    <col min="6852" max="6852" width="6.42578125" style="3" customWidth="1"/>
    <col min="6853" max="6853" width="16" style="3" customWidth="1"/>
    <col min="6854" max="6854" width="2.85546875" style="3" customWidth="1"/>
    <col min="6855" max="6855" width="0.85546875" style="3" customWidth="1"/>
    <col min="6856" max="6856" width="11.42578125" style="3"/>
    <col min="6857" max="6857" width="15.42578125" style="3" customWidth="1"/>
    <col min="6858" max="6860" width="14.85546875" style="3" customWidth="1"/>
    <col min="6861" max="6861" width="0.7109375" style="3" customWidth="1"/>
    <col min="6862" max="6862" width="11.42578125" style="3"/>
    <col min="6863" max="6863" width="15.7109375" style="3" customWidth="1"/>
    <col min="6864" max="6865" width="14.85546875" style="3" customWidth="1"/>
    <col min="6866" max="6866" width="3.28515625" style="3" customWidth="1"/>
    <col min="6867" max="6867" width="20.140625" style="3" customWidth="1"/>
    <col min="6868" max="6868" width="3.28515625" style="3" customWidth="1"/>
    <col min="6869" max="6873" width="11.42578125" style="3"/>
    <col min="6874" max="6886" width="4.7109375" style="3" customWidth="1"/>
    <col min="6887" max="7096" width="11.42578125" style="3"/>
    <col min="7097" max="7097" width="0.7109375" style="3" customWidth="1"/>
    <col min="7098" max="7098" width="6.5703125" style="3" customWidth="1"/>
    <col min="7099" max="7099" width="13.5703125" style="3" customWidth="1"/>
    <col min="7100" max="7100" width="13.42578125" style="3" customWidth="1"/>
    <col min="7101" max="7102" width="12.5703125" style="3" customWidth="1"/>
    <col min="7103" max="7103" width="14.85546875" style="3" customWidth="1"/>
    <col min="7104" max="7104" width="20.7109375" style="3" customWidth="1"/>
    <col min="7105" max="7105" width="12.5703125" style="3" customWidth="1"/>
    <col min="7106" max="7106" width="13" style="3" customWidth="1"/>
    <col min="7107" max="7107" width="16" style="3" customWidth="1"/>
    <col min="7108" max="7108" width="6.42578125" style="3" customWidth="1"/>
    <col min="7109" max="7109" width="16" style="3" customWidth="1"/>
    <col min="7110" max="7110" width="2.85546875" style="3" customWidth="1"/>
    <col min="7111" max="7111" width="0.85546875" style="3" customWidth="1"/>
    <col min="7112" max="7112" width="11.42578125" style="3"/>
    <col min="7113" max="7113" width="15.42578125" style="3" customWidth="1"/>
    <col min="7114" max="7116" width="14.85546875" style="3" customWidth="1"/>
    <col min="7117" max="7117" width="0.7109375" style="3" customWidth="1"/>
    <col min="7118" max="7118" width="11.42578125" style="3"/>
    <col min="7119" max="7119" width="15.7109375" style="3" customWidth="1"/>
    <col min="7120" max="7121" width="14.85546875" style="3" customWidth="1"/>
    <col min="7122" max="7122" width="3.28515625" style="3" customWidth="1"/>
    <col min="7123" max="7123" width="20.140625" style="3" customWidth="1"/>
    <col min="7124" max="7124" width="3.28515625" style="3" customWidth="1"/>
    <col min="7125" max="7129" width="11.42578125" style="3"/>
    <col min="7130" max="7142" width="4.7109375" style="3" customWidth="1"/>
    <col min="7143" max="7352" width="11.42578125" style="3"/>
    <col min="7353" max="7353" width="0.7109375" style="3" customWidth="1"/>
    <col min="7354" max="7354" width="6.5703125" style="3" customWidth="1"/>
    <col min="7355" max="7355" width="13.5703125" style="3" customWidth="1"/>
    <col min="7356" max="7356" width="13.42578125" style="3" customWidth="1"/>
    <col min="7357" max="7358" width="12.5703125" style="3" customWidth="1"/>
    <col min="7359" max="7359" width="14.85546875" style="3" customWidth="1"/>
    <col min="7360" max="7360" width="20.7109375" style="3" customWidth="1"/>
    <col min="7361" max="7361" width="12.5703125" style="3" customWidth="1"/>
    <col min="7362" max="7362" width="13" style="3" customWidth="1"/>
    <col min="7363" max="7363" width="16" style="3" customWidth="1"/>
    <col min="7364" max="7364" width="6.42578125" style="3" customWidth="1"/>
    <col min="7365" max="7365" width="16" style="3" customWidth="1"/>
    <col min="7366" max="7366" width="2.85546875" style="3" customWidth="1"/>
    <col min="7367" max="7367" width="0.85546875" style="3" customWidth="1"/>
    <col min="7368" max="7368" width="11.42578125" style="3"/>
    <col min="7369" max="7369" width="15.42578125" style="3" customWidth="1"/>
    <col min="7370" max="7372" width="14.85546875" style="3" customWidth="1"/>
    <col min="7373" max="7373" width="0.7109375" style="3" customWidth="1"/>
    <col min="7374" max="7374" width="11.42578125" style="3"/>
    <col min="7375" max="7375" width="15.7109375" style="3" customWidth="1"/>
    <col min="7376" max="7377" width="14.85546875" style="3" customWidth="1"/>
    <col min="7378" max="7378" width="3.28515625" style="3" customWidth="1"/>
    <col min="7379" max="7379" width="20.140625" style="3" customWidth="1"/>
    <col min="7380" max="7380" width="3.28515625" style="3" customWidth="1"/>
    <col min="7381" max="7385" width="11.42578125" style="3"/>
    <col min="7386" max="7398" width="4.7109375" style="3" customWidth="1"/>
    <col min="7399" max="7608" width="11.42578125" style="3"/>
    <col min="7609" max="7609" width="0.7109375" style="3" customWidth="1"/>
    <col min="7610" max="7610" width="6.5703125" style="3" customWidth="1"/>
    <col min="7611" max="7611" width="13.5703125" style="3" customWidth="1"/>
    <col min="7612" max="7612" width="13.42578125" style="3" customWidth="1"/>
    <col min="7613" max="7614" width="12.5703125" style="3" customWidth="1"/>
    <col min="7615" max="7615" width="14.85546875" style="3" customWidth="1"/>
    <col min="7616" max="7616" width="20.7109375" style="3" customWidth="1"/>
    <col min="7617" max="7617" width="12.5703125" style="3" customWidth="1"/>
    <col min="7618" max="7618" width="13" style="3" customWidth="1"/>
    <col min="7619" max="7619" width="16" style="3" customWidth="1"/>
    <col min="7620" max="7620" width="6.42578125" style="3" customWidth="1"/>
    <col min="7621" max="7621" width="16" style="3" customWidth="1"/>
    <col min="7622" max="7622" width="2.85546875" style="3" customWidth="1"/>
    <col min="7623" max="7623" width="0.85546875" style="3" customWidth="1"/>
    <col min="7624" max="7624" width="11.42578125" style="3"/>
    <col min="7625" max="7625" width="15.42578125" style="3" customWidth="1"/>
    <col min="7626" max="7628" width="14.85546875" style="3" customWidth="1"/>
    <col min="7629" max="7629" width="0.7109375" style="3" customWidth="1"/>
    <col min="7630" max="7630" width="11.42578125" style="3"/>
    <col min="7631" max="7631" width="15.7109375" style="3" customWidth="1"/>
    <col min="7632" max="7633" width="14.85546875" style="3" customWidth="1"/>
    <col min="7634" max="7634" width="3.28515625" style="3" customWidth="1"/>
    <col min="7635" max="7635" width="20.140625" style="3" customWidth="1"/>
    <col min="7636" max="7636" width="3.28515625" style="3" customWidth="1"/>
    <col min="7637" max="7641" width="11.42578125" style="3"/>
    <col min="7642" max="7654" width="4.7109375" style="3" customWidth="1"/>
    <col min="7655" max="7864" width="11.42578125" style="3"/>
    <col min="7865" max="7865" width="0.7109375" style="3" customWidth="1"/>
    <col min="7866" max="7866" width="6.5703125" style="3" customWidth="1"/>
    <col min="7867" max="7867" width="13.5703125" style="3" customWidth="1"/>
    <col min="7868" max="7868" width="13.42578125" style="3" customWidth="1"/>
    <col min="7869" max="7870" width="12.5703125" style="3" customWidth="1"/>
    <col min="7871" max="7871" width="14.85546875" style="3" customWidth="1"/>
    <col min="7872" max="7872" width="20.7109375" style="3" customWidth="1"/>
    <col min="7873" max="7873" width="12.5703125" style="3" customWidth="1"/>
    <col min="7874" max="7874" width="13" style="3" customWidth="1"/>
    <col min="7875" max="7875" width="16" style="3" customWidth="1"/>
    <col min="7876" max="7876" width="6.42578125" style="3" customWidth="1"/>
    <col min="7877" max="7877" width="16" style="3" customWidth="1"/>
    <col min="7878" max="7878" width="2.85546875" style="3" customWidth="1"/>
    <col min="7879" max="7879" width="0.85546875" style="3" customWidth="1"/>
    <col min="7880" max="7880" width="11.42578125" style="3"/>
    <col min="7881" max="7881" width="15.42578125" style="3" customWidth="1"/>
    <col min="7882" max="7884" width="14.85546875" style="3" customWidth="1"/>
    <col min="7885" max="7885" width="0.7109375" style="3" customWidth="1"/>
    <col min="7886" max="7886" width="11.42578125" style="3"/>
    <col min="7887" max="7887" width="15.7109375" style="3" customWidth="1"/>
    <col min="7888" max="7889" width="14.85546875" style="3" customWidth="1"/>
    <col min="7890" max="7890" width="3.28515625" style="3" customWidth="1"/>
    <col min="7891" max="7891" width="20.140625" style="3" customWidth="1"/>
    <col min="7892" max="7892" width="3.28515625" style="3" customWidth="1"/>
    <col min="7893" max="7897" width="11.42578125" style="3"/>
    <col min="7898" max="7910" width="4.7109375" style="3" customWidth="1"/>
    <col min="7911" max="8120" width="11.42578125" style="3"/>
    <col min="8121" max="8121" width="0.7109375" style="3" customWidth="1"/>
    <col min="8122" max="8122" width="6.5703125" style="3" customWidth="1"/>
    <col min="8123" max="8123" width="13.5703125" style="3" customWidth="1"/>
    <col min="8124" max="8124" width="13.42578125" style="3" customWidth="1"/>
    <col min="8125" max="8126" width="12.5703125" style="3" customWidth="1"/>
    <col min="8127" max="8127" width="14.85546875" style="3" customWidth="1"/>
    <col min="8128" max="8128" width="20.7109375" style="3" customWidth="1"/>
    <col min="8129" max="8129" width="12.5703125" style="3" customWidth="1"/>
    <col min="8130" max="8130" width="13" style="3" customWidth="1"/>
    <col min="8131" max="8131" width="16" style="3" customWidth="1"/>
    <col min="8132" max="8132" width="6.42578125" style="3" customWidth="1"/>
    <col min="8133" max="8133" width="16" style="3" customWidth="1"/>
    <col min="8134" max="8134" width="2.85546875" style="3" customWidth="1"/>
    <col min="8135" max="8135" width="0.85546875" style="3" customWidth="1"/>
    <col min="8136" max="8136" width="11.42578125" style="3"/>
    <col min="8137" max="8137" width="15.42578125" style="3" customWidth="1"/>
    <col min="8138" max="8140" width="14.85546875" style="3" customWidth="1"/>
    <col min="8141" max="8141" width="0.7109375" style="3" customWidth="1"/>
    <col min="8142" max="8142" width="11.42578125" style="3"/>
    <col min="8143" max="8143" width="15.7109375" style="3" customWidth="1"/>
    <col min="8144" max="8145" width="14.85546875" style="3" customWidth="1"/>
    <col min="8146" max="8146" width="3.28515625" style="3" customWidth="1"/>
    <col min="8147" max="8147" width="20.140625" style="3" customWidth="1"/>
    <col min="8148" max="8148" width="3.28515625" style="3" customWidth="1"/>
    <col min="8149" max="8153" width="11.42578125" style="3"/>
    <col min="8154" max="8166" width="4.7109375" style="3" customWidth="1"/>
    <col min="8167" max="8376" width="11.42578125" style="3"/>
    <col min="8377" max="8377" width="0.7109375" style="3" customWidth="1"/>
    <col min="8378" max="8378" width="6.5703125" style="3" customWidth="1"/>
    <col min="8379" max="8379" width="13.5703125" style="3" customWidth="1"/>
    <col min="8380" max="8380" width="13.42578125" style="3" customWidth="1"/>
    <col min="8381" max="8382" width="12.5703125" style="3" customWidth="1"/>
    <col min="8383" max="8383" width="14.85546875" style="3" customWidth="1"/>
    <col min="8384" max="8384" width="20.7109375" style="3" customWidth="1"/>
    <col min="8385" max="8385" width="12.5703125" style="3" customWidth="1"/>
    <col min="8386" max="8386" width="13" style="3" customWidth="1"/>
    <col min="8387" max="8387" width="16" style="3" customWidth="1"/>
    <col min="8388" max="8388" width="6.42578125" style="3" customWidth="1"/>
    <col min="8389" max="8389" width="16" style="3" customWidth="1"/>
    <col min="8390" max="8390" width="2.85546875" style="3" customWidth="1"/>
    <col min="8391" max="8391" width="0.85546875" style="3" customWidth="1"/>
    <col min="8392" max="8392" width="11.42578125" style="3"/>
    <col min="8393" max="8393" width="15.42578125" style="3" customWidth="1"/>
    <col min="8394" max="8396" width="14.85546875" style="3" customWidth="1"/>
    <col min="8397" max="8397" width="0.7109375" style="3" customWidth="1"/>
    <col min="8398" max="8398" width="11.42578125" style="3"/>
    <col min="8399" max="8399" width="15.7109375" style="3" customWidth="1"/>
    <col min="8400" max="8401" width="14.85546875" style="3" customWidth="1"/>
    <col min="8402" max="8402" width="3.28515625" style="3" customWidth="1"/>
    <col min="8403" max="8403" width="20.140625" style="3" customWidth="1"/>
    <col min="8404" max="8404" width="3.28515625" style="3" customWidth="1"/>
    <col min="8405" max="8409" width="11.42578125" style="3"/>
    <col min="8410" max="8422" width="4.7109375" style="3" customWidth="1"/>
    <col min="8423" max="8632" width="11.42578125" style="3"/>
    <col min="8633" max="8633" width="0.7109375" style="3" customWidth="1"/>
    <col min="8634" max="8634" width="6.5703125" style="3" customWidth="1"/>
    <col min="8635" max="8635" width="13.5703125" style="3" customWidth="1"/>
    <col min="8636" max="8636" width="13.42578125" style="3" customWidth="1"/>
    <col min="8637" max="8638" width="12.5703125" style="3" customWidth="1"/>
    <col min="8639" max="8639" width="14.85546875" style="3" customWidth="1"/>
    <col min="8640" max="8640" width="20.7109375" style="3" customWidth="1"/>
    <col min="8641" max="8641" width="12.5703125" style="3" customWidth="1"/>
    <col min="8642" max="8642" width="13" style="3" customWidth="1"/>
    <col min="8643" max="8643" width="16" style="3" customWidth="1"/>
    <col min="8644" max="8644" width="6.42578125" style="3" customWidth="1"/>
    <col min="8645" max="8645" width="16" style="3" customWidth="1"/>
    <col min="8646" max="8646" width="2.85546875" style="3" customWidth="1"/>
    <col min="8647" max="8647" width="0.85546875" style="3" customWidth="1"/>
    <col min="8648" max="8648" width="11.42578125" style="3"/>
    <col min="8649" max="8649" width="15.42578125" style="3" customWidth="1"/>
    <col min="8650" max="8652" width="14.85546875" style="3" customWidth="1"/>
    <col min="8653" max="8653" width="0.7109375" style="3" customWidth="1"/>
    <col min="8654" max="8654" width="11.42578125" style="3"/>
    <col min="8655" max="8655" width="15.7109375" style="3" customWidth="1"/>
    <col min="8656" max="8657" width="14.85546875" style="3" customWidth="1"/>
    <col min="8658" max="8658" width="3.28515625" style="3" customWidth="1"/>
    <col min="8659" max="8659" width="20.140625" style="3" customWidth="1"/>
    <col min="8660" max="8660" width="3.28515625" style="3" customWidth="1"/>
    <col min="8661" max="8665" width="11.42578125" style="3"/>
    <col min="8666" max="8678" width="4.7109375" style="3" customWidth="1"/>
    <col min="8679" max="8888" width="11.42578125" style="3"/>
    <col min="8889" max="8889" width="0.7109375" style="3" customWidth="1"/>
    <col min="8890" max="8890" width="6.5703125" style="3" customWidth="1"/>
    <col min="8891" max="8891" width="13.5703125" style="3" customWidth="1"/>
    <col min="8892" max="8892" width="13.42578125" style="3" customWidth="1"/>
    <col min="8893" max="8894" width="12.5703125" style="3" customWidth="1"/>
    <col min="8895" max="8895" width="14.85546875" style="3" customWidth="1"/>
    <col min="8896" max="8896" width="20.7109375" style="3" customWidth="1"/>
    <col min="8897" max="8897" width="12.5703125" style="3" customWidth="1"/>
    <col min="8898" max="8898" width="13" style="3" customWidth="1"/>
    <col min="8899" max="8899" width="16" style="3" customWidth="1"/>
    <col min="8900" max="8900" width="6.42578125" style="3" customWidth="1"/>
    <col min="8901" max="8901" width="16" style="3" customWidth="1"/>
    <col min="8902" max="8902" width="2.85546875" style="3" customWidth="1"/>
    <col min="8903" max="8903" width="0.85546875" style="3" customWidth="1"/>
    <col min="8904" max="8904" width="11.42578125" style="3"/>
    <col min="8905" max="8905" width="15.42578125" style="3" customWidth="1"/>
    <col min="8906" max="8908" width="14.85546875" style="3" customWidth="1"/>
    <col min="8909" max="8909" width="0.7109375" style="3" customWidth="1"/>
    <col min="8910" max="8910" width="11.42578125" style="3"/>
    <col min="8911" max="8911" width="15.7109375" style="3" customWidth="1"/>
    <col min="8912" max="8913" width="14.85546875" style="3" customWidth="1"/>
    <col min="8914" max="8914" width="3.28515625" style="3" customWidth="1"/>
    <col min="8915" max="8915" width="20.140625" style="3" customWidth="1"/>
    <col min="8916" max="8916" width="3.28515625" style="3" customWidth="1"/>
    <col min="8917" max="8921" width="11.42578125" style="3"/>
    <col min="8922" max="8934" width="4.7109375" style="3" customWidth="1"/>
    <col min="8935" max="9144" width="11.42578125" style="3"/>
    <col min="9145" max="9145" width="0.7109375" style="3" customWidth="1"/>
    <col min="9146" max="9146" width="6.5703125" style="3" customWidth="1"/>
    <col min="9147" max="9147" width="13.5703125" style="3" customWidth="1"/>
    <col min="9148" max="9148" width="13.42578125" style="3" customWidth="1"/>
    <col min="9149" max="9150" width="12.5703125" style="3" customWidth="1"/>
    <col min="9151" max="9151" width="14.85546875" style="3" customWidth="1"/>
    <col min="9152" max="9152" width="20.7109375" style="3" customWidth="1"/>
    <col min="9153" max="9153" width="12.5703125" style="3" customWidth="1"/>
    <col min="9154" max="9154" width="13" style="3" customWidth="1"/>
    <col min="9155" max="9155" width="16" style="3" customWidth="1"/>
    <col min="9156" max="9156" width="6.42578125" style="3" customWidth="1"/>
    <col min="9157" max="9157" width="16" style="3" customWidth="1"/>
    <col min="9158" max="9158" width="2.85546875" style="3" customWidth="1"/>
    <col min="9159" max="9159" width="0.85546875" style="3" customWidth="1"/>
    <col min="9160" max="9160" width="11.42578125" style="3"/>
    <col min="9161" max="9161" width="15.42578125" style="3" customWidth="1"/>
    <col min="9162" max="9164" width="14.85546875" style="3" customWidth="1"/>
    <col min="9165" max="9165" width="0.7109375" style="3" customWidth="1"/>
    <col min="9166" max="9166" width="11.42578125" style="3"/>
    <col min="9167" max="9167" width="15.7109375" style="3" customWidth="1"/>
    <col min="9168" max="9169" width="14.85546875" style="3" customWidth="1"/>
    <col min="9170" max="9170" width="3.28515625" style="3" customWidth="1"/>
    <col min="9171" max="9171" width="20.140625" style="3" customWidth="1"/>
    <col min="9172" max="9172" width="3.28515625" style="3" customWidth="1"/>
    <col min="9173" max="9177" width="11.42578125" style="3"/>
    <col min="9178" max="9190" width="4.7109375" style="3" customWidth="1"/>
    <col min="9191" max="9400" width="11.42578125" style="3"/>
    <col min="9401" max="9401" width="0.7109375" style="3" customWidth="1"/>
    <col min="9402" max="9402" width="6.5703125" style="3" customWidth="1"/>
    <col min="9403" max="9403" width="13.5703125" style="3" customWidth="1"/>
    <col min="9404" max="9404" width="13.42578125" style="3" customWidth="1"/>
    <col min="9405" max="9406" width="12.5703125" style="3" customWidth="1"/>
    <col min="9407" max="9407" width="14.85546875" style="3" customWidth="1"/>
    <col min="9408" max="9408" width="20.7109375" style="3" customWidth="1"/>
    <col min="9409" max="9409" width="12.5703125" style="3" customWidth="1"/>
    <col min="9410" max="9410" width="13" style="3" customWidth="1"/>
    <col min="9411" max="9411" width="16" style="3" customWidth="1"/>
    <col min="9412" max="9412" width="6.42578125" style="3" customWidth="1"/>
    <col min="9413" max="9413" width="16" style="3" customWidth="1"/>
    <col min="9414" max="9414" width="2.85546875" style="3" customWidth="1"/>
    <col min="9415" max="9415" width="0.85546875" style="3" customWidth="1"/>
    <col min="9416" max="9416" width="11.42578125" style="3"/>
    <col min="9417" max="9417" width="15.42578125" style="3" customWidth="1"/>
    <col min="9418" max="9420" width="14.85546875" style="3" customWidth="1"/>
    <col min="9421" max="9421" width="0.7109375" style="3" customWidth="1"/>
    <col min="9422" max="9422" width="11.42578125" style="3"/>
    <col min="9423" max="9423" width="15.7109375" style="3" customWidth="1"/>
    <col min="9424" max="9425" width="14.85546875" style="3" customWidth="1"/>
    <col min="9426" max="9426" width="3.28515625" style="3" customWidth="1"/>
    <col min="9427" max="9427" width="20.140625" style="3" customWidth="1"/>
    <col min="9428" max="9428" width="3.28515625" style="3" customWidth="1"/>
    <col min="9429" max="9433" width="11.42578125" style="3"/>
    <col min="9434" max="9446" width="4.7109375" style="3" customWidth="1"/>
    <col min="9447" max="9656" width="11.42578125" style="3"/>
    <col min="9657" max="9657" width="0.7109375" style="3" customWidth="1"/>
    <col min="9658" max="9658" width="6.5703125" style="3" customWidth="1"/>
    <col min="9659" max="9659" width="13.5703125" style="3" customWidth="1"/>
    <col min="9660" max="9660" width="13.42578125" style="3" customWidth="1"/>
    <col min="9661" max="9662" width="12.5703125" style="3" customWidth="1"/>
    <col min="9663" max="9663" width="14.85546875" style="3" customWidth="1"/>
    <col min="9664" max="9664" width="20.7109375" style="3" customWidth="1"/>
    <col min="9665" max="9665" width="12.5703125" style="3" customWidth="1"/>
    <col min="9666" max="9666" width="13" style="3" customWidth="1"/>
    <col min="9667" max="9667" width="16" style="3" customWidth="1"/>
    <col min="9668" max="9668" width="6.42578125" style="3" customWidth="1"/>
    <col min="9669" max="9669" width="16" style="3" customWidth="1"/>
    <col min="9670" max="9670" width="2.85546875" style="3" customWidth="1"/>
    <col min="9671" max="9671" width="0.85546875" style="3" customWidth="1"/>
    <col min="9672" max="9672" width="11.42578125" style="3"/>
    <col min="9673" max="9673" width="15.42578125" style="3" customWidth="1"/>
    <col min="9674" max="9676" width="14.85546875" style="3" customWidth="1"/>
    <col min="9677" max="9677" width="0.7109375" style="3" customWidth="1"/>
    <col min="9678" max="9678" width="11.42578125" style="3"/>
    <col min="9679" max="9679" width="15.7109375" style="3" customWidth="1"/>
    <col min="9680" max="9681" width="14.85546875" style="3" customWidth="1"/>
    <col min="9682" max="9682" width="3.28515625" style="3" customWidth="1"/>
    <col min="9683" max="9683" width="20.140625" style="3" customWidth="1"/>
    <col min="9684" max="9684" width="3.28515625" style="3" customWidth="1"/>
    <col min="9685" max="9689" width="11.42578125" style="3"/>
    <col min="9690" max="9702" width="4.7109375" style="3" customWidth="1"/>
    <col min="9703" max="9912" width="11.42578125" style="3"/>
    <col min="9913" max="9913" width="0.7109375" style="3" customWidth="1"/>
    <col min="9914" max="9914" width="6.5703125" style="3" customWidth="1"/>
    <col min="9915" max="9915" width="13.5703125" style="3" customWidth="1"/>
    <col min="9916" max="9916" width="13.42578125" style="3" customWidth="1"/>
    <col min="9917" max="9918" width="12.5703125" style="3" customWidth="1"/>
    <col min="9919" max="9919" width="14.85546875" style="3" customWidth="1"/>
    <col min="9920" max="9920" width="20.7109375" style="3" customWidth="1"/>
    <col min="9921" max="9921" width="12.5703125" style="3" customWidth="1"/>
    <col min="9922" max="9922" width="13" style="3" customWidth="1"/>
    <col min="9923" max="9923" width="16" style="3" customWidth="1"/>
    <col min="9924" max="9924" width="6.42578125" style="3" customWidth="1"/>
    <col min="9925" max="9925" width="16" style="3" customWidth="1"/>
    <col min="9926" max="9926" width="2.85546875" style="3" customWidth="1"/>
    <col min="9927" max="9927" width="0.85546875" style="3" customWidth="1"/>
    <col min="9928" max="9928" width="11.42578125" style="3"/>
    <col min="9929" max="9929" width="15.42578125" style="3" customWidth="1"/>
    <col min="9930" max="9932" width="14.85546875" style="3" customWidth="1"/>
    <col min="9933" max="9933" width="0.7109375" style="3" customWidth="1"/>
    <col min="9934" max="9934" width="11.42578125" style="3"/>
    <col min="9935" max="9935" width="15.7109375" style="3" customWidth="1"/>
    <col min="9936" max="9937" width="14.85546875" style="3" customWidth="1"/>
    <col min="9938" max="9938" width="3.28515625" style="3" customWidth="1"/>
    <col min="9939" max="9939" width="20.140625" style="3" customWidth="1"/>
    <col min="9940" max="9940" width="3.28515625" style="3" customWidth="1"/>
    <col min="9941" max="9945" width="11.42578125" style="3"/>
    <col min="9946" max="9958" width="4.7109375" style="3" customWidth="1"/>
    <col min="9959" max="10168" width="11.42578125" style="3"/>
    <col min="10169" max="10169" width="0.7109375" style="3" customWidth="1"/>
    <col min="10170" max="10170" width="6.5703125" style="3" customWidth="1"/>
    <col min="10171" max="10171" width="13.5703125" style="3" customWidth="1"/>
    <col min="10172" max="10172" width="13.42578125" style="3" customWidth="1"/>
    <col min="10173" max="10174" width="12.5703125" style="3" customWidth="1"/>
    <col min="10175" max="10175" width="14.85546875" style="3" customWidth="1"/>
    <col min="10176" max="10176" width="20.7109375" style="3" customWidth="1"/>
    <col min="10177" max="10177" width="12.5703125" style="3" customWidth="1"/>
    <col min="10178" max="10178" width="13" style="3" customWidth="1"/>
    <col min="10179" max="10179" width="16" style="3" customWidth="1"/>
    <col min="10180" max="10180" width="6.42578125" style="3" customWidth="1"/>
    <col min="10181" max="10181" width="16" style="3" customWidth="1"/>
    <col min="10182" max="10182" width="2.85546875" style="3" customWidth="1"/>
    <col min="10183" max="10183" width="0.85546875" style="3" customWidth="1"/>
    <col min="10184" max="10184" width="11.42578125" style="3"/>
    <col min="10185" max="10185" width="15.42578125" style="3" customWidth="1"/>
    <col min="10186" max="10188" width="14.85546875" style="3" customWidth="1"/>
    <col min="10189" max="10189" width="0.7109375" style="3" customWidth="1"/>
    <col min="10190" max="10190" width="11.42578125" style="3"/>
    <col min="10191" max="10191" width="15.7109375" style="3" customWidth="1"/>
    <col min="10192" max="10193" width="14.85546875" style="3" customWidth="1"/>
    <col min="10194" max="10194" width="3.28515625" style="3" customWidth="1"/>
    <col min="10195" max="10195" width="20.140625" style="3" customWidth="1"/>
    <col min="10196" max="10196" width="3.28515625" style="3" customWidth="1"/>
    <col min="10197" max="10201" width="11.42578125" style="3"/>
    <col min="10202" max="10214" width="4.7109375" style="3" customWidth="1"/>
    <col min="10215" max="10424" width="11.42578125" style="3"/>
    <col min="10425" max="10425" width="0.7109375" style="3" customWidth="1"/>
    <col min="10426" max="10426" width="6.5703125" style="3" customWidth="1"/>
    <col min="10427" max="10427" width="13.5703125" style="3" customWidth="1"/>
    <col min="10428" max="10428" width="13.42578125" style="3" customWidth="1"/>
    <col min="10429" max="10430" width="12.5703125" style="3" customWidth="1"/>
    <col min="10431" max="10431" width="14.85546875" style="3" customWidth="1"/>
    <col min="10432" max="10432" width="20.7109375" style="3" customWidth="1"/>
    <col min="10433" max="10433" width="12.5703125" style="3" customWidth="1"/>
    <col min="10434" max="10434" width="13" style="3" customWidth="1"/>
    <col min="10435" max="10435" width="16" style="3" customWidth="1"/>
    <col min="10436" max="10436" width="6.42578125" style="3" customWidth="1"/>
    <col min="10437" max="10437" width="16" style="3" customWidth="1"/>
    <col min="10438" max="10438" width="2.85546875" style="3" customWidth="1"/>
    <col min="10439" max="10439" width="0.85546875" style="3" customWidth="1"/>
    <col min="10440" max="10440" width="11.42578125" style="3"/>
    <col min="10441" max="10441" width="15.42578125" style="3" customWidth="1"/>
    <col min="10442" max="10444" width="14.85546875" style="3" customWidth="1"/>
    <col min="10445" max="10445" width="0.7109375" style="3" customWidth="1"/>
    <col min="10446" max="10446" width="11.42578125" style="3"/>
    <col min="10447" max="10447" width="15.7109375" style="3" customWidth="1"/>
    <col min="10448" max="10449" width="14.85546875" style="3" customWidth="1"/>
    <col min="10450" max="10450" width="3.28515625" style="3" customWidth="1"/>
    <col min="10451" max="10451" width="20.140625" style="3" customWidth="1"/>
    <col min="10452" max="10452" width="3.28515625" style="3" customWidth="1"/>
    <col min="10453" max="10457" width="11.42578125" style="3"/>
    <col min="10458" max="10470" width="4.7109375" style="3" customWidth="1"/>
    <col min="10471" max="10680" width="11.42578125" style="3"/>
    <col min="10681" max="10681" width="0.7109375" style="3" customWidth="1"/>
    <col min="10682" max="10682" width="6.5703125" style="3" customWidth="1"/>
    <col min="10683" max="10683" width="13.5703125" style="3" customWidth="1"/>
    <col min="10684" max="10684" width="13.42578125" style="3" customWidth="1"/>
    <col min="10685" max="10686" width="12.5703125" style="3" customWidth="1"/>
    <col min="10687" max="10687" width="14.85546875" style="3" customWidth="1"/>
    <col min="10688" max="10688" width="20.7109375" style="3" customWidth="1"/>
    <col min="10689" max="10689" width="12.5703125" style="3" customWidth="1"/>
    <col min="10690" max="10690" width="13" style="3" customWidth="1"/>
    <col min="10691" max="10691" width="16" style="3" customWidth="1"/>
    <col min="10692" max="10692" width="6.42578125" style="3" customWidth="1"/>
    <col min="10693" max="10693" width="16" style="3" customWidth="1"/>
    <col min="10694" max="10694" width="2.85546875" style="3" customWidth="1"/>
    <col min="10695" max="10695" width="0.85546875" style="3" customWidth="1"/>
    <col min="10696" max="10696" width="11.42578125" style="3"/>
    <col min="10697" max="10697" width="15.42578125" style="3" customWidth="1"/>
    <col min="10698" max="10700" width="14.85546875" style="3" customWidth="1"/>
    <col min="10701" max="10701" width="0.7109375" style="3" customWidth="1"/>
    <col min="10702" max="10702" width="11.42578125" style="3"/>
    <col min="10703" max="10703" width="15.7109375" style="3" customWidth="1"/>
    <col min="10704" max="10705" width="14.85546875" style="3" customWidth="1"/>
    <col min="10706" max="10706" width="3.28515625" style="3" customWidth="1"/>
    <col min="10707" max="10707" width="20.140625" style="3" customWidth="1"/>
    <col min="10708" max="10708" width="3.28515625" style="3" customWidth="1"/>
    <col min="10709" max="10713" width="11.42578125" style="3"/>
    <col min="10714" max="10726" width="4.7109375" style="3" customWidth="1"/>
    <col min="10727" max="10936" width="11.42578125" style="3"/>
    <col min="10937" max="10937" width="0.7109375" style="3" customWidth="1"/>
    <col min="10938" max="10938" width="6.5703125" style="3" customWidth="1"/>
    <col min="10939" max="10939" width="13.5703125" style="3" customWidth="1"/>
    <col min="10940" max="10940" width="13.42578125" style="3" customWidth="1"/>
    <col min="10941" max="10942" width="12.5703125" style="3" customWidth="1"/>
    <col min="10943" max="10943" width="14.85546875" style="3" customWidth="1"/>
    <col min="10944" max="10944" width="20.7109375" style="3" customWidth="1"/>
    <col min="10945" max="10945" width="12.5703125" style="3" customWidth="1"/>
    <col min="10946" max="10946" width="13" style="3" customWidth="1"/>
    <col min="10947" max="10947" width="16" style="3" customWidth="1"/>
    <col min="10948" max="10948" width="6.42578125" style="3" customWidth="1"/>
    <col min="10949" max="10949" width="16" style="3" customWidth="1"/>
    <col min="10950" max="10950" width="2.85546875" style="3" customWidth="1"/>
    <col min="10951" max="10951" width="0.85546875" style="3" customWidth="1"/>
    <col min="10952" max="10952" width="11.42578125" style="3"/>
    <col min="10953" max="10953" width="15.42578125" style="3" customWidth="1"/>
    <col min="10954" max="10956" width="14.85546875" style="3" customWidth="1"/>
    <col min="10957" max="10957" width="0.7109375" style="3" customWidth="1"/>
    <col min="10958" max="10958" width="11.42578125" style="3"/>
    <col min="10959" max="10959" width="15.7109375" style="3" customWidth="1"/>
    <col min="10960" max="10961" width="14.85546875" style="3" customWidth="1"/>
    <col min="10962" max="10962" width="3.28515625" style="3" customWidth="1"/>
    <col min="10963" max="10963" width="20.140625" style="3" customWidth="1"/>
    <col min="10964" max="10964" width="3.28515625" style="3" customWidth="1"/>
    <col min="10965" max="10969" width="11.42578125" style="3"/>
    <col min="10970" max="10982" width="4.7109375" style="3" customWidth="1"/>
    <col min="10983" max="11192" width="11.42578125" style="3"/>
    <col min="11193" max="11193" width="0.7109375" style="3" customWidth="1"/>
    <col min="11194" max="11194" width="6.5703125" style="3" customWidth="1"/>
    <col min="11195" max="11195" width="13.5703125" style="3" customWidth="1"/>
    <col min="11196" max="11196" width="13.42578125" style="3" customWidth="1"/>
    <col min="11197" max="11198" width="12.5703125" style="3" customWidth="1"/>
    <col min="11199" max="11199" width="14.85546875" style="3" customWidth="1"/>
    <col min="11200" max="11200" width="20.7109375" style="3" customWidth="1"/>
    <col min="11201" max="11201" width="12.5703125" style="3" customWidth="1"/>
    <col min="11202" max="11202" width="13" style="3" customWidth="1"/>
    <col min="11203" max="11203" width="16" style="3" customWidth="1"/>
    <col min="11204" max="11204" width="6.42578125" style="3" customWidth="1"/>
    <col min="11205" max="11205" width="16" style="3" customWidth="1"/>
    <col min="11206" max="11206" width="2.85546875" style="3" customWidth="1"/>
    <col min="11207" max="11207" width="0.85546875" style="3" customWidth="1"/>
    <col min="11208" max="11208" width="11.42578125" style="3"/>
    <col min="11209" max="11209" width="15.42578125" style="3" customWidth="1"/>
    <col min="11210" max="11212" width="14.85546875" style="3" customWidth="1"/>
    <col min="11213" max="11213" width="0.7109375" style="3" customWidth="1"/>
    <col min="11214" max="11214" width="11.42578125" style="3"/>
    <col min="11215" max="11215" width="15.7109375" style="3" customWidth="1"/>
    <col min="11216" max="11217" width="14.85546875" style="3" customWidth="1"/>
    <col min="11218" max="11218" width="3.28515625" style="3" customWidth="1"/>
    <col min="11219" max="11219" width="20.140625" style="3" customWidth="1"/>
    <col min="11220" max="11220" width="3.28515625" style="3" customWidth="1"/>
    <col min="11221" max="11225" width="11.42578125" style="3"/>
    <col min="11226" max="11238" width="4.7109375" style="3" customWidth="1"/>
    <col min="11239" max="11448" width="11.42578125" style="3"/>
    <col min="11449" max="11449" width="0.7109375" style="3" customWidth="1"/>
    <col min="11450" max="11450" width="6.5703125" style="3" customWidth="1"/>
    <col min="11451" max="11451" width="13.5703125" style="3" customWidth="1"/>
    <col min="11452" max="11452" width="13.42578125" style="3" customWidth="1"/>
    <col min="11453" max="11454" width="12.5703125" style="3" customWidth="1"/>
    <col min="11455" max="11455" width="14.85546875" style="3" customWidth="1"/>
    <col min="11456" max="11456" width="20.7109375" style="3" customWidth="1"/>
    <col min="11457" max="11457" width="12.5703125" style="3" customWidth="1"/>
    <col min="11458" max="11458" width="13" style="3" customWidth="1"/>
    <col min="11459" max="11459" width="16" style="3" customWidth="1"/>
    <col min="11460" max="11460" width="6.42578125" style="3" customWidth="1"/>
    <col min="11461" max="11461" width="16" style="3" customWidth="1"/>
    <col min="11462" max="11462" width="2.85546875" style="3" customWidth="1"/>
    <col min="11463" max="11463" width="0.85546875" style="3" customWidth="1"/>
    <col min="11464" max="11464" width="11.42578125" style="3"/>
    <col min="11465" max="11465" width="15.42578125" style="3" customWidth="1"/>
    <col min="11466" max="11468" width="14.85546875" style="3" customWidth="1"/>
    <col min="11469" max="11469" width="0.7109375" style="3" customWidth="1"/>
    <col min="11470" max="11470" width="11.42578125" style="3"/>
    <col min="11471" max="11471" width="15.7109375" style="3" customWidth="1"/>
    <col min="11472" max="11473" width="14.85546875" style="3" customWidth="1"/>
    <col min="11474" max="11474" width="3.28515625" style="3" customWidth="1"/>
    <col min="11475" max="11475" width="20.140625" style="3" customWidth="1"/>
    <col min="11476" max="11476" width="3.28515625" style="3" customWidth="1"/>
    <col min="11477" max="11481" width="11.42578125" style="3"/>
    <col min="11482" max="11494" width="4.7109375" style="3" customWidth="1"/>
    <col min="11495" max="11704" width="11.42578125" style="3"/>
    <col min="11705" max="11705" width="0.7109375" style="3" customWidth="1"/>
    <col min="11706" max="11706" width="6.5703125" style="3" customWidth="1"/>
    <col min="11707" max="11707" width="13.5703125" style="3" customWidth="1"/>
    <col min="11708" max="11708" width="13.42578125" style="3" customWidth="1"/>
    <col min="11709" max="11710" width="12.5703125" style="3" customWidth="1"/>
    <col min="11711" max="11711" width="14.85546875" style="3" customWidth="1"/>
    <col min="11712" max="11712" width="20.7109375" style="3" customWidth="1"/>
    <col min="11713" max="11713" width="12.5703125" style="3" customWidth="1"/>
    <col min="11714" max="11714" width="13" style="3" customWidth="1"/>
    <col min="11715" max="11715" width="16" style="3" customWidth="1"/>
    <col min="11716" max="11716" width="6.42578125" style="3" customWidth="1"/>
    <col min="11717" max="11717" width="16" style="3" customWidth="1"/>
    <col min="11718" max="11718" width="2.85546875" style="3" customWidth="1"/>
    <col min="11719" max="11719" width="0.85546875" style="3" customWidth="1"/>
    <col min="11720" max="11720" width="11.42578125" style="3"/>
    <col min="11721" max="11721" width="15.42578125" style="3" customWidth="1"/>
    <col min="11722" max="11724" width="14.85546875" style="3" customWidth="1"/>
    <col min="11725" max="11725" width="0.7109375" style="3" customWidth="1"/>
    <col min="11726" max="11726" width="11.42578125" style="3"/>
    <col min="11727" max="11727" width="15.7109375" style="3" customWidth="1"/>
    <col min="11728" max="11729" width="14.85546875" style="3" customWidth="1"/>
    <col min="11730" max="11730" width="3.28515625" style="3" customWidth="1"/>
    <col min="11731" max="11731" width="20.140625" style="3" customWidth="1"/>
    <col min="11732" max="11732" width="3.28515625" style="3" customWidth="1"/>
    <col min="11733" max="11737" width="11.42578125" style="3"/>
    <col min="11738" max="11750" width="4.7109375" style="3" customWidth="1"/>
    <col min="11751" max="11960" width="11.42578125" style="3"/>
    <col min="11961" max="11961" width="0.7109375" style="3" customWidth="1"/>
    <col min="11962" max="11962" width="6.5703125" style="3" customWidth="1"/>
    <col min="11963" max="11963" width="13.5703125" style="3" customWidth="1"/>
    <col min="11964" max="11964" width="13.42578125" style="3" customWidth="1"/>
    <col min="11965" max="11966" width="12.5703125" style="3" customWidth="1"/>
    <col min="11967" max="11967" width="14.85546875" style="3" customWidth="1"/>
    <col min="11968" max="11968" width="20.7109375" style="3" customWidth="1"/>
    <col min="11969" max="11969" width="12.5703125" style="3" customWidth="1"/>
    <col min="11970" max="11970" width="13" style="3" customWidth="1"/>
    <col min="11971" max="11971" width="16" style="3" customWidth="1"/>
    <col min="11972" max="11972" width="6.42578125" style="3" customWidth="1"/>
    <col min="11973" max="11973" width="16" style="3" customWidth="1"/>
    <col min="11974" max="11974" width="2.85546875" style="3" customWidth="1"/>
    <col min="11975" max="11975" width="0.85546875" style="3" customWidth="1"/>
    <col min="11976" max="11976" width="11.42578125" style="3"/>
    <col min="11977" max="11977" width="15.42578125" style="3" customWidth="1"/>
    <col min="11978" max="11980" width="14.85546875" style="3" customWidth="1"/>
    <col min="11981" max="11981" width="0.7109375" style="3" customWidth="1"/>
    <col min="11982" max="11982" width="11.42578125" style="3"/>
    <col min="11983" max="11983" width="15.7109375" style="3" customWidth="1"/>
    <col min="11984" max="11985" width="14.85546875" style="3" customWidth="1"/>
    <col min="11986" max="11986" width="3.28515625" style="3" customWidth="1"/>
    <col min="11987" max="11987" width="20.140625" style="3" customWidth="1"/>
    <col min="11988" max="11988" width="3.28515625" style="3" customWidth="1"/>
    <col min="11989" max="11993" width="11.42578125" style="3"/>
    <col min="11994" max="12006" width="4.7109375" style="3" customWidth="1"/>
    <col min="12007" max="12216" width="11.42578125" style="3"/>
    <col min="12217" max="12217" width="0.7109375" style="3" customWidth="1"/>
    <col min="12218" max="12218" width="6.5703125" style="3" customWidth="1"/>
    <col min="12219" max="12219" width="13.5703125" style="3" customWidth="1"/>
    <col min="12220" max="12220" width="13.42578125" style="3" customWidth="1"/>
    <col min="12221" max="12222" width="12.5703125" style="3" customWidth="1"/>
    <col min="12223" max="12223" width="14.85546875" style="3" customWidth="1"/>
    <col min="12224" max="12224" width="20.7109375" style="3" customWidth="1"/>
    <col min="12225" max="12225" width="12.5703125" style="3" customWidth="1"/>
    <col min="12226" max="12226" width="13" style="3" customWidth="1"/>
    <col min="12227" max="12227" width="16" style="3" customWidth="1"/>
    <col min="12228" max="12228" width="6.42578125" style="3" customWidth="1"/>
    <col min="12229" max="12229" width="16" style="3" customWidth="1"/>
    <col min="12230" max="12230" width="2.85546875" style="3" customWidth="1"/>
    <col min="12231" max="12231" width="0.85546875" style="3" customWidth="1"/>
    <col min="12232" max="12232" width="11.42578125" style="3"/>
    <col min="12233" max="12233" width="15.42578125" style="3" customWidth="1"/>
    <col min="12234" max="12236" width="14.85546875" style="3" customWidth="1"/>
    <col min="12237" max="12237" width="0.7109375" style="3" customWidth="1"/>
    <col min="12238" max="12238" width="11.42578125" style="3"/>
    <col min="12239" max="12239" width="15.7109375" style="3" customWidth="1"/>
    <col min="12240" max="12241" width="14.85546875" style="3" customWidth="1"/>
    <col min="12242" max="12242" width="3.28515625" style="3" customWidth="1"/>
    <col min="12243" max="12243" width="20.140625" style="3" customWidth="1"/>
    <col min="12244" max="12244" width="3.28515625" style="3" customWidth="1"/>
    <col min="12245" max="12249" width="11.42578125" style="3"/>
    <col min="12250" max="12262" width="4.7109375" style="3" customWidth="1"/>
    <col min="12263" max="12472" width="11.42578125" style="3"/>
    <col min="12473" max="12473" width="0.7109375" style="3" customWidth="1"/>
    <col min="12474" max="12474" width="6.5703125" style="3" customWidth="1"/>
    <col min="12475" max="12475" width="13.5703125" style="3" customWidth="1"/>
    <col min="12476" max="12476" width="13.42578125" style="3" customWidth="1"/>
    <col min="12477" max="12478" width="12.5703125" style="3" customWidth="1"/>
    <col min="12479" max="12479" width="14.85546875" style="3" customWidth="1"/>
    <col min="12480" max="12480" width="20.7109375" style="3" customWidth="1"/>
    <col min="12481" max="12481" width="12.5703125" style="3" customWidth="1"/>
    <col min="12482" max="12482" width="13" style="3" customWidth="1"/>
    <col min="12483" max="12483" width="16" style="3" customWidth="1"/>
    <col min="12484" max="12484" width="6.42578125" style="3" customWidth="1"/>
    <col min="12485" max="12485" width="16" style="3" customWidth="1"/>
    <col min="12486" max="12486" width="2.85546875" style="3" customWidth="1"/>
    <col min="12487" max="12487" width="0.85546875" style="3" customWidth="1"/>
    <col min="12488" max="12488" width="11.42578125" style="3"/>
    <col min="12489" max="12489" width="15.42578125" style="3" customWidth="1"/>
    <col min="12490" max="12492" width="14.85546875" style="3" customWidth="1"/>
    <col min="12493" max="12493" width="0.7109375" style="3" customWidth="1"/>
    <col min="12494" max="12494" width="11.42578125" style="3"/>
    <col min="12495" max="12495" width="15.7109375" style="3" customWidth="1"/>
    <col min="12496" max="12497" width="14.85546875" style="3" customWidth="1"/>
    <col min="12498" max="12498" width="3.28515625" style="3" customWidth="1"/>
    <col min="12499" max="12499" width="20.140625" style="3" customWidth="1"/>
    <col min="12500" max="12500" width="3.28515625" style="3" customWidth="1"/>
    <col min="12501" max="12505" width="11.42578125" style="3"/>
    <col min="12506" max="12518" width="4.7109375" style="3" customWidth="1"/>
    <col min="12519" max="12728" width="11.42578125" style="3"/>
    <col min="12729" max="12729" width="0.7109375" style="3" customWidth="1"/>
    <col min="12730" max="12730" width="6.5703125" style="3" customWidth="1"/>
    <col min="12731" max="12731" width="13.5703125" style="3" customWidth="1"/>
    <col min="12732" max="12732" width="13.42578125" style="3" customWidth="1"/>
    <col min="12733" max="12734" width="12.5703125" style="3" customWidth="1"/>
    <col min="12735" max="12735" width="14.85546875" style="3" customWidth="1"/>
    <col min="12736" max="12736" width="20.7109375" style="3" customWidth="1"/>
    <col min="12737" max="12737" width="12.5703125" style="3" customWidth="1"/>
    <col min="12738" max="12738" width="13" style="3" customWidth="1"/>
    <col min="12739" max="12739" width="16" style="3" customWidth="1"/>
    <col min="12740" max="12740" width="6.42578125" style="3" customWidth="1"/>
    <col min="12741" max="12741" width="16" style="3" customWidth="1"/>
    <col min="12742" max="12742" width="2.85546875" style="3" customWidth="1"/>
    <col min="12743" max="12743" width="0.85546875" style="3" customWidth="1"/>
    <col min="12744" max="12744" width="11.42578125" style="3"/>
    <col min="12745" max="12745" width="15.42578125" style="3" customWidth="1"/>
    <col min="12746" max="12748" width="14.85546875" style="3" customWidth="1"/>
    <col min="12749" max="12749" width="0.7109375" style="3" customWidth="1"/>
    <col min="12750" max="12750" width="11.42578125" style="3"/>
    <col min="12751" max="12751" width="15.7109375" style="3" customWidth="1"/>
    <col min="12752" max="12753" width="14.85546875" style="3" customWidth="1"/>
    <col min="12754" max="12754" width="3.28515625" style="3" customWidth="1"/>
    <col min="12755" max="12755" width="20.140625" style="3" customWidth="1"/>
    <col min="12756" max="12756" width="3.28515625" style="3" customWidth="1"/>
    <col min="12757" max="12761" width="11.42578125" style="3"/>
    <col min="12762" max="12774" width="4.7109375" style="3" customWidth="1"/>
    <col min="12775" max="12984" width="11.42578125" style="3"/>
    <col min="12985" max="12985" width="0.7109375" style="3" customWidth="1"/>
    <col min="12986" max="12986" width="6.5703125" style="3" customWidth="1"/>
    <col min="12987" max="12987" width="13.5703125" style="3" customWidth="1"/>
    <col min="12988" max="12988" width="13.42578125" style="3" customWidth="1"/>
    <col min="12989" max="12990" width="12.5703125" style="3" customWidth="1"/>
    <col min="12991" max="12991" width="14.85546875" style="3" customWidth="1"/>
    <col min="12992" max="12992" width="20.7109375" style="3" customWidth="1"/>
    <col min="12993" max="12993" width="12.5703125" style="3" customWidth="1"/>
    <col min="12994" max="12994" width="13" style="3" customWidth="1"/>
    <col min="12995" max="12995" width="16" style="3" customWidth="1"/>
    <col min="12996" max="12996" width="6.42578125" style="3" customWidth="1"/>
    <col min="12997" max="12997" width="16" style="3" customWidth="1"/>
    <col min="12998" max="12998" width="2.85546875" style="3" customWidth="1"/>
    <col min="12999" max="12999" width="0.85546875" style="3" customWidth="1"/>
    <col min="13000" max="13000" width="11.42578125" style="3"/>
    <col min="13001" max="13001" width="15.42578125" style="3" customWidth="1"/>
    <col min="13002" max="13004" width="14.85546875" style="3" customWidth="1"/>
    <col min="13005" max="13005" width="0.7109375" style="3" customWidth="1"/>
    <col min="13006" max="13006" width="11.42578125" style="3"/>
    <col min="13007" max="13007" width="15.7109375" style="3" customWidth="1"/>
    <col min="13008" max="13009" width="14.85546875" style="3" customWidth="1"/>
    <col min="13010" max="13010" width="3.28515625" style="3" customWidth="1"/>
    <col min="13011" max="13011" width="20.140625" style="3" customWidth="1"/>
    <col min="13012" max="13012" width="3.28515625" style="3" customWidth="1"/>
    <col min="13013" max="13017" width="11.42578125" style="3"/>
    <col min="13018" max="13030" width="4.7109375" style="3" customWidth="1"/>
    <col min="13031" max="13240" width="11.42578125" style="3"/>
    <col min="13241" max="13241" width="0.7109375" style="3" customWidth="1"/>
    <col min="13242" max="13242" width="6.5703125" style="3" customWidth="1"/>
    <col min="13243" max="13243" width="13.5703125" style="3" customWidth="1"/>
    <col min="13244" max="13244" width="13.42578125" style="3" customWidth="1"/>
    <col min="13245" max="13246" width="12.5703125" style="3" customWidth="1"/>
    <col min="13247" max="13247" width="14.85546875" style="3" customWidth="1"/>
    <col min="13248" max="13248" width="20.7109375" style="3" customWidth="1"/>
    <col min="13249" max="13249" width="12.5703125" style="3" customWidth="1"/>
    <col min="13250" max="13250" width="13" style="3" customWidth="1"/>
    <col min="13251" max="13251" width="16" style="3" customWidth="1"/>
    <col min="13252" max="13252" width="6.42578125" style="3" customWidth="1"/>
    <col min="13253" max="13253" width="16" style="3" customWidth="1"/>
    <col min="13254" max="13254" width="2.85546875" style="3" customWidth="1"/>
    <col min="13255" max="13255" width="0.85546875" style="3" customWidth="1"/>
    <col min="13256" max="13256" width="11.42578125" style="3"/>
    <col min="13257" max="13257" width="15.42578125" style="3" customWidth="1"/>
    <col min="13258" max="13260" width="14.85546875" style="3" customWidth="1"/>
    <col min="13261" max="13261" width="0.7109375" style="3" customWidth="1"/>
    <col min="13262" max="13262" width="11.42578125" style="3"/>
    <col min="13263" max="13263" width="15.7109375" style="3" customWidth="1"/>
    <col min="13264" max="13265" width="14.85546875" style="3" customWidth="1"/>
    <col min="13266" max="13266" width="3.28515625" style="3" customWidth="1"/>
    <col min="13267" max="13267" width="20.140625" style="3" customWidth="1"/>
    <col min="13268" max="13268" width="3.28515625" style="3" customWidth="1"/>
    <col min="13269" max="13273" width="11.42578125" style="3"/>
    <col min="13274" max="13286" width="4.7109375" style="3" customWidth="1"/>
    <col min="13287" max="13496" width="11.42578125" style="3"/>
    <col min="13497" max="13497" width="0.7109375" style="3" customWidth="1"/>
    <col min="13498" max="13498" width="6.5703125" style="3" customWidth="1"/>
    <col min="13499" max="13499" width="13.5703125" style="3" customWidth="1"/>
    <col min="13500" max="13500" width="13.42578125" style="3" customWidth="1"/>
    <col min="13501" max="13502" width="12.5703125" style="3" customWidth="1"/>
    <col min="13503" max="13503" width="14.85546875" style="3" customWidth="1"/>
    <col min="13504" max="13504" width="20.7109375" style="3" customWidth="1"/>
    <col min="13505" max="13505" width="12.5703125" style="3" customWidth="1"/>
    <col min="13506" max="13506" width="13" style="3" customWidth="1"/>
    <col min="13507" max="13507" width="16" style="3" customWidth="1"/>
    <col min="13508" max="13508" width="6.42578125" style="3" customWidth="1"/>
    <col min="13509" max="13509" width="16" style="3" customWidth="1"/>
    <col min="13510" max="13510" width="2.85546875" style="3" customWidth="1"/>
    <col min="13511" max="13511" width="0.85546875" style="3" customWidth="1"/>
    <col min="13512" max="13512" width="11.42578125" style="3"/>
    <col min="13513" max="13513" width="15.42578125" style="3" customWidth="1"/>
    <col min="13514" max="13516" width="14.85546875" style="3" customWidth="1"/>
    <col min="13517" max="13517" width="0.7109375" style="3" customWidth="1"/>
    <col min="13518" max="13518" width="11.42578125" style="3"/>
    <col min="13519" max="13519" width="15.7109375" style="3" customWidth="1"/>
    <col min="13520" max="13521" width="14.85546875" style="3" customWidth="1"/>
    <col min="13522" max="13522" width="3.28515625" style="3" customWidth="1"/>
    <col min="13523" max="13523" width="20.140625" style="3" customWidth="1"/>
    <col min="13524" max="13524" width="3.28515625" style="3" customWidth="1"/>
    <col min="13525" max="13529" width="11.42578125" style="3"/>
    <col min="13530" max="13542" width="4.7109375" style="3" customWidth="1"/>
    <col min="13543" max="13752" width="11.42578125" style="3"/>
    <col min="13753" max="13753" width="0.7109375" style="3" customWidth="1"/>
    <col min="13754" max="13754" width="6.5703125" style="3" customWidth="1"/>
    <col min="13755" max="13755" width="13.5703125" style="3" customWidth="1"/>
    <col min="13756" max="13756" width="13.42578125" style="3" customWidth="1"/>
    <col min="13757" max="13758" width="12.5703125" style="3" customWidth="1"/>
    <col min="13759" max="13759" width="14.85546875" style="3" customWidth="1"/>
    <col min="13760" max="13760" width="20.7109375" style="3" customWidth="1"/>
    <col min="13761" max="13761" width="12.5703125" style="3" customWidth="1"/>
    <col min="13762" max="13762" width="13" style="3" customWidth="1"/>
    <col min="13763" max="13763" width="16" style="3" customWidth="1"/>
    <col min="13764" max="13764" width="6.42578125" style="3" customWidth="1"/>
    <col min="13765" max="13765" width="16" style="3" customWidth="1"/>
    <col min="13766" max="13766" width="2.85546875" style="3" customWidth="1"/>
    <col min="13767" max="13767" width="0.85546875" style="3" customWidth="1"/>
    <col min="13768" max="13768" width="11.42578125" style="3"/>
    <col min="13769" max="13769" width="15.42578125" style="3" customWidth="1"/>
    <col min="13770" max="13772" width="14.85546875" style="3" customWidth="1"/>
    <col min="13773" max="13773" width="0.7109375" style="3" customWidth="1"/>
    <col min="13774" max="13774" width="11.42578125" style="3"/>
    <col min="13775" max="13775" width="15.7109375" style="3" customWidth="1"/>
    <col min="13776" max="13777" width="14.85546875" style="3" customWidth="1"/>
    <col min="13778" max="13778" width="3.28515625" style="3" customWidth="1"/>
    <col min="13779" max="13779" width="20.140625" style="3" customWidth="1"/>
    <col min="13780" max="13780" width="3.28515625" style="3" customWidth="1"/>
    <col min="13781" max="13785" width="11.42578125" style="3"/>
    <col min="13786" max="13798" width="4.7109375" style="3" customWidth="1"/>
    <col min="13799" max="14008" width="11.42578125" style="3"/>
    <col min="14009" max="14009" width="0.7109375" style="3" customWidth="1"/>
    <col min="14010" max="14010" width="6.5703125" style="3" customWidth="1"/>
    <col min="14011" max="14011" width="13.5703125" style="3" customWidth="1"/>
    <col min="14012" max="14012" width="13.42578125" style="3" customWidth="1"/>
    <col min="14013" max="14014" width="12.5703125" style="3" customWidth="1"/>
    <col min="14015" max="14015" width="14.85546875" style="3" customWidth="1"/>
    <col min="14016" max="14016" width="20.7109375" style="3" customWidth="1"/>
    <col min="14017" max="14017" width="12.5703125" style="3" customWidth="1"/>
    <col min="14018" max="14018" width="13" style="3" customWidth="1"/>
    <col min="14019" max="14019" width="16" style="3" customWidth="1"/>
    <col min="14020" max="14020" width="6.42578125" style="3" customWidth="1"/>
    <col min="14021" max="14021" width="16" style="3" customWidth="1"/>
    <col min="14022" max="14022" width="2.85546875" style="3" customWidth="1"/>
    <col min="14023" max="14023" width="0.85546875" style="3" customWidth="1"/>
    <col min="14024" max="14024" width="11.42578125" style="3"/>
    <col min="14025" max="14025" width="15.42578125" style="3" customWidth="1"/>
    <col min="14026" max="14028" width="14.85546875" style="3" customWidth="1"/>
    <col min="14029" max="14029" width="0.7109375" style="3" customWidth="1"/>
    <col min="14030" max="14030" width="11.42578125" style="3"/>
    <col min="14031" max="14031" width="15.7109375" style="3" customWidth="1"/>
    <col min="14032" max="14033" width="14.85546875" style="3" customWidth="1"/>
    <col min="14034" max="14034" width="3.28515625" style="3" customWidth="1"/>
    <col min="14035" max="14035" width="20.140625" style="3" customWidth="1"/>
    <col min="14036" max="14036" width="3.28515625" style="3" customWidth="1"/>
    <col min="14037" max="14041" width="11.42578125" style="3"/>
    <col min="14042" max="14054" width="4.7109375" style="3" customWidth="1"/>
    <col min="14055" max="14264" width="11.42578125" style="3"/>
    <col min="14265" max="14265" width="0.7109375" style="3" customWidth="1"/>
    <col min="14266" max="14266" width="6.5703125" style="3" customWidth="1"/>
    <col min="14267" max="14267" width="13.5703125" style="3" customWidth="1"/>
    <col min="14268" max="14268" width="13.42578125" style="3" customWidth="1"/>
    <col min="14269" max="14270" width="12.5703125" style="3" customWidth="1"/>
    <col min="14271" max="14271" width="14.85546875" style="3" customWidth="1"/>
    <col min="14272" max="14272" width="20.7109375" style="3" customWidth="1"/>
    <col min="14273" max="14273" width="12.5703125" style="3" customWidth="1"/>
    <col min="14274" max="14274" width="13" style="3" customWidth="1"/>
    <col min="14275" max="14275" width="16" style="3" customWidth="1"/>
    <col min="14276" max="14276" width="6.42578125" style="3" customWidth="1"/>
    <col min="14277" max="14277" width="16" style="3" customWidth="1"/>
    <col min="14278" max="14278" width="2.85546875" style="3" customWidth="1"/>
    <col min="14279" max="14279" width="0.85546875" style="3" customWidth="1"/>
    <col min="14280" max="14280" width="11.42578125" style="3"/>
    <col min="14281" max="14281" width="15.42578125" style="3" customWidth="1"/>
    <col min="14282" max="14284" width="14.85546875" style="3" customWidth="1"/>
    <col min="14285" max="14285" width="0.7109375" style="3" customWidth="1"/>
    <col min="14286" max="14286" width="11.42578125" style="3"/>
    <col min="14287" max="14287" width="15.7109375" style="3" customWidth="1"/>
    <col min="14288" max="14289" width="14.85546875" style="3" customWidth="1"/>
    <col min="14290" max="14290" width="3.28515625" style="3" customWidth="1"/>
    <col min="14291" max="14291" width="20.140625" style="3" customWidth="1"/>
    <col min="14292" max="14292" width="3.28515625" style="3" customWidth="1"/>
    <col min="14293" max="14297" width="11.42578125" style="3"/>
    <col min="14298" max="14310" width="4.7109375" style="3" customWidth="1"/>
    <col min="14311" max="14520" width="11.42578125" style="3"/>
    <col min="14521" max="14521" width="0.7109375" style="3" customWidth="1"/>
    <col min="14522" max="14522" width="6.5703125" style="3" customWidth="1"/>
    <col min="14523" max="14523" width="13.5703125" style="3" customWidth="1"/>
    <col min="14524" max="14524" width="13.42578125" style="3" customWidth="1"/>
    <col min="14525" max="14526" width="12.5703125" style="3" customWidth="1"/>
    <col min="14527" max="14527" width="14.85546875" style="3" customWidth="1"/>
    <col min="14528" max="14528" width="20.7109375" style="3" customWidth="1"/>
    <col min="14529" max="14529" width="12.5703125" style="3" customWidth="1"/>
    <col min="14530" max="14530" width="13" style="3" customWidth="1"/>
    <col min="14531" max="14531" width="16" style="3" customWidth="1"/>
    <col min="14532" max="14532" width="6.42578125" style="3" customWidth="1"/>
    <col min="14533" max="14533" width="16" style="3" customWidth="1"/>
    <col min="14534" max="14534" width="2.85546875" style="3" customWidth="1"/>
    <col min="14535" max="14535" width="0.85546875" style="3" customWidth="1"/>
    <col min="14536" max="14536" width="11.42578125" style="3"/>
    <col min="14537" max="14537" width="15.42578125" style="3" customWidth="1"/>
    <col min="14538" max="14540" width="14.85546875" style="3" customWidth="1"/>
    <col min="14541" max="14541" width="0.7109375" style="3" customWidth="1"/>
    <col min="14542" max="14542" width="11.42578125" style="3"/>
    <col min="14543" max="14543" width="15.7109375" style="3" customWidth="1"/>
    <col min="14544" max="14545" width="14.85546875" style="3" customWidth="1"/>
    <col min="14546" max="14546" width="3.28515625" style="3" customWidth="1"/>
    <col min="14547" max="14547" width="20.140625" style="3" customWidth="1"/>
    <col min="14548" max="14548" width="3.28515625" style="3" customWidth="1"/>
    <col min="14549" max="14553" width="11.42578125" style="3"/>
    <col min="14554" max="14566" width="4.7109375" style="3" customWidth="1"/>
    <col min="14567" max="14776" width="11.42578125" style="3"/>
    <col min="14777" max="14777" width="0.7109375" style="3" customWidth="1"/>
    <col min="14778" max="14778" width="6.5703125" style="3" customWidth="1"/>
    <col min="14779" max="14779" width="13.5703125" style="3" customWidth="1"/>
    <col min="14780" max="14780" width="13.42578125" style="3" customWidth="1"/>
    <col min="14781" max="14782" width="12.5703125" style="3" customWidth="1"/>
    <col min="14783" max="14783" width="14.85546875" style="3" customWidth="1"/>
    <col min="14784" max="14784" width="20.7109375" style="3" customWidth="1"/>
    <col min="14785" max="14785" width="12.5703125" style="3" customWidth="1"/>
    <col min="14786" max="14786" width="13" style="3" customWidth="1"/>
    <col min="14787" max="14787" width="16" style="3" customWidth="1"/>
    <col min="14788" max="14788" width="6.42578125" style="3" customWidth="1"/>
    <col min="14789" max="14789" width="16" style="3" customWidth="1"/>
    <col min="14790" max="14790" width="2.85546875" style="3" customWidth="1"/>
    <col min="14791" max="14791" width="0.85546875" style="3" customWidth="1"/>
    <col min="14792" max="14792" width="11.42578125" style="3"/>
    <col min="14793" max="14793" width="15.42578125" style="3" customWidth="1"/>
    <col min="14794" max="14796" width="14.85546875" style="3" customWidth="1"/>
    <col min="14797" max="14797" width="0.7109375" style="3" customWidth="1"/>
    <col min="14798" max="14798" width="11.42578125" style="3"/>
    <col min="14799" max="14799" width="15.7109375" style="3" customWidth="1"/>
    <col min="14800" max="14801" width="14.85546875" style="3" customWidth="1"/>
    <col min="14802" max="14802" width="3.28515625" style="3" customWidth="1"/>
    <col min="14803" max="14803" width="20.140625" style="3" customWidth="1"/>
    <col min="14804" max="14804" width="3.28515625" style="3" customWidth="1"/>
    <col min="14805" max="14809" width="11.42578125" style="3"/>
    <col min="14810" max="14822" width="4.7109375" style="3" customWidth="1"/>
    <col min="14823" max="15032" width="11.42578125" style="3"/>
    <col min="15033" max="15033" width="0.7109375" style="3" customWidth="1"/>
    <col min="15034" max="15034" width="6.5703125" style="3" customWidth="1"/>
    <col min="15035" max="15035" width="13.5703125" style="3" customWidth="1"/>
    <col min="15036" max="15036" width="13.42578125" style="3" customWidth="1"/>
    <col min="15037" max="15038" width="12.5703125" style="3" customWidth="1"/>
    <col min="15039" max="15039" width="14.85546875" style="3" customWidth="1"/>
    <col min="15040" max="15040" width="20.7109375" style="3" customWidth="1"/>
    <col min="15041" max="15041" width="12.5703125" style="3" customWidth="1"/>
    <col min="15042" max="15042" width="13" style="3" customWidth="1"/>
    <col min="15043" max="15043" width="16" style="3" customWidth="1"/>
    <col min="15044" max="15044" width="6.42578125" style="3" customWidth="1"/>
    <col min="15045" max="15045" width="16" style="3" customWidth="1"/>
    <col min="15046" max="15046" width="2.85546875" style="3" customWidth="1"/>
    <col min="15047" max="15047" width="0.85546875" style="3" customWidth="1"/>
    <col min="15048" max="15048" width="11.42578125" style="3"/>
    <col min="15049" max="15049" width="15.42578125" style="3" customWidth="1"/>
    <col min="15050" max="15052" width="14.85546875" style="3" customWidth="1"/>
    <col min="15053" max="15053" width="0.7109375" style="3" customWidth="1"/>
    <col min="15054" max="15054" width="11.42578125" style="3"/>
    <col min="15055" max="15055" width="15.7109375" style="3" customWidth="1"/>
    <col min="15056" max="15057" width="14.85546875" style="3" customWidth="1"/>
    <col min="15058" max="15058" width="3.28515625" style="3" customWidth="1"/>
    <col min="15059" max="15059" width="20.140625" style="3" customWidth="1"/>
    <col min="15060" max="15060" width="3.28515625" style="3" customWidth="1"/>
    <col min="15061" max="15065" width="11.42578125" style="3"/>
    <col min="15066" max="15078" width="4.7109375" style="3" customWidth="1"/>
    <col min="15079" max="15288" width="11.42578125" style="3"/>
    <col min="15289" max="15289" width="0.7109375" style="3" customWidth="1"/>
    <col min="15290" max="15290" width="6.5703125" style="3" customWidth="1"/>
    <col min="15291" max="15291" width="13.5703125" style="3" customWidth="1"/>
    <col min="15292" max="15292" width="13.42578125" style="3" customWidth="1"/>
    <col min="15293" max="15294" width="12.5703125" style="3" customWidth="1"/>
    <col min="15295" max="15295" width="14.85546875" style="3" customWidth="1"/>
    <col min="15296" max="15296" width="20.7109375" style="3" customWidth="1"/>
    <col min="15297" max="15297" width="12.5703125" style="3" customWidth="1"/>
    <col min="15298" max="15298" width="13" style="3" customWidth="1"/>
    <col min="15299" max="15299" width="16" style="3" customWidth="1"/>
    <col min="15300" max="15300" width="6.42578125" style="3" customWidth="1"/>
    <col min="15301" max="15301" width="16" style="3" customWidth="1"/>
    <col min="15302" max="15302" width="2.85546875" style="3" customWidth="1"/>
    <col min="15303" max="15303" width="0.85546875" style="3" customWidth="1"/>
    <col min="15304" max="15304" width="11.42578125" style="3"/>
    <col min="15305" max="15305" width="15.42578125" style="3" customWidth="1"/>
    <col min="15306" max="15308" width="14.85546875" style="3" customWidth="1"/>
    <col min="15309" max="15309" width="0.7109375" style="3" customWidth="1"/>
    <col min="15310" max="15310" width="11.42578125" style="3"/>
    <col min="15311" max="15311" width="15.7109375" style="3" customWidth="1"/>
    <col min="15312" max="15313" width="14.85546875" style="3" customWidth="1"/>
    <col min="15314" max="15314" width="3.28515625" style="3" customWidth="1"/>
    <col min="15315" max="15315" width="20.140625" style="3" customWidth="1"/>
    <col min="15316" max="15316" width="3.28515625" style="3" customWidth="1"/>
    <col min="15317" max="15321" width="11.42578125" style="3"/>
    <col min="15322" max="15334" width="4.7109375" style="3" customWidth="1"/>
    <col min="15335" max="15544" width="11.42578125" style="3"/>
    <col min="15545" max="15545" width="0.7109375" style="3" customWidth="1"/>
    <col min="15546" max="15546" width="6.5703125" style="3" customWidth="1"/>
    <col min="15547" max="15547" width="13.5703125" style="3" customWidth="1"/>
    <col min="15548" max="15548" width="13.42578125" style="3" customWidth="1"/>
    <col min="15549" max="15550" width="12.5703125" style="3" customWidth="1"/>
    <col min="15551" max="15551" width="14.85546875" style="3" customWidth="1"/>
    <col min="15552" max="15552" width="20.7109375" style="3" customWidth="1"/>
    <col min="15553" max="15553" width="12.5703125" style="3" customWidth="1"/>
    <col min="15554" max="15554" width="13" style="3" customWidth="1"/>
    <col min="15555" max="15555" width="16" style="3" customWidth="1"/>
    <col min="15556" max="15556" width="6.42578125" style="3" customWidth="1"/>
    <col min="15557" max="15557" width="16" style="3" customWidth="1"/>
    <col min="15558" max="15558" width="2.85546875" style="3" customWidth="1"/>
    <col min="15559" max="15559" width="0.85546875" style="3" customWidth="1"/>
    <col min="15560" max="15560" width="11.42578125" style="3"/>
    <col min="15561" max="15561" width="15.42578125" style="3" customWidth="1"/>
    <col min="15562" max="15564" width="14.85546875" style="3" customWidth="1"/>
    <col min="15565" max="15565" width="0.7109375" style="3" customWidth="1"/>
    <col min="15566" max="15566" width="11.42578125" style="3"/>
    <col min="15567" max="15567" width="15.7109375" style="3" customWidth="1"/>
    <col min="15568" max="15569" width="14.85546875" style="3" customWidth="1"/>
    <col min="15570" max="15570" width="3.28515625" style="3" customWidth="1"/>
    <col min="15571" max="15571" width="20.140625" style="3" customWidth="1"/>
    <col min="15572" max="15572" width="3.28515625" style="3" customWidth="1"/>
    <col min="15573" max="15577" width="11.42578125" style="3"/>
    <col min="15578" max="15590" width="4.7109375" style="3" customWidth="1"/>
    <col min="15591" max="15800" width="11.42578125" style="3"/>
    <col min="15801" max="15801" width="0.7109375" style="3" customWidth="1"/>
    <col min="15802" max="15802" width="6.5703125" style="3" customWidth="1"/>
    <col min="15803" max="15803" width="13.5703125" style="3" customWidth="1"/>
    <col min="15804" max="15804" width="13.42578125" style="3" customWidth="1"/>
    <col min="15805" max="15806" width="12.5703125" style="3" customWidth="1"/>
    <col min="15807" max="15807" width="14.85546875" style="3" customWidth="1"/>
    <col min="15808" max="15808" width="20.7109375" style="3" customWidth="1"/>
    <col min="15809" max="15809" width="12.5703125" style="3" customWidth="1"/>
    <col min="15810" max="15810" width="13" style="3" customWidth="1"/>
    <col min="15811" max="15811" width="16" style="3" customWidth="1"/>
    <col min="15812" max="15812" width="6.42578125" style="3" customWidth="1"/>
    <col min="15813" max="15813" width="16" style="3" customWidth="1"/>
    <col min="15814" max="15814" width="2.85546875" style="3" customWidth="1"/>
    <col min="15815" max="15815" width="0.85546875" style="3" customWidth="1"/>
    <col min="15816" max="15816" width="11.42578125" style="3"/>
    <col min="15817" max="15817" width="15.42578125" style="3" customWidth="1"/>
    <col min="15818" max="15820" width="14.85546875" style="3" customWidth="1"/>
    <col min="15821" max="15821" width="0.7109375" style="3" customWidth="1"/>
    <col min="15822" max="15822" width="11.42578125" style="3"/>
    <col min="15823" max="15823" width="15.7109375" style="3" customWidth="1"/>
    <col min="15824" max="15825" width="14.85546875" style="3" customWidth="1"/>
    <col min="15826" max="15826" width="3.28515625" style="3" customWidth="1"/>
    <col min="15827" max="15827" width="20.140625" style="3" customWidth="1"/>
    <col min="15828" max="15828" width="3.28515625" style="3" customWidth="1"/>
    <col min="15829" max="15833" width="11.42578125" style="3"/>
    <col min="15834" max="15846" width="4.7109375" style="3" customWidth="1"/>
    <col min="15847" max="16056" width="11.42578125" style="3"/>
    <col min="16057" max="16057" width="0.7109375" style="3" customWidth="1"/>
    <col min="16058" max="16058" width="6.5703125" style="3" customWidth="1"/>
    <col min="16059" max="16059" width="13.5703125" style="3" customWidth="1"/>
    <col min="16060" max="16060" width="13.42578125" style="3" customWidth="1"/>
    <col min="16061" max="16062" width="12.5703125" style="3" customWidth="1"/>
    <col min="16063" max="16063" width="14.85546875" style="3" customWidth="1"/>
    <col min="16064" max="16064" width="20.7109375" style="3" customWidth="1"/>
    <col min="16065" max="16065" width="12.5703125" style="3" customWidth="1"/>
    <col min="16066" max="16066" width="13" style="3" customWidth="1"/>
    <col min="16067" max="16067" width="16" style="3" customWidth="1"/>
    <col min="16068" max="16068" width="6.42578125" style="3" customWidth="1"/>
    <col min="16069" max="16069" width="16" style="3" customWidth="1"/>
    <col min="16070" max="16070" width="2.85546875" style="3" customWidth="1"/>
    <col min="16071" max="16071" width="0.85546875" style="3" customWidth="1"/>
    <col min="16072" max="16072" width="11.42578125" style="3"/>
    <col min="16073" max="16073" width="15.42578125" style="3" customWidth="1"/>
    <col min="16074" max="16076" width="14.85546875" style="3" customWidth="1"/>
    <col min="16077" max="16077" width="0.7109375" style="3" customWidth="1"/>
    <col min="16078" max="16078" width="11.42578125" style="3"/>
    <col min="16079" max="16079" width="15.7109375" style="3" customWidth="1"/>
    <col min="16080" max="16081" width="14.85546875" style="3" customWidth="1"/>
    <col min="16082" max="16082" width="3.28515625" style="3" customWidth="1"/>
    <col min="16083" max="16083" width="20.140625" style="3" customWidth="1"/>
    <col min="16084" max="16084" width="3.28515625" style="3" customWidth="1"/>
    <col min="16085" max="16089" width="11.42578125" style="3"/>
    <col min="16090" max="16102" width="4.7109375" style="3" customWidth="1"/>
    <col min="16103" max="16384" width="11.42578125" style="3"/>
  </cols>
  <sheetData>
    <row r="1" spans="1:28" s="1" customFormat="1" ht="19.5" customHeight="1">
      <c r="A1" s="236"/>
      <c r="B1" s="237"/>
      <c r="C1" s="179" t="s">
        <v>0</v>
      </c>
      <c r="D1" s="179"/>
      <c r="E1" s="179"/>
      <c r="F1" s="179"/>
      <c r="G1" s="179"/>
      <c r="H1" s="179"/>
      <c r="I1" s="179"/>
      <c r="J1" s="179"/>
      <c r="K1" s="180" t="s">
        <v>1</v>
      </c>
      <c r="L1" s="181"/>
      <c r="O1" s="80"/>
      <c r="P1" s="80"/>
      <c r="Q1" s="80"/>
      <c r="R1" s="80"/>
      <c r="S1" s="80"/>
      <c r="T1" s="80"/>
      <c r="U1" s="80"/>
      <c r="V1" s="80"/>
      <c r="W1" s="80"/>
      <c r="X1" s="80"/>
      <c r="Y1" s="80"/>
      <c r="Z1" s="80"/>
      <c r="AA1" s="80"/>
    </row>
    <row r="2" spans="1:28" s="1" customFormat="1" ht="19.5" customHeight="1">
      <c r="A2" s="238"/>
      <c r="B2" s="186"/>
      <c r="C2" s="241" t="s">
        <v>2</v>
      </c>
      <c r="D2" s="241"/>
      <c r="E2" s="241"/>
      <c r="F2" s="241"/>
      <c r="G2" s="241"/>
      <c r="H2" s="241"/>
      <c r="I2" s="241"/>
      <c r="J2" s="241"/>
      <c r="K2" s="182" t="s">
        <v>89</v>
      </c>
      <c r="L2" s="183"/>
      <c r="O2" s="80"/>
      <c r="P2" s="80"/>
      <c r="Q2" s="80"/>
      <c r="R2" s="80"/>
      <c r="S2" s="80"/>
      <c r="T2" s="80"/>
      <c r="U2" s="80"/>
      <c r="V2" s="80"/>
      <c r="W2" s="80"/>
      <c r="X2" s="80"/>
      <c r="Y2" s="80"/>
      <c r="Z2" s="80"/>
      <c r="AA2" s="80"/>
    </row>
    <row r="3" spans="1:28" s="1" customFormat="1" ht="19.5" customHeight="1">
      <c r="A3" s="238"/>
      <c r="B3" s="186"/>
      <c r="C3" s="241"/>
      <c r="D3" s="241"/>
      <c r="E3" s="241"/>
      <c r="F3" s="241"/>
      <c r="G3" s="241"/>
      <c r="H3" s="241"/>
      <c r="I3" s="241"/>
      <c r="J3" s="241"/>
      <c r="K3" s="182" t="s">
        <v>3</v>
      </c>
      <c r="L3" s="183"/>
      <c r="Q3" s="132"/>
      <c r="R3" s="80"/>
      <c r="T3" s="132" t="s">
        <v>4</v>
      </c>
      <c r="U3" s="132"/>
      <c r="V3" s="80"/>
      <c r="W3" s="80"/>
      <c r="X3" s="80"/>
      <c r="Y3" s="80"/>
      <c r="Z3" s="80"/>
      <c r="AA3" s="80"/>
    </row>
    <row r="4" spans="1:28" s="1" customFormat="1" ht="19.5" customHeight="1">
      <c r="A4" s="239"/>
      <c r="B4" s="240"/>
      <c r="C4" s="242"/>
      <c r="D4" s="242"/>
      <c r="E4" s="242"/>
      <c r="F4" s="242"/>
      <c r="G4" s="242"/>
      <c r="H4" s="242"/>
      <c r="I4" s="242"/>
      <c r="J4" s="242"/>
      <c r="K4" s="184" t="s">
        <v>88</v>
      </c>
      <c r="L4" s="185"/>
      <c r="Q4" s="132"/>
      <c r="R4" s="80"/>
      <c r="S4" s="132"/>
      <c r="T4" s="132"/>
      <c r="U4" s="132"/>
      <c r="V4" s="80"/>
      <c r="W4" s="80"/>
      <c r="X4" s="80"/>
      <c r="Y4" s="80"/>
      <c r="Z4" s="80"/>
      <c r="AA4" s="80"/>
    </row>
    <row r="5" spans="1:28" s="1" customFormat="1" ht="3.95" customHeight="1">
      <c r="A5" s="5"/>
      <c r="B5" s="186"/>
      <c r="C5" s="186"/>
      <c r="D5" s="186"/>
      <c r="E5" s="186"/>
      <c r="F5" s="186"/>
      <c r="G5" s="186"/>
      <c r="H5" s="186"/>
      <c r="I5" s="186"/>
      <c r="J5" s="186"/>
      <c r="K5" s="186"/>
      <c r="L5" s="81"/>
      <c r="Q5" s="132"/>
      <c r="R5" s="132"/>
      <c r="T5" s="132"/>
      <c r="U5" s="132"/>
      <c r="V5" s="80"/>
      <c r="W5" s="80"/>
      <c r="X5" s="80"/>
      <c r="Y5" s="80"/>
      <c r="Z5" s="80"/>
      <c r="AA5" s="80"/>
      <c r="AB5" s="80"/>
    </row>
    <row r="6" spans="1:28" s="1" customFormat="1" ht="22.5" customHeight="1">
      <c r="A6" s="6"/>
      <c r="B6" s="7" t="s">
        <v>5</v>
      </c>
      <c r="C6" s="187"/>
      <c r="D6" s="187"/>
      <c r="E6" s="187"/>
      <c r="F6" s="187"/>
      <c r="G6" s="187"/>
      <c r="H6" s="188" t="s">
        <v>6</v>
      </c>
      <c r="I6" s="188"/>
      <c r="J6" s="189"/>
      <c r="K6" s="189"/>
      <c r="L6" s="190"/>
      <c r="Q6" s="80"/>
      <c r="R6" s="80"/>
      <c r="T6" s="133" t="s">
        <v>7</v>
      </c>
      <c r="U6" s="80"/>
      <c r="V6" s="80"/>
      <c r="W6" s="80"/>
      <c r="X6" s="80"/>
      <c r="Y6" s="80"/>
      <c r="Z6" s="80"/>
      <c r="AA6" s="80"/>
      <c r="AB6" s="80"/>
    </row>
    <row r="7" spans="1:28" s="1" customFormat="1" ht="22.5" customHeight="1">
      <c r="A7" s="5"/>
      <c r="B7" s="9" t="s">
        <v>8</v>
      </c>
      <c r="C7" s="191"/>
      <c r="D7" s="191"/>
      <c r="E7" s="191"/>
      <c r="F7" s="191"/>
      <c r="G7" s="191"/>
      <c r="H7" s="192" t="s">
        <v>9</v>
      </c>
      <c r="I7" s="192"/>
      <c r="J7" s="193"/>
      <c r="K7" s="193"/>
      <c r="L7" s="194"/>
      <c r="Q7" s="80"/>
      <c r="R7" s="80"/>
      <c r="T7" s="133" t="s">
        <v>10</v>
      </c>
      <c r="U7" s="80"/>
      <c r="V7" s="80"/>
      <c r="W7" s="80"/>
      <c r="X7" s="80"/>
      <c r="Y7" s="80"/>
      <c r="Z7" s="80"/>
      <c r="AA7" s="80"/>
      <c r="AB7" s="80"/>
    </row>
    <row r="8" spans="1:28" s="1" customFormat="1" ht="22.5" customHeight="1">
      <c r="A8" s="5"/>
      <c r="B8" s="9" t="s">
        <v>11</v>
      </c>
      <c r="C8" s="195"/>
      <c r="D8" s="191"/>
      <c r="E8" s="191"/>
      <c r="F8" s="191"/>
      <c r="G8" s="191"/>
      <c r="H8" s="192" t="s">
        <v>13</v>
      </c>
      <c r="I8" s="192"/>
      <c r="J8" s="193"/>
      <c r="K8" s="193"/>
      <c r="L8" s="194"/>
      <c r="Q8" s="80"/>
      <c r="R8" s="80"/>
      <c r="S8" s="1">
        <f>17-2.57</f>
        <v>14.43</v>
      </c>
      <c r="T8" s="133" t="s">
        <v>14</v>
      </c>
      <c r="U8" s="80"/>
      <c r="V8" s="80"/>
      <c r="W8" s="80"/>
      <c r="X8" s="80"/>
      <c r="Y8" s="80"/>
      <c r="Z8" s="80"/>
      <c r="AA8" s="80"/>
      <c r="AB8" s="80"/>
    </row>
    <row r="9" spans="1:28" s="1" customFormat="1" ht="22.5" customHeight="1">
      <c r="A9" s="5"/>
      <c r="B9" s="9" t="s">
        <v>15</v>
      </c>
      <c r="C9" s="191"/>
      <c r="D9" s="191"/>
      <c r="E9" s="191"/>
      <c r="F9" s="191"/>
      <c r="G9" s="191"/>
      <c r="H9" s="192" t="s">
        <v>16</v>
      </c>
      <c r="I9" s="192"/>
      <c r="J9" s="82" t="s">
        <v>17</v>
      </c>
      <c r="K9" s="83"/>
      <c r="L9" s="84"/>
      <c r="Q9" s="80"/>
      <c r="R9" s="80"/>
      <c r="T9" s="133" t="s">
        <v>18</v>
      </c>
      <c r="U9" s="80"/>
      <c r="V9" s="80"/>
      <c r="W9" s="80"/>
      <c r="X9" s="80"/>
      <c r="Y9" s="80"/>
      <c r="Z9" s="80"/>
      <c r="AA9" s="80"/>
      <c r="AB9" s="80"/>
    </row>
    <row r="10" spans="1:28" s="1" customFormat="1" ht="22.5" customHeight="1">
      <c r="A10" s="5"/>
      <c r="B10" s="10" t="s">
        <v>19</v>
      </c>
      <c r="C10" s="191" t="s">
        <v>20</v>
      </c>
      <c r="D10" s="191"/>
      <c r="E10" s="191"/>
      <c r="F10" s="191"/>
      <c r="G10" s="191"/>
      <c r="H10" s="196" t="s">
        <v>21</v>
      </c>
      <c r="I10" s="196"/>
      <c r="J10" s="197" t="str">
        <f>CONCATENATE(K9,," ",L9,"-",D12,"-",F12)</f>
        <v xml:space="preserve"> --</v>
      </c>
      <c r="K10" s="197"/>
      <c r="L10" s="198"/>
      <c r="Q10" s="80"/>
      <c r="R10" s="80"/>
      <c r="T10" s="133" t="s">
        <v>22</v>
      </c>
      <c r="U10" s="80"/>
      <c r="V10" s="80"/>
      <c r="W10" s="80"/>
      <c r="X10" s="80"/>
      <c r="Y10" s="80"/>
      <c r="Z10" s="80"/>
      <c r="AA10" s="80"/>
      <c r="AB10" s="80"/>
    </row>
    <row r="11" spans="1:28" s="1" customFormat="1" ht="3.95" customHeight="1">
      <c r="A11" s="11"/>
      <c r="B11" s="199"/>
      <c r="C11" s="199"/>
      <c r="D11" s="199"/>
      <c r="E11" s="199"/>
      <c r="F11" s="199"/>
      <c r="G11" s="199"/>
      <c r="H11" s="199"/>
      <c r="I11" s="199"/>
      <c r="J11" s="199"/>
      <c r="K11" s="199"/>
      <c r="L11" s="85"/>
      <c r="Q11" s="80"/>
      <c r="R11" s="80"/>
      <c r="T11" s="133"/>
      <c r="U11" s="80"/>
      <c r="V11" s="80"/>
      <c r="W11" s="80"/>
      <c r="X11" s="80"/>
      <c r="Y11" s="80"/>
      <c r="Z11" s="80"/>
      <c r="AA11" s="80"/>
      <c r="AB11" s="80"/>
    </row>
    <row r="12" spans="1:28" s="1" customFormat="1" ht="22.5" customHeight="1">
      <c r="A12" s="6"/>
      <c r="B12" s="7" t="s">
        <v>23</v>
      </c>
      <c r="C12" s="12"/>
      <c r="D12" s="8"/>
      <c r="E12" s="14" t="s">
        <v>24</v>
      </c>
      <c r="F12" s="200"/>
      <c r="G12" s="200"/>
      <c r="H12" s="201" t="s">
        <v>25</v>
      </c>
      <c r="I12" s="201"/>
      <c r="J12" s="86"/>
      <c r="K12" s="87" t="s">
        <v>26</v>
      </c>
      <c r="L12" s="88"/>
      <c r="Q12" s="80"/>
      <c r="R12" s="80"/>
      <c r="T12" s="133"/>
      <c r="U12" s="80"/>
      <c r="V12" s="80"/>
      <c r="W12" s="80"/>
      <c r="X12" s="80"/>
      <c r="Y12" s="80"/>
      <c r="Z12" s="80"/>
      <c r="AA12" s="80"/>
      <c r="AB12" s="80"/>
    </row>
    <row r="13" spans="1:28" s="1" customFormat="1" ht="22.5" customHeight="1">
      <c r="A13" s="5"/>
      <c r="B13" s="9" t="s">
        <v>27</v>
      </c>
      <c r="C13" s="202"/>
      <c r="D13" s="202"/>
      <c r="E13" s="202"/>
      <c r="F13" s="202"/>
      <c r="G13" s="202"/>
      <c r="H13" s="202"/>
      <c r="I13" s="202"/>
      <c r="J13" s="202"/>
      <c r="K13" s="202"/>
      <c r="L13" s="203"/>
      <c r="O13" s="1">
        <f>-MOD1</f>
        <v>0</v>
      </c>
      <c r="Q13" s="80"/>
      <c r="R13" s="80"/>
      <c r="T13" s="133"/>
      <c r="U13" s="80"/>
      <c r="V13" s="80"/>
      <c r="W13" s="80"/>
      <c r="X13" s="80"/>
      <c r="Y13" s="80"/>
      <c r="Z13" s="80"/>
      <c r="AA13" s="80"/>
      <c r="AB13" s="80"/>
    </row>
    <row r="14" spans="1:28" s="1" customFormat="1" ht="6.95" customHeight="1">
      <c r="A14" s="11"/>
      <c r="B14" s="15"/>
      <c r="C14" s="16"/>
      <c r="D14" s="16"/>
      <c r="E14" s="16"/>
      <c r="F14" s="16"/>
      <c r="G14" s="16"/>
      <c r="H14" s="16"/>
      <c r="I14" s="16"/>
      <c r="J14" s="16"/>
      <c r="K14" s="16"/>
      <c r="L14" s="89"/>
      <c r="P14" s="80"/>
      <c r="Q14" s="80"/>
      <c r="R14" s="80"/>
      <c r="S14" s="80"/>
      <c r="T14" s="80"/>
      <c r="U14" s="80"/>
      <c r="V14" s="80"/>
      <c r="W14" s="80"/>
      <c r="X14" s="80"/>
      <c r="Y14" s="80"/>
      <c r="Z14" s="80"/>
      <c r="AA14" s="80"/>
      <c r="AB14" s="80"/>
    </row>
    <row r="15" spans="1:28" ht="14.25" customHeight="1">
      <c r="A15" s="17"/>
      <c r="B15" s="18"/>
      <c r="C15" s="18"/>
      <c r="D15" s="18"/>
      <c r="E15" s="18"/>
      <c r="F15" s="18"/>
      <c r="G15" s="18"/>
      <c r="H15" s="18"/>
      <c r="I15" s="18"/>
      <c r="J15" s="18"/>
      <c r="K15" s="18"/>
      <c r="L15" s="90"/>
    </row>
    <row r="16" spans="1:28" ht="22.5" customHeight="1">
      <c r="A16" s="204"/>
      <c r="B16" s="205"/>
      <c r="C16" s="205"/>
      <c r="D16" s="205"/>
      <c r="E16" s="205"/>
      <c r="F16" s="205"/>
      <c r="G16" s="205"/>
      <c r="H16" s="205"/>
      <c r="I16" s="205"/>
      <c r="J16" s="205"/>
      <c r="K16" s="205"/>
      <c r="L16" s="206"/>
    </row>
    <row r="17" spans="1:15" ht="22.5" customHeight="1">
      <c r="A17" s="17"/>
      <c r="B17" s="18"/>
      <c r="C17" s="18"/>
      <c r="D17" s="18"/>
      <c r="E17" s="18"/>
      <c r="F17" s="18"/>
      <c r="G17" s="19"/>
      <c r="H17" s="19"/>
      <c r="I17" s="19"/>
      <c r="J17" s="19"/>
      <c r="K17" s="19"/>
      <c r="L17" s="91"/>
    </row>
    <row r="18" spans="1:15" s="2" customFormat="1" ht="22.5" customHeight="1">
      <c r="A18" s="207" t="s">
        <v>28</v>
      </c>
      <c r="B18" s="208"/>
      <c r="C18" s="208"/>
      <c r="D18" s="208"/>
      <c r="E18" s="209"/>
      <c r="F18" s="20"/>
      <c r="G18" s="207" t="s">
        <v>28</v>
      </c>
      <c r="H18" s="208"/>
      <c r="I18" s="208"/>
      <c r="J18" s="208"/>
      <c r="K18" s="208"/>
      <c r="L18" s="209"/>
      <c r="O18" s="92"/>
    </row>
    <row r="19" spans="1:15" s="2" customFormat="1" ht="27.75" customHeight="1">
      <c r="A19" s="210"/>
      <c r="B19" s="211"/>
      <c r="C19" s="211"/>
      <c r="D19" s="22" t="s">
        <v>29</v>
      </c>
      <c r="E19" s="23" t="s">
        <v>30</v>
      </c>
      <c r="F19" s="24"/>
      <c r="G19" s="243" t="s">
        <v>31</v>
      </c>
      <c r="H19" s="244"/>
      <c r="I19" s="212" t="s">
        <v>32</v>
      </c>
      <c r="J19" s="213"/>
      <c r="K19" s="214" t="s">
        <v>33</v>
      </c>
      <c r="L19" s="215"/>
    </row>
    <row r="20" spans="1:15" s="2" customFormat="1" ht="22.5" customHeight="1">
      <c r="A20" s="216" t="s">
        <v>34</v>
      </c>
      <c r="B20" s="217"/>
      <c r="C20" s="25"/>
      <c r="D20" s="26"/>
      <c r="E20" s="27">
        <f>D20</f>
        <v>0</v>
      </c>
      <c r="F20" s="28"/>
      <c r="G20" s="245"/>
      <c r="H20" s="246"/>
      <c r="I20" s="93" t="s">
        <v>35</v>
      </c>
      <c r="J20" s="94" t="s">
        <v>36</v>
      </c>
      <c r="K20" s="95" t="s">
        <v>37</v>
      </c>
      <c r="L20" s="150" t="s">
        <v>36</v>
      </c>
      <c r="N20" s="92"/>
    </row>
    <row r="21" spans="1:15" s="2" customFormat="1" ht="22.5" customHeight="1">
      <c r="A21" s="216" t="s">
        <v>38</v>
      </c>
      <c r="B21" s="217"/>
      <c r="C21" s="25" t="s">
        <v>39</v>
      </c>
      <c r="D21" s="29"/>
      <c r="E21" s="30">
        <f>D21</f>
        <v>0</v>
      </c>
      <c r="F21" s="31"/>
      <c r="G21" s="96" t="s">
        <v>40</v>
      </c>
      <c r="H21" s="32" t="s">
        <v>41</v>
      </c>
      <c r="I21" s="96" t="s">
        <v>42</v>
      </c>
      <c r="J21" s="32" t="s">
        <v>43</v>
      </c>
      <c r="K21" s="96" t="s">
        <v>42</v>
      </c>
      <c r="L21" s="151" t="s">
        <v>43</v>
      </c>
      <c r="N21" s="97"/>
    </row>
    <row r="22" spans="1:15" s="2" customFormat="1" ht="22.5" customHeight="1">
      <c r="A22" s="216" t="s">
        <v>44</v>
      </c>
      <c r="B22" s="217"/>
      <c r="C22" s="25" t="s">
        <v>39</v>
      </c>
      <c r="D22" s="29"/>
      <c r="E22" s="30">
        <f>D22+E39</f>
        <v>0</v>
      </c>
      <c r="F22" s="31"/>
      <c r="G22" s="145">
        <v>0</v>
      </c>
      <c r="H22" s="33">
        <v>0</v>
      </c>
      <c r="I22" s="144"/>
      <c r="J22" s="143">
        <v>0</v>
      </c>
      <c r="K22" s="144"/>
      <c r="L22" s="152">
        <v>0</v>
      </c>
      <c r="N22" s="97"/>
    </row>
    <row r="23" spans="1:15" s="2" customFormat="1" ht="22.5" customHeight="1">
      <c r="A23" s="216" t="s">
        <v>45</v>
      </c>
      <c r="B23" s="217"/>
      <c r="C23" s="34" t="s">
        <v>46</v>
      </c>
      <c r="D23" s="35"/>
      <c r="E23" s="36"/>
      <c r="F23" s="31"/>
      <c r="G23" s="145">
        <v>5.0000000000000001E-3</v>
      </c>
      <c r="H23" s="33">
        <v>0.127</v>
      </c>
      <c r="I23" s="144"/>
      <c r="J23" s="33">
        <f t="shared" ref="J23:J34" si="0">((I23/19.32)*10)</f>
        <v>0</v>
      </c>
      <c r="K23" s="144"/>
      <c r="L23" s="153">
        <f t="shared" ref="L23:L34" si="1">((K23/19.32)*10)</f>
        <v>0</v>
      </c>
      <c r="N23" s="97"/>
    </row>
    <row r="24" spans="1:15" s="2" customFormat="1" ht="22.5" customHeight="1">
      <c r="A24" s="216" t="s">
        <v>47</v>
      </c>
      <c r="B24" s="217"/>
      <c r="C24" s="34" t="s">
        <v>46</v>
      </c>
      <c r="D24" s="35"/>
      <c r="E24" s="37">
        <f>D24</f>
        <v>0</v>
      </c>
      <c r="F24" s="38"/>
      <c r="G24" s="145">
        <v>2.5000000000000001E-2</v>
      </c>
      <c r="H24" s="33">
        <v>0.63500000000000001</v>
      </c>
      <c r="I24" s="144"/>
      <c r="J24" s="33">
        <f t="shared" si="0"/>
        <v>0</v>
      </c>
      <c r="K24" s="144"/>
      <c r="L24" s="153">
        <f t="shared" si="1"/>
        <v>0</v>
      </c>
      <c r="N24" s="97"/>
    </row>
    <row r="25" spans="1:15" s="2" customFormat="1" ht="22.5" customHeight="1">
      <c r="A25" s="216" t="s">
        <v>48</v>
      </c>
      <c r="B25" s="217"/>
      <c r="C25" s="34" t="s">
        <v>46</v>
      </c>
      <c r="D25" s="39">
        <f>+D23-D24</f>
        <v>0</v>
      </c>
      <c r="E25" s="40">
        <f>E23-E24</f>
        <v>0</v>
      </c>
      <c r="F25" s="41"/>
      <c r="G25" s="145">
        <v>0.05</v>
      </c>
      <c r="H25" s="33">
        <v>1.27</v>
      </c>
      <c r="I25" s="144"/>
      <c r="J25" s="33">
        <f t="shared" si="0"/>
        <v>0</v>
      </c>
      <c r="K25" s="144"/>
      <c r="L25" s="153">
        <f t="shared" si="1"/>
        <v>0</v>
      </c>
      <c r="N25" s="97"/>
    </row>
    <row r="26" spans="1:15" s="2" customFormat="1" ht="22.5" customHeight="1">
      <c r="A26" s="216" t="s">
        <v>49</v>
      </c>
      <c r="B26" s="217"/>
      <c r="C26" s="34" t="s">
        <v>50</v>
      </c>
      <c r="D26" s="39">
        <f>((PI()*(D21*D21))/4)*D22</f>
        <v>0</v>
      </c>
      <c r="E26" s="40">
        <f>((PI()*(E21*E21))/4)*E22</f>
        <v>0</v>
      </c>
      <c r="F26" s="41"/>
      <c r="G26" s="145">
        <v>7.4999999999999997E-2</v>
      </c>
      <c r="H26" s="33">
        <v>1.905</v>
      </c>
      <c r="I26" s="144"/>
      <c r="J26" s="33">
        <f t="shared" si="0"/>
        <v>0</v>
      </c>
      <c r="K26" s="144"/>
      <c r="L26" s="153">
        <f t="shared" si="1"/>
        <v>0</v>
      </c>
      <c r="N26" s="97"/>
    </row>
    <row r="27" spans="1:15" s="2" customFormat="1" ht="22.5" customHeight="1">
      <c r="A27" s="216" t="s">
        <v>51</v>
      </c>
      <c r="B27" s="217"/>
      <c r="C27" s="34" t="s">
        <v>52</v>
      </c>
      <c r="D27" s="42" t="e">
        <f>D25/D26</f>
        <v>#DIV/0!</v>
      </c>
      <c r="E27" s="43" t="e">
        <f>E25/E26</f>
        <v>#DIV/0!</v>
      </c>
      <c r="F27" s="44"/>
      <c r="G27" s="146">
        <v>0.1</v>
      </c>
      <c r="H27" s="45">
        <v>2.54</v>
      </c>
      <c r="I27" s="154"/>
      <c r="J27" s="45">
        <f t="shared" si="0"/>
        <v>0</v>
      </c>
      <c r="K27" s="154"/>
      <c r="L27" s="155">
        <f t="shared" si="1"/>
        <v>0</v>
      </c>
      <c r="N27" s="97"/>
    </row>
    <row r="28" spans="1:15" s="2" customFormat="1" ht="22.5" customHeight="1">
      <c r="A28" s="218" t="s">
        <v>53</v>
      </c>
      <c r="B28" s="219"/>
      <c r="C28" s="46" t="s">
        <v>52</v>
      </c>
      <c r="D28" s="47" t="e">
        <f>D27/(1+D34/100)</f>
        <v>#DIV/0!</v>
      </c>
      <c r="E28" s="48" t="e">
        <f>E27/(1+E34/100)</f>
        <v>#DIV/0!</v>
      </c>
      <c r="F28" s="49"/>
      <c r="G28" s="145">
        <v>0.125</v>
      </c>
      <c r="H28" s="33">
        <v>3.1749999999999998</v>
      </c>
      <c r="I28" s="144"/>
      <c r="J28" s="33">
        <f t="shared" si="0"/>
        <v>0</v>
      </c>
      <c r="K28" s="144"/>
      <c r="L28" s="153">
        <f t="shared" si="1"/>
        <v>0</v>
      </c>
      <c r="N28" s="97"/>
    </row>
    <row r="29" spans="1:15" s="2" customFormat="1" ht="22.5" customHeight="1">
      <c r="A29" s="207" t="s">
        <v>54</v>
      </c>
      <c r="B29" s="208" t="s">
        <v>54</v>
      </c>
      <c r="C29" s="208"/>
      <c r="D29" s="208"/>
      <c r="E29" s="209"/>
      <c r="F29" s="49"/>
      <c r="G29" s="147">
        <v>0.15</v>
      </c>
      <c r="H29" s="33">
        <v>3.81</v>
      </c>
      <c r="I29" s="144"/>
      <c r="J29" s="33">
        <f t="shared" si="0"/>
        <v>0</v>
      </c>
      <c r="K29" s="144"/>
      <c r="L29" s="153">
        <f t="shared" si="1"/>
        <v>0</v>
      </c>
      <c r="N29" s="97"/>
    </row>
    <row r="30" spans="1:15" s="2" customFormat="1" ht="22.5" customHeight="1">
      <c r="A30" s="258" t="s">
        <v>55</v>
      </c>
      <c r="B30" s="259"/>
      <c r="C30" s="50"/>
      <c r="D30" s="51"/>
      <c r="E30" s="52"/>
      <c r="F30" s="44"/>
      <c r="G30" s="145">
        <v>0.17499999999999999</v>
      </c>
      <c r="H30" s="33">
        <v>4.4450000000000003</v>
      </c>
      <c r="I30" s="144"/>
      <c r="J30" s="33">
        <f t="shared" si="0"/>
        <v>0</v>
      </c>
      <c r="K30" s="144"/>
      <c r="L30" s="153">
        <f t="shared" si="1"/>
        <v>0</v>
      </c>
      <c r="N30" s="97"/>
    </row>
    <row r="31" spans="1:15" s="2" customFormat="1" ht="22.5" customHeight="1">
      <c r="A31" s="216" t="s">
        <v>56</v>
      </c>
      <c r="B31" s="217"/>
      <c r="C31" s="25" t="s">
        <v>46</v>
      </c>
      <c r="D31" s="53"/>
      <c r="E31" s="54"/>
      <c r="F31" s="41"/>
      <c r="G31" s="146">
        <v>0.2</v>
      </c>
      <c r="H31" s="45">
        <v>5.08</v>
      </c>
      <c r="I31" s="154"/>
      <c r="J31" s="45">
        <f t="shared" si="0"/>
        <v>0</v>
      </c>
      <c r="K31" s="154"/>
      <c r="L31" s="155">
        <f t="shared" si="1"/>
        <v>0</v>
      </c>
      <c r="N31" s="97"/>
    </row>
    <row r="32" spans="1:15" s="2" customFormat="1" ht="22.5" customHeight="1">
      <c r="A32" s="216" t="s">
        <v>57</v>
      </c>
      <c r="B32" s="217"/>
      <c r="C32" s="25" t="s">
        <v>46</v>
      </c>
      <c r="D32" s="53"/>
      <c r="E32" s="54"/>
      <c r="F32" s="49"/>
      <c r="G32" s="145">
        <v>0.3</v>
      </c>
      <c r="H32" s="33">
        <v>7.62</v>
      </c>
      <c r="I32" s="144"/>
      <c r="J32" s="33">
        <f t="shared" si="0"/>
        <v>0</v>
      </c>
      <c r="K32" s="144"/>
      <c r="L32" s="153">
        <f t="shared" si="1"/>
        <v>0</v>
      </c>
      <c r="N32" s="97"/>
    </row>
    <row r="33" spans="1:18" s="2" customFormat="1" ht="22.5" customHeight="1">
      <c r="A33" s="216" t="s">
        <v>58</v>
      </c>
      <c r="B33" s="217"/>
      <c r="C33" s="25" t="s">
        <v>46</v>
      </c>
      <c r="D33" s="53"/>
      <c r="E33" s="54"/>
      <c r="F33" s="49"/>
      <c r="G33" s="145">
        <v>0.4</v>
      </c>
      <c r="H33" s="33">
        <v>10.16</v>
      </c>
      <c r="I33" s="144"/>
      <c r="J33" s="33">
        <f t="shared" si="0"/>
        <v>0</v>
      </c>
      <c r="K33" s="144"/>
      <c r="L33" s="153">
        <f t="shared" si="1"/>
        <v>0</v>
      </c>
      <c r="N33" s="97"/>
    </row>
    <row r="34" spans="1:18" s="2" customFormat="1" ht="22.5" customHeight="1">
      <c r="A34" s="218" t="s">
        <v>59</v>
      </c>
      <c r="B34" s="219"/>
      <c r="C34" s="46" t="s">
        <v>60</v>
      </c>
      <c r="D34" s="47" t="e">
        <f>((D31-D32)/(D32-D33))*100</f>
        <v>#DIV/0!</v>
      </c>
      <c r="E34" s="48" t="e">
        <f>((E31-E32)/(E32-E33))*100</f>
        <v>#DIV/0!</v>
      </c>
      <c r="F34" s="49"/>
      <c r="G34" s="148">
        <v>0.5</v>
      </c>
      <c r="H34" s="149">
        <v>12.7</v>
      </c>
      <c r="I34" s="156"/>
      <c r="J34" s="149">
        <f t="shared" si="0"/>
        <v>0</v>
      </c>
      <c r="K34" s="156"/>
      <c r="L34" s="157">
        <f t="shared" si="1"/>
        <v>0</v>
      </c>
      <c r="N34" s="97"/>
    </row>
    <row r="35" spans="1:18" s="2" customFormat="1" ht="11.25" customHeight="1">
      <c r="A35" s="55"/>
      <c r="B35" s="56"/>
      <c r="C35" s="57"/>
      <c r="D35" s="58"/>
      <c r="E35" s="58"/>
      <c r="F35" s="59"/>
      <c r="G35" s="58"/>
      <c r="H35" s="58"/>
      <c r="I35" s="58"/>
      <c r="J35" s="58"/>
      <c r="K35" s="58"/>
      <c r="L35" s="99"/>
      <c r="N35" s="97"/>
    </row>
    <row r="36" spans="1:18" s="2" customFormat="1" ht="22.5" customHeight="1">
      <c r="A36" s="247" t="s">
        <v>61</v>
      </c>
      <c r="B36" s="248"/>
      <c r="C36" s="248"/>
      <c r="D36" s="248"/>
      <c r="E36" s="249"/>
      <c r="F36" s="60"/>
      <c r="G36" s="60"/>
      <c r="H36" s="207" t="s">
        <v>62</v>
      </c>
      <c r="I36" s="208"/>
      <c r="J36" s="208"/>
      <c r="K36" s="209"/>
      <c r="L36" s="100"/>
    </row>
    <row r="37" spans="1:18" s="2" customFormat="1" ht="22.5" customHeight="1">
      <c r="A37" s="250" t="s">
        <v>63</v>
      </c>
      <c r="B37" s="251"/>
      <c r="C37" s="61" t="s">
        <v>64</v>
      </c>
      <c r="D37" s="252"/>
      <c r="E37" s="253"/>
      <c r="F37" s="62"/>
      <c r="G37" s="62"/>
      <c r="H37" s="63" t="s">
        <v>65</v>
      </c>
      <c r="I37" s="101"/>
      <c r="J37" s="63" t="s">
        <v>66</v>
      </c>
      <c r="K37" s="102" t="s">
        <v>67</v>
      </c>
      <c r="L37" s="99"/>
    </row>
    <row r="38" spans="1:18" s="2" customFormat="1" ht="22.5" customHeight="1">
      <c r="A38" s="224" t="s">
        <v>68</v>
      </c>
      <c r="B38" s="225"/>
      <c r="C38" s="64" t="s">
        <v>64</v>
      </c>
      <c r="D38" s="254"/>
      <c r="E38" s="255"/>
      <c r="F38" s="62"/>
      <c r="G38" s="62"/>
      <c r="H38" s="256" t="s">
        <v>69</v>
      </c>
      <c r="I38" s="257"/>
      <c r="J38" s="256" t="s">
        <v>70</v>
      </c>
      <c r="K38" s="257"/>
      <c r="L38" s="99"/>
    </row>
    <row r="39" spans="1:18" s="2" customFormat="1" ht="22.5" customHeight="1">
      <c r="A39" s="224" t="s">
        <v>71</v>
      </c>
      <c r="B39" s="225"/>
      <c r="C39" s="65" t="s">
        <v>39</v>
      </c>
      <c r="D39" s="226">
        <f>(D38-D37)*2.54</f>
        <v>0</v>
      </c>
      <c r="E39" s="227"/>
      <c r="F39" s="31"/>
      <c r="G39" s="31"/>
      <c r="H39" s="66" t="s">
        <v>72</v>
      </c>
      <c r="I39" s="103">
        <v>4554</v>
      </c>
      <c r="J39" s="228">
        <v>4</v>
      </c>
      <c r="K39" s="229"/>
      <c r="L39" s="99"/>
    </row>
    <row r="40" spans="1:18" s="2" customFormat="1" ht="22.5" customHeight="1">
      <c r="A40" s="230" t="s">
        <v>73</v>
      </c>
      <c r="B40" s="231"/>
      <c r="C40" s="67" t="s">
        <v>60</v>
      </c>
      <c r="D40" s="232" t="str">
        <f>IF(D39&lt;&gt;"",IF(D22&lt;&gt;"",D39/D22*100,""),"")</f>
        <v/>
      </c>
      <c r="E40" s="233"/>
      <c r="F40" s="68"/>
      <c r="G40" s="68"/>
      <c r="H40" s="69" t="s">
        <v>33</v>
      </c>
      <c r="I40" s="104">
        <v>4554</v>
      </c>
      <c r="J40" s="234">
        <v>4</v>
      </c>
      <c r="K40" s="235"/>
      <c r="L40" s="99"/>
      <c r="P40" s="105"/>
      <c r="Q40" s="105"/>
      <c r="R40" s="134"/>
    </row>
    <row r="41" spans="1:18" s="2" customFormat="1" ht="33" customHeight="1">
      <c r="A41" s="70"/>
      <c r="B41" s="58"/>
      <c r="C41" s="58"/>
      <c r="D41" s="58"/>
      <c r="E41" s="58"/>
      <c r="F41" s="71"/>
      <c r="G41" s="58"/>
      <c r="H41" s="72"/>
      <c r="I41" s="106"/>
      <c r="J41" s="107" t="str">
        <f>I19</f>
        <v>ANTES DE INMERSIÓN</v>
      </c>
      <c r="K41" s="107" t="str">
        <f>K19</f>
        <v xml:space="preserve">DESPUÉS DE INMERSIÓN </v>
      </c>
      <c r="L41" s="108"/>
      <c r="M41" s="20"/>
      <c r="P41" s="109"/>
      <c r="Q41" s="135"/>
      <c r="R41" s="136"/>
    </row>
    <row r="42" spans="1:18" s="2" customFormat="1" ht="22.5" customHeight="1">
      <c r="A42" s="70"/>
      <c r="B42" s="58"/>
      <c r="C42" s="58"/>
      <c r="D42" s="58"/>
      <c r="E42" s="58"/>
      <c r="F42" s="58"/>
      <c r="G42" s="58"/>
      <c r="H42" s="21" t="s">
        <v>74</v>
      </c>
      <c r="I42" s="110" t="s">
        <v>60</v>
      </c>
      <c r="J42" s="111">
        <f>(J27/6.9)*100</f>
        <v>0</v>
      </c>
      <c r="K42" s="112">
        <f>(L27/6.9)*100</f>
        <v>0</v>
      </c>
      <c r="L42" s="99"/>
      <c r="P42" s="113"/>
      <c r="Q42" s="137"/>
      <c r="R42" s="136"/>
    </row>
    <row r="43" spans="1:18" s="2" customFormat="1" ht="22.5" customHeight="1">
      <c r="A43" s="70"/>
      <c r="B43" s="73"/>
      <c r="C43" s="58"/>
      <c r="D43" s="58"/>
      <c r="E43" s="58"/>
      <c r="F43" s="58"/>
      <c r="G43" s="58"/>
      <c r="H43" s="74" t="s">
        <v>75</v>
      </c>
      <c r="I43" s="114" t="s">
        <v>60</v>
      </c>
      <c r="J43" s="115">
        <f>(J31/10.3)*100</f>
        <v>0</v>
      </c>
      <c r="K43" s="116">
        <f>(L31/10.3)*100</f>
        <v>0</v>
      </c>
      <c r="L43" s="99"/>
      <c r="P43" s="117"/>
      <c r="Q43" s="138"/>
      <c r="R43" s="139"/>
    </row>
    <row r="44" spans="1:18" s="2" customFormat="1" ht="22.5" customHeight="1">
      <c r="A44" s="70"/>
      <c r="B44" s="73"/>
      <c r="C44" s="73"/>
      <c r="D44" s="73"/>
      <c r="E44" s="58"/>
      <c r="F44" s="58"/>
      <c r="G44" s="58"/>
      <c r="H44" s="74" t="s">
        <v>76</v>
      </c>
      <c r="I44" s="114"/>
      <c r="J44" s="118">
        <f>IF(J42&gt;J43,J42,J43)</f>
        <v>0</v>
      </c>
      <c r="K44" s="119">
        <f>IF(K42&gt;K43,K42,K43)</f>
        <v>0</v>
      </c>
      <c r="L44" s="120"/>
      <c r="M44" s="121"/>
    </row>
    <row r="45" spans="1:18" s="2" customFormat="1" ht="22.5" customHeight="1">
      <c r="A45" s="70"/>
      <c r="B45" s="58"/>
      <c r="C45" s="58"/>
      <c r="D45" s="59"/>
      <c r="E45" s="59"/>
      <c r="F45" s="59"/>
      <c r="G45" s="58"/>
      <c r="H45" s="4"/>
      <c r="I45" s="122"/>
      <c r="J45" s="122"/>
      <c r="K45" s="122"/>
      <c r="L45" s="99"/>
    </row>
    <row r="46" spans="1:18" s="2" customFormat="1" ht="22.5" customHeight="1">
      <c r="A46" s="70"/>
      <c r="B46" s="58"/>
      <c r="C46" s="58"/>
      <c r="D46" s="59"/>
      <c r="E46" s="59"/>
      <c r="F46" s="59"/>
      <c r="G46" s="58"/>
      <c r="H46" s="222" t="s">
        <v>77</v>
      </c>
      <c r="I46" s="222"/>
      <c r="J46" s="222" t="s">
        <v>78</v>
      </c>
      <c r="K46" s="222"/>
      <c r="L46" s="223"/>
    </row>
    <row r="47" spans="1:18" s="2" customFormat="1" ht="22.5" customHeight="1">
      <c r="A47" s="70"/>
      <c r="B47" s="56"/>
      <c r="C47" s="75"/>
      <c r="D47" s="76"/>
      <c r="E47" s="59"/>
      <c r="F47" s="59"/>
      <c r="G47" s="59"/>
      <c r="H47" s="77"/>
      <c r="I47" s="123"/>
      <c r="J47" s="77"/>
      <c r="K47" s="123"/>
      <c r="L47" s="124"/>
    </row>
    <row r="48" spans="1:18" s="2" customFormat="1" ht="22.5" customHeight="1">
      <c r="A48" s="70"/>
      <c r="B48" s="56"/>
      <c r="C48" s="75"/>
      <c r="D48" s="76"/>
      <c r="E48" s="59"/>
      <c r="F48" s="59"/>
      <c r="G48" s="59"/>
      <c r="H48" s="77"/>
      <c r="I48" s="123"/>
      <c r="J48" s="77"/>
      <c r="K48" s="123"/>
      <c r="L48" s="124"/>
    </row>
    <row r="49" spans="1:15" s="2" customFormat="1" ht="22.5" customHeight="1">
      <c r="A49" s="70"/>
      <c r="B49" s="56"/>
      <c r="C49" s="75"/>
      <c r="D49" s="76"/>
      <c r="E49" s="59"/>
      <c r="F49" s="59"/>
      <c r="G49" s="59"/>
      <c r="H49" s="77"/>
      <c r="I49" s="123"/>
      <c r="J49" s="77"/>
      <c r="K49"/>
      <c r="L49" s="124"/>
    </row>
    <row r="50" spans="1:15" s="2" customFormat="1" ht="22.5" customHeight="1">
      <c r="A50" s="70"/>
      <c r="B50" s="56"/>
      <c r="C50" s="75"/>
      <c r="D50" s="76"/>
      <c r="E50" s="59"/>
      <c r="F50" s="59"/>
      <c r="G50" s="59"/>
      <c r="H50" s="78"/>
      <c r="I50" s="78"/>
      <c r="J50" s="77"/>
      <c r="K50" s="123"/>
      <c r="L50" s="124"/>
    </row>
    <row r="51" spans="1:15" s="2" customFormat="1" ht="22.5" customHeight="1">
      <c r="A51" s="70"/>
      <c r="B51" s="56"/>
      <c r="C51" s="75"/>
      <c r="D51" s="76"/>
      <c r="E51" s="59"/>
      <c r="F51" s="59"/>
      <c r="G51" s="59"/>
      <c r="H51" s="220" t="s">
        <v>79</v>
      </c>
      <c r="I51" s="220"/>
      <c r="J51" s="220" t="s">
        <v>87</v>
      </c>
      <c r="K51" s="220"/>
      <c r="L51" s="221"/>
    </row>
    <row r="52" spans="1:15" s="2" customFormat="1" ht="22.5" customHeight="1">
      <c r="A52" s="70"/>
      <c r="B52" s="56"/>
      <c r="C52" s="75"/>
      <c r="D52" s="76"/>
      <c r="E52" s="59"/>
      <c r="F52" s="59"/>
      <c r="G52" s="59"/>
      <c r="H52" s="222" t="s">
        <v>80</v>
      </c>
      <c r="I52" s="222"/>
      <c r="J52" s="222" t="s">
        <v>81</v>
      </c>
      <c r="K52" s="222"/>
      <c r="L52" s="223"/>
    </row>
    <row r="53" spans="1:15" s="2" customFormat="1" ht="22.5" customHeight="1">
      <c r="A53" s="70"/>
      <c r="B53" s="56"/>
      <c r="C53" s="75"/>
      <c r="D53" s="76"/>
      <c r="E53" s="59"/>
      <c r="F53" s="59"/>
      <c r="G53" s="59"/>
      <c r="H53" s="186"/>
      <c r="I53" s="186"/>
      <c r="J53" s="186"/>
      <c r="K53" s="186"/>
      <c r="L53" s="99"/>
    </row>
    <row r="54" spans="1:15" s="2" customFormat="1" ht="22.5" customHeight="1">
      <c r="A54" s="70"/>
      <c r="B54" s="56"/>
      <c r="C54" s="75"/>
      <c r="D54" s="76"/>
      <c r="E54" s="59"/>
      <c r="F54" s="59"/>
      <c r="G54" s="59"/>
      <c r="H54" s="58"/>
      <c r="I54" s="58"/>
      <c r="J54" s="125"/>
      <c r="K54" s="58"/>
      <c r="L54" s="99"/>
      <c r="M54" s="126"/>
      <c r="N54" s="3"/>
    </row>
    <row r="55" spans="1:15" s="2" customFormat="1" ht="22.5" customHeight="1">
      <c r="A55" s="70"/>
      <c r="B55" s="56"/>
      <c r="C55" s="75"/>
      <c r="D55" s="76"/>
      <c r="E55" s="59"/>
      <c r="F55" s="59"/>
      <c r="G55" s="59"/>
      <c r="H55" s="58"/>
      <c r="I55" s="58"/>
      <c r="J55" s="127"/>
      <c r="K55" s="125"/>
      <c r="L55" s="128"/>
      <c r="M55" s="129"/>
      <c r="N55" s="3"/>
    </row>
    <row r="56" spans="1:15" s="2" customFormat="1" ht="22.5" customHeight="1">
      <c r="A56" s="264" t="s">
        <v>82</v>
      </c>
      <c r="B56" s="265"/>
      <c r="C56" s="265"/>
      <c r="D56" s="265"/>
      <c r="E56" s="265"/>
      <c r="F56" s="265"/>
      <c r="G56" s="265"/>
      <c r="H56" s="265"/>
      <c r="I56" s="265"/>
      <c r="J56" s="265"/>
      <c r="K56" s="265"/>
      <c r="L56" s="266"/>
      <c r="M56" s="130"/>
      <c r="N56" s="3"/>
      <c r="O56" s="3"/>
    </row>
    <row r="57" spans="1:15" s="2" customFormat="1" ht="22.5" customHeight="1">
      <c r="A57" s="261" t="s">
        <v>83</v>
      </c>
      <c r="B57" s="262"/>
      <c r="C57" s="262"/>
      <c r="D57" s="262"/>
      <c r="E57" s="262"/>
      <c r="F57" s="262"/>
      <c r="G57" s="262"/>
      <c r="H57" s="262"/>
      <c r="I57" s="262"/>
      <c r="J57" s="262"/>
      <c r="K57" s="262"/>
      <c r="L57" s="263"/>
      <c r="M57" s="3"/>
      <c r="N57" s="3"/>
      <c r="O57" s="3"/>
    </row>
    <row r="58" spans="1:15" s="2" customFormat="1" ht="22.5" customHeight="1">
      <c r="A58" s="261"/>
      <c r="B58" s="262"/>
      <c r="C58" s="262"/>
      <c r="D58" s="262"/>
      <c r="E58" s="262"/>
      <c r="F58" s="262"/>
      <c r="G58" s="262"/>
      <c r="H58" s="262"/>
      <c r="I58" s="262"/>
      <c r="J58" s="262"/>
      <c r="K58" s="262"/>
      <c r="L58" s="263"/>
      <c r="M58" s="3"/>
      <c r="N58" s="3"/>
      <c r="O58" s="3"/>
    </row>
    <row r="59" spans="1:15">
      <c r="A59" s="267" t="s">
        <v>84</v>
      </c>
      <c r="B59" s="268"/>
      <c r="C59" s="268"/>
      <c r="D59" s="268"/>
      <c r="E59" s="268"/>
      <c r="F59" s="268"/>
      <c r="G59" s="268"/>
      <c r="H59" s="268"/>
      <c r="I59" s="268"/>
      <c r="J59" s="268"/>
      <c r="K59" s="268"/>
      <c r="L59" s="269"/>
    </row>
    <row r="63" spans="1:15">
      <c r="I63" s="79"/>
      <c r="J63" s="79"/>
      <c r="K63" s="79"/>
      <c r="L63" s="79"/>
      <c r="M63" s="79"/>
      <c r="N63" s="79"/>
    </row>
    <row r="64" spans="1:15" ht="15" customHeight="1">
      <c r="E64" s="79"/>
      <c r="F64" s="79"/>
      <c r="G64" s="79"/>
      <c r="H64" s="79"/>
      <c r="I64" s="131"/>
      <c r="J64" s="131"/>
      <c r="K64" s="131"/>
      <c r="L64" s="131"/>
      <c r="M64" s="131"/>
      <c r="N64" s="131"/>
    </row>
    <row r="65" spans="2:18" ht="15" customHeight="1">
      <c r="E65" s="131"/>
      <c r="F65" s="131"/>
      <c r="G65" s="131"/>
      <c r="H65" s="131"/>
      <c r="I65" s="131"/>
      <c r="J65" s="131"/>
      <c r="K65" s="131"/>
      <c r="L65" s="131"/>
      <c r="M65" s="131"/>
      <c r="N65" s="131"/>
    </row>
    <row r="66" spans="2:18" ht="15" customHeight="1">
      <c r="E66" s="131"/>
      <c r="F66" s="131"/>
      <c r="G66" s="131"/>
      <c r="H66" s="131"/>
      <c r="I66" s="131"/>
      <c r="J66" s="131"/>
      <c r="K66" s="131"/>
      <c r="L66" s="131"/>
      <c r="M66" s="131"/>
      <c r="N66" s="131"/>
    </row>
    <row r="67" spans="2:18" ht="30.75" customHeight="1">
      <c r="E67" s="131"/>
      <c r="F67" s="131"/>
      <c r="G67" s="131"/>
      <c r="H67" s="131"/>
      <c r="I67" s="140"/>
      <c r="J67" s="140"/>
      <c r="K67" s="140"/>
      <c r="L67" s="140"/>
      <c r="M67" s="140"/>
      <c r="N67" s="140"/>
    </row>
    <row r="68" spans="2:18" ht="15" customHeight="1">
      <c r="E68" s="140"/>
      <c r="F68" s="140"/>
      <c r="G68" s="140"/>
      <c r="H68" s="140"/>
      <c r="I68" s="140"/>
      <c r="J68" s="140"/>
      <c r="K68" s="140"/>
      <c r="L68" s="140"/>
      <c r="M68" s="140"/>
      <c r="N68" s="140"/>
    </row>
    <row r="69" spans="2:18" ht="15" customHeight="1">
      <c r="E69" s="140"/>
      <c r="F69" s="140"/>
      <c r="G69" s="140"/>
      <c r="H69" s="140"/>
    </row>
    <row r="70" spans="2:18" ht="31.5" customHeight="1">
      <c r="E70" s="270"/>
      <c r="F70" s="270"/>
      <c r="G70" s="270"/>
      <c r="H70" s="270"/>
      <c r="I70" s="270"/>
      <c r="J70" s="270"/>
      <c r="K70" s="270"/>
      <c r="L70" s="270"/>
      <c r="M70" s="270"/>
      <c r="N70" s="270"/>
      <c r="O70" s="270"/>
      <c r="P70" s="270"/>
    </row>
    <row r="71" spans="2:18" ht="24" customHeight="1">
      <c r="B71" s="141"/>
      <c r="C71" s="142"/>
      <c r="D71" s="142"/>
      <c r="E71" s="142"/>
      <c r="F71" s="142"/>
      <c r="G71" s="142"/>
      <c r="H71" s="142"/>
      <c r="I71" s="142"/>
      <c r="J71" s="142"/>
      <c r="K71" s="142"/>
      <c r="L71" s="142"/>
      <c r="M71" s="142"/>
      <c r="N71" s="142"/>
      <c r="O71" s="142"/>
      <c r="P71" s="142"/>
      <c r="Q71" s="142"/>
      <c r="R71" s="142"/>
    </row>
    <row r="72" spans="2:18" ht="15" customHeight="1">
      <c r="B72" s="142"/>
      <c r="C72" s="142"/>
      <c r="D72" s="260"/>
      <c r="E72" s="260"/>
      <c r="F72" s="260"/>
      <c r="G72" s="260"/>
      <c r="H72" s="260"/>
      <c r="I72" s="260"/>
      <c r="J72" s="260"/>
      <c r="K72" s="260"/>
      <c r="L72" s="260"/>
      <c r="M72" s="260"/>
      <c r="N72" s="260"/>
      <c r="O72" s="260"/>
      <c r="P72" s="142"/>
      <c r="Q72" s="142"/>
      <c r="R72" s="142"/>
    </row>
    <row r="73" spans="2:18">
      <c r="D73" s="260"/>
      <c r="E73" s="260"/>
      <c r="F73" s="260"/>
      <c r="G73" s="260"/>
      <c r="H73" s="260"/>
      <c r="I73" s="260"/>
      <c r="J73" s="260"/>
      <c r="K73" s="260"/>
      <c r="L73" s="260"/>
      <c r="M73" s="260"/>
      <c r="N73" s="260"/>
      <c r="O73" s="260"/>
    </row>
  </sheetData>
  <sheetProtection formatCells="0" formatColumns="0" insertColumns="0" insertRows="0" deleteColumns="0" deleteRows="0"/>
  <mergeCells count="74">
    <mergeCell ref="D72:O73"/>
    <mergeCell ref="A57:L58"/>
    <mergeCell ref="H53:K53"/>
    <mergeCell ref="A56:L56"/>
    <mergeCell ref="A59:L59"/>
    <mergeCell ref="E70:P70"/>
    <mergeCell ref="A1:B4"/>
    <mergeCell ref="C2:J4"/>
    <mergeCell ref="G19:H20"/>
    <mergeCell ref="H46:I46"/>
    <mergeCell ref="J46:L46"/>
    <mergeCell ref="A36:E36"/>
    <mergeCell ref="H36:K36"/>
    <mergeCell ref="A37:B37"/>
    <mergeCell ref="D37:E37"/>
    <mergeCell ref="A38:B38"/>
    <mergeCell ref="D38:E38"/>
    <mergeCell ref="H38:I38"/>
    <mergeCell ref="J38:K38"/>
    <mergeCell ref="A30:B30"/>
    <mergeCell ref="A31:B31"/>
    <mergeCell ref="A32:B32"/>
    <mergeCell ref="H51:I51"/>
    <mergeCell ref="J51:L51"/>
    <mergeCell ref="H52:I52"/>
    <mergeCell ref="J52:L52"/>
    <mergeCell ref="A39:B39"/>
    <mergeCell ref="D39:E39"/>
    <mergeCell ref="J39:K39"/>
    <mergeCell ref="A40:B40"/>
    <mergeCell ref="D40:E40"/>
    <mergeCell ref="J40:K40"/>
    <mergeCell ref="A33:B33"/>
    <mergeCell ref="A34:B34"/>
    <mergeCell ref="A25:B25"/>
    <mergeCell ref="A26:B26"/>
    <mergeCell ref="A27:B27"/>
    <mergeCell ref="A28:B28"/>
    <mergeCell ref="A29:E29"/>
    <mergeCell ref="A20:B20"/>
    <mergeCell ref="A21:B21"/>
    <mergeCell ref="A22:B22"/>
    <mergeCell ref="A23:B23"/>
    <mergeCell ref="A24:B24"/>
    <mergeCell ref="C13:L13"/>
    <mergeCell ref="A16:L16"/>
    <mergeCell ref="A18:E18"/>
    <mergeCell ref="G18:L18"/>
    <mergeCell ref="A19:C19"/>
    <mergeCell ref="I19:J19"/>
    <mergeCell ref="K19:L19"/>
    <mergeCell ref="C10:G10"/>
    <mergeCell ref="H10:I10"/>
    <mergeCell ref="J10:L10"/>
    <mergeCell ref="B11:K11"/>
    <mergeCell ref="F12:G12"/>
    <mergeCell ref="H12:I12"/>
    <mergeCell ref="C8:G8"/>
    <mergeCell ref="H8:I8"/>
    <mergeCell ref="J8:L8"/>
    <mergeCell ref="C9:G9"/>
    <mergeCell ref="H9:I9"/>
    <mergeCell ref="B5:K5"/>
    <mergeCell ref="C6:G6"/>
    <mergeCell ref="H6:I6"/>
    <mergeCell ref="J6:L6"/>
    <mergeCell ref="C7:G7"/>
    <mergeCell ref="H7:I7"/>
    <mergeCell ref="J7:L7"/>
    <mergeCell ref="C1:J1"/>
    <mergeCell ref="K1:L1"/>
    <mergeCell ref="K2:L2"/>
    <mergeCell ref="K3:L3"/>
    <mergeCell ref="K4:L4"/>
  </mergeCells>
  <conditionalFormatting sqref="C6:C10">
    <cfRule type="containsBlanks" dxfId="229" priority="1">
      <formula>LEN(TRIM(C6))=0</formula>
    </cfRule>
  </conditionalFormatting>
  <conditionalFormatting sqref="C13:L13">
    <cfRule type="containsBlanks" dxfId="228" priority="11">
      <formula>LEN(TRIM(C13))=0</formula>
    </cfRule>
  </conditionalFormatting>
  <conditionalFormatting sqref="D20:D24">
    <cfRule type="containsBlanks" dxfId="227" priority="5">
      <formula>LEN(TRIM(D20))=0</formula>
    </cfRule>
  </conditionalFormatting>
  <conditionalFormatting sqref="D37:D38">
    <cfRule type="containsBlanks" dxfId="226" priority="4">
      <formula>LEN(TRIM(D37))=0</formula>
    </cfRule>
  </conditionalFormatting>
  <conditionalFormatting sqref="D30:E33">
    <cfRule type="containsBlanks" dxfId="225" priority="2">
      <formula>LEN(TRIM(D30))=0</formula>
    </cfRule>
  </conditionalFormatting>
  <conditionalFormatting sqref="E23">
    <cfRule type="containsBlanks" dxfId="224" priority="6">
      <formula>LEN(TRIM(E23))=0</formula>
    </cfRule>
  </conditionalFormatting>
  <conditionalFormatting sqref="F12:G12">
    <cfRule type="containsBlanks" dxfId="223" priority="9">
      <formula>LEN(TRIM(F12))=0</formula>
    </cfRule>
  </conditionalFormatting>
  <conditionalFormatting sqref="I22:I34">
    <cfRule type="containsBlanks" dxfId="222" priority="8">
      <formula>LEN(TRIM(I22))=0</formula>
    </cfRule>
  </conditionalFormatting>
  <conditionalFormatting sqref="I37">
    <cfRule type="containsBlanks" dxfId="221" priority="3">
      <formula>LEN(TRIM(I37))=0</formula>
    </cfRule>
  </conditionalFormatting>
  <conditionalFormatting sqref="K22:K34">
    <cfRule type="containsBlanks" dxfId="220" priority="7">
      <formula>LEN(TRIM(K22))=0</formula>
    </cfRule>
  </conditionalFormatting>
  <dataValidations disablePrompts="1" count="2">
    <dataValidation type="list" allowBlank="1" showInputMessage="1" showErrorMessage="1" sqref="C12" xr:uid="{00000000-0002-0000-0000-000000000000}">
      <formula1>$T$6:$T$13</formula1>
    </dataValidation>
    <dataValidation type="list" allowBlank="1" showInputMessage="1" showErrorMessage="1" sqref="I37" xr:uid="{00000000-0002-0000-0000-000001000000}">
      <formula1>"5 kN, 50 kN"</formula1>
    </dataValidation>
  </dataValidations>
  <printOptions horizontalCentered="1" verticalCentered="1"/>
  <pageMargins left="0.31496062992126" right="0.31496062992126" top="0.15748031496063" bottom="0.55118110236220497" header="0" footer="0.118110236220472"/>
  <pageSetup scale="42" fitToWidth="0" fitToHeight="0" orientation="landscape" r:id="rId1"/>
  <headerFooter>
    <oddFooter>&amp;C&amp;"Arial,Normal"&amp;10GEODELTA S.A.S. Calle 68 B bis No 70 C 95, Móvil: 318 7902368 Bogotá DC - Colombia
e-mail: laboratoriogeodelta@gmail.com</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AB73"/>
  <sheetViews>
    <sheetView showGridLines="0" view="pageBreakPreview" topLeftCell="A19" zoomScale="85" zoomScaleNormal="50" zoomScalePageLayoutView="50" workbookViewId="0">
      <selection activeCell="K2" sqref="K2:L2"/>
    </sheetView>
  </sheetViews>
  <sheetFormatPr baseColWidth="10" defaultColWidth="11" defaultRowHeight="14.25"/>
  <cols>
    <col min="1" max="1" width="10.5703125" style="3" customWidth="1"/>
    <col min="2" max="2" width="35.42578125" style="3" customWidth="1"/>
    <col min="3" max="3" width="20.85546875" style="3" customWidth="1"/>
    <col min="4" max="5" width="26.7109375" style="3" customWidth="1"/>
    <col min="6" max="6" width="3.7109375" style="3" customWidth="1"/>
    <col min="7" max="7" width="29.140625" style="3" customWidth="1"/>
    <col min="8" max="8" width="27.140625" style="3" customWidth="1"/>
    <col min="9" max="10" width="24.28515625" style="3" customWidth="1"/>
    <col min="11" max="12" width="22.42578125" style="3" customWidth="1"/>
    <col min="13" max="13" width="1.85546875" style="3" customWidth="1"/>
    <col min="14" max="16" width="12.85546875" style="3" customWidth="1"/>
    <col min="17" max="17" width="6.5703125" style="3" customWidth="1"/>
    <col min="18" max="18" width="6.28515625" style="3" customWidth="1"/>
    <col min="19" max="184" width="11" style="3"/>
    <col min="185" max="185" width="0.7109375" style="3" customWidth="1"/>
    <col min="186" max="186" width="6.5703125" style="3" customWidth="1"/>
    <col min="187" max="187" width="13.5703125" style="3" customWidth="1"/>
    <col min="188" max="188" width="13.42578125" style="3" customWidth="1"/>
    <col min="189" max="190" width="12.5703125" style="3" customWidth="1"/>
    <col min="191" max="191" width="14.85546875" style="3" customWidth="1"/>
    <col min="192" max="192" width="20.7109375" style="3" customWidth="1"/>
    <col min="193" max="193" width="12.5703125" style="3" customWidth="1"/>
    <col min="194" max="194" width="13" style="3" customWidth="1"/>
    <col min="195" max="195" width="16" style="3" customWidth="1"/>
    <col min="196" max="196" width="6.42578125" style="3" customWidth="1"/>
    <col min="197" max="197" width="16" style="3" customWidth="1"/>
    <col min="198" max="198" width="2.85546875" style="3" customWidth="1"/>
    <col min="199" max="199" width="0.85546875" style="3" customWidth="1"/>
    <col min="200" max="200" width="11" style="3"/>
    <col min="201" max="201" width="15.42578125" style="3" customWidth="1"/>
    <col min="202" max="204" width="14.85546875" style="3" customWidth="1"/>
    <col min="205" max="205" width="0.7109375" style="3" customWidth="1"/>
    <col min="206" max="206" width="11" style="3"/>
    <col min="207" max="207" width="15.7109375" style="3" customWidth="1"/>
    <col min="208" max="209" width="14.85546875" style="3" customWidth="1"/>
    <col min="210" max="210" width="3.28515625" style="3" customWidth="1"/>
    <col min="211" max="211" width="20.140625" style="3" customWidth="1"/>
    <col min="212" max="212" width="3.28515625" style="3" customWidth="1"/>
    <col min="213" max="217" width="11" style="3"/>
    <col min="218" max="230" width="4.7109375" style="3" customWidth="1"/>
    <col min="231" max="440" width="11" style="3"/>
    <col min="441" max="441" width="0.7109375" style="3" customWidth="1"/>
    <col min="442" max="442" width="6.5703125" style="3" customWidth="1"/>
    <col min="443" max="443" width="13.5703125" style="3" customWidth="1"/>
    <col min="444" max="444" width="13.42578125" style="3" customWidth="1"/>
    <col min="445" max="446" width="12.5703125" style="3" customWidth="1"/>
    <col min="447" max="447" width="14.85546875" style="3" customWidth="1"/>
    <col min="448" max="448" width="20.7109375" style="3" customWidth="1"/>
    <col min="449" max="449" width="12.5703125" style="3" customWidth="1"/>
    <col min="450" max="450" width="13" style="3" customWidth="1"/>
    <col min="451" max="451" width="16" style="3" customWidth="1"/>
    <col min="452" max="452" width="6.42578125" style="3" customWidth="1"/>
    <col min="453" max="453" width="16" style="3" customWidth="1"/>
    <col min="454" max="454" width="2.85546875" style="3" customWidth="1"/>
    <col min="455" max="455" width="0.85546875" style="3" customWidth="1"/>
    <col min="456" max="456" width="11" style="3"/>
    <col min="457" max="457" width="15.42578125" style="3" customWidth="1"/>
    <col min="458" max="460" width="14.85546875" style="3" customWidth="1"/>
    <col min="461" max="461" width="0.7109375" style="3" customWidth="1"/>
    <col min="462" max="462" width="11" style="3"/>
    <col min="463" max="463" width="15.7109375" style="3" customWidth="1"/>
    <col min="464" max="465" width="14.85546875" style="3" customWidth="1"/>
    <col min="466" max="466" width="3.28515625" style="3" customWidth="1"/>
    <col min="467" max="467" width="20.140625" style="3" customWidth="1"/>
    <col min="468" max="468" width="3.28515625" style="3" customWidth="1"/>
    <col min="469" max="473" width="11" style="3"/>
    <col min="474" max="486" width="4.7109375" style="3" customWidth="1"/>
    <col min="487" max="696" width="11" style="3"/>
    <col min="697" max="697" width="0.7109375" style="3" customWidth="1"/>
    <col min="698" max="698" width="6.5703125" style="3" customWidth="1"/>
    <col min="699" max="699" width="13.5703125" style="3" customWidth="1"/>
    <col min="700" max="700" width="13.42578125" style="3" customWidth="1"/>
    <col min="701" max="702" width="12.5703125" style="3" customWidth="1"/>
    <col min="703" max="703" width="14.85546875" style="3" customWidth="1"/>
    <col min="704" max="704" width="20.7109375" style="3" customWidth="1"/>
    <col min="705" max="705" width="12.5703125" style="3" customWidth="1"/>
    <col min="706" max="706" width="13" style="3" customWidth="1"/>
    <col min="707" max="707" width="16" style="3" customWidth="1"/>
    <col min="708" max="708" width="6.42578125" style="3" customWidth="1"/>
    <col min="709" max="709" width="16" style="3" customWidth="1"/>
    <col min="710" max="710" width="2.85546875" style="3" customWidth="1"/>
    <col min="711" max="711" width="0.85546875" style="3" customWidth="1"/>
    <col min="712" max="712" width="11" style="3"/>
    <col min="713" max="713" width="15.42578125" style="3" customWidth="1"/>
    <col min="714" max="716" width="14.85546875" style="3" customWidth="1"/>
    <col min="717" max="717" width="0.7109375" style="3" customWidth="1"/>
    <col min="718" max="718" width="11" style="3"/>
    <col min="719" max="719" width="15.7109375" style="3" customWidth="1"/>
    <col min="720" max="721" width="14.85546875" style="3" customWidth="1"/>
    <col min="722" max="722" width="3.28515625" style="3" customWidth="1"/>
    <col min="723" max="723" width="20.140625" style="3" customWidth="1"/>
    <col min="724" max="724" width="3.28515625" style="3" customWidth="1"/>
    <col min="725" max="729" width="11" style="3"/>
    <col min="730" max="742" width="4.7109375" style="3" customWidth="1"/>
    <col min="743" max="952" width="11" style="3"/>
    <col min="953" max="953" width="0.7109375" style="3" customWidth="1"/>
    <col min="954" max="954" width="6.5703125" style="3" customWidth="1"/>
    <col min="955" max="955" width="13.5703125" style="3" customWidth="1"/>
    <col min="956" max="956" width="13.42578125" style="3" customWidth="1"/>
    <col min="957" max="958" width="12.5703125" style="3" customWidth="1"/>
    <col min="959" max="959" width="14.85546875" style="3" customWidth="1"/>
    <col min="960" max="960" width="20.7109375" style="3" customWidth="1"/>
    <col min="961" max="961" width="12.5703125" style="3" customWidth="1"/>
    <col min="962" max="962" width="13" style="3" customWidth="1"/>
    <col min="963" max="963" width="16" style="3" customWidth="1"/>
    <col min="964" max="964" width="6.42578125" style="3" customWidth="1"/>
    <col min="965" max="965" width="16" style="3" customWidth="1"/>
    <col min="966" max="966" width="2.85546875" style="3" customWidth="1"/>
    <col min="967" max="967" width="0.85546875" style="3" customWidth="1"/>
    <col min="968" max="968" width="11" style="3"/>
    <col min="969" max="969" width="15.42578125" style="3" customWidth="1"/>
    <col min="970" max="972" width="14.85546875" style="3" customWidth="1"/>
    <col min="973" max="973" width="0.7109375" style="3" customWidth="1"/>
    <col min="974" max="974" width="11" style="3"/>
    <col min="975" max="975" width="15.7109375" style="3" customWidth="1"/>
    <col min="976" max="977" width="14.85546875" style="3" customWidth="1"/>
    <col min="978" max="978" width="3.28515625" style="3" customWidth="1"/>
    <col min="979" max="979" width="20.140625" style="3" customWidth="1"/>
    <col min="980" max="980" width="3.28515625" style="3" customWidth="1"/>
    <col min="981" max="985" width="11" style="3"/>
    <col min="986" max="998" width="4.7109375" style="3" customWidth="1"/>
    <col min="999" max="1208" width="11" style="3"/>
    <col min="1209" max="1209" width="0.7109375" style="3" customWidth="1"/>
    <col min="1210" max="1210" width="6.5703125" style="3" customWidth="1"/>
    <col min="1211" max="1211" width="13.5703125" style="3" customWidth="1"/>
    <col min="1212" max="1212" width="13.42578125" style="3" customWidth="1"/>
    <col min="1213" max="1214" width="12.5703125" style="3" customWidth="1"/>
    <col min="1215" max="1215" width="14.85546875" style="3" customWidth="1"/>
    <col min="1216" max="1216" width="20.7109375" style="3" customWidth="1"/>
    <col min="1217" max="1217" width="12.5703125" style="3" customWidth="1"/>
    <col min="1218" max="1218" width="13" style="3" customWidth="1"/>
    <col min="1219" max="1219" width="16" style="3" customWidth="1"/>
    <col min="1220" max="1220" width="6.42578125" style="3" customWidth="1"/>
    <col min="1221" max="1221" width="16" style="3" customWidth="1"/>
    <col min="1222" max="1222" width="2.85546875" style="3" customWidth="1"/>
    <col min="1223" max="1223" width="0.85546875" style="3" customWidth="1"/>
    <col min="1224" max="1224" width="11" style="3"/>
    <col min="1225" max="1225" width="15.42578125" style="3" customWidth="1"/>
    <col min="1226" max="1228" width="14.85546875" style="3" customWidth="1"/>
    <col min="1229" max="1229" width="0.7109375" style="3" customWidth="1"/>
    <col min="1230" max="1230" width="11" style="3"/>
    <col min="1231" max="1231" width="15.7109375" style="3" customWidth="1"/>
    <col min="1232" max="1233" width="14.85546875" style="3" customWidth="1"/>
    <col min="1234" max="1234" width="3.28515625" style="3" customWidth="1"/>
    <col min="1235" max="1235" width="20.140625" style="3" customWidth="1"/>
    <col min="1236" max="1236" width="3.28515625" style="3" customWidth="1"/>
    <col min="1237" max="1241" width="11" style="3"/>
    <col min="1242" max="1254" width="4.7109375" style="3" customWidth="1"/>
    <col min="1255" max="1464" width="11" style="3"/>
    <col min="1465" max="1465" width="0.7109375" style="3" customWidth="1"/>
    <col min="1466" max="1466" width="6.5703125" style="3" customWidth="1"/>
    <col min="1467" max="1467" width="13.5703125" style="3" customWidth="1"/>
    <col min="1468" max="1468" width="13.42578125" style="3" customWidth="1"/>
    <col min="1469" max="1470" width="12.5703125" style="3" customWidth="1"/>
    <col min="1471" max="1471" width="14.85546875" style="3" customWidth="1"/>
    <col min="1472" max="1472" width="20.7109375" style="3" customWidth="1"/>
    <col min="1473" max="1473" width="12.5703125" style="3" customWidth="1"/>
    <col min="1474" max="1474" width="13" style="3" customWidth="1"/>
    <col min="1475" max="1475" width="16" style="3" customWidth="1"/>
    <col min="1476" max="1476" width="6.42578125" style="3" customWidth="1"/>
    <col min="1477" max="1477" width="16" style="3" customWidth="1"/>
    <col min="1478" max="1478" width="2.85546875" style="3" customWidth="1"/>
    <col min="1479" max="1479" width="0.85546875" style="3" customWidth="1"/>
    <col min="1480" max="1480" width="11" style="3"/>
    <col min="1481" max="1481" width="15.42578125" style="3" customWidth="1"/>
    <col min="1482" max="1484" width="14.85546875" style="3" customWidth="1"/>
    <col min="1485" max="1485" width="0.7109375" style="3" customWidth="1"/>
    <col min="1486" max="1486" width="11" style="3"/>
    <col min="1487" max="1487" width="15.7109375" style="3" customWidth="1"/>
    <col min="1488" max="1489" width="14.85546875" style="3" customWidth="1"/>
    <col min="1490" max="1490" width="3.28515625" style="3" customWidth="1"/>
    <col min="1491" max="1491" width="20.140625" style="3" customWidth="1"/>
    <col min="1492" max="1492" width="3.28515625" style="3" customWidth="1"/>
    <col min="1493" max="1497" width="11" style="3"/>
    <col min="1498" max="1510" width="4.7109375" style="3" customWidth="1"/>
    <col min="1511" max="1720" width="11" style="3"/>
    <col min="1721" max="1721" width="0.7109375" style="3" customWidth="1"/>
    <col min="1722" max="1722" width="6.5703125" style="3" customWidth="1"/>
    <col min="1723" max="1723" width="13.5703125" style="3" customWidth="1"/>
    <col min="1724" max="1724" width="13.42578125" style="3" customWidth="1"/>
    <col min="1725" max="1726" width="12.5703125" style="3" customWidth="1"/>
    <col min="1727" max="1727" width="14.85546875" style="3" customWidth="1"/>
    <col min="1728" max="1728" width="20.7109375" style="3" customWidth="1"/>
    <col min="1729" max="1729" width="12.5703125" style="3" customWidth="1"/>
    <col min="1730" max="1730" width="13" style="3" customWidth="1"/>
    <col min="1731" max="1731" width="16" style="3" customWidth="1"/>
    <col min="1732" max="1732" width="6.42578125" style="3" customWidth="1"/>
    <col min="1733" max="1733" width="16" style="3" customWidth="1"/>
    <col min="1734" max="1734" width="2.85546875" style="3" customWidth="1"/>
    <col min="1735" max="1735" width="0.85546875" style="3" customWidth="1"/>
    <col min="1736" max="1736" width="11" style="3"/>
    <col min="1737" max="1737" width="15.42578125" style="3" customWidth="1"/>
    <col min="1738" max="1740" width="14.85546875" style="3" customWidth="1"/>
    <col min="1741" max="1741" width="0.7109375" style="3" customWidth="1"/>
    <col min="1742" max="1742" width="11" style="3"/>
    <col min="1743" max="1743" width="15.7109375" style="3" customWidth="1"/>
    <col min="1744" max="1745" width="14.85546875" style="3" customWidth="1"/>
    <col min="1746" max="1746" width="3.28515625" style="3" customWidth="1"/>
    <col min="1747" max="1747" width="20.140625" style="3" customWidth="1"/>
    <col min="1748" max="1748" width="3.28515625" style="3" customWidth="1"/>
    <col min="1749" max="1753" width="11" style="3"/>
    <col min="1754" max="1766" width="4.7109375" style="3" customWidth="1"/>
    <col min="1767" max="1976" width="11" style="3"/>
    <col min="1977" max="1977" width="0.7109375" style="3" customWidth="1"/>
    <col min="1978" max="1978" width="6.5703125" style="3" customWidth="1"/>
    <col min="1979" max="1979" width="13.5703125" style="3" customWidth="1"/>
    <col min="1980" max="1980" width="13.42578125" style="3" customWidth="1"/>
    <col min="1981" max="1982" width="12.5703125" style="3" customWidth="1"/>
    <col min="1983" max="1983" width="14.85546875" style="3" customWidth="1"/>
    <col min="1984" max="1984" width="20.7109375" style="3" customWidth="1"/>
    <col min="1985" max="1985" width="12.5703125" style="3" customWidth="1"/>
    <col min="1986" max="1986" width="13" style="3" customWidth="1"/>
    <col min="1987" max="1987" width="16" style="3" customWidth="1"/>
    <col min="1988" max="1988" width="6.42578125" style="3" customWidth="1"/>
    <col min="1989" max="1989" width="16" style="3" customWidth="1"/>
    <col min="1990" max="1990" width="2.85546875" style="3" customWidth="1"/>
    <col min="1991" max="1991" width="0.85546875" style="3" customWidth="1"/>
    <col min="1992" max="1992" width="11" style="3"/>
    <col min="1993" max="1993" width="15.42578125" style="3" customWidth="1"/>
    <col min="1994" max="1996" width="14.85546875" style="3" customWidth="1"/>
    <col min="1997" max="1997" width="0.7109375" style="3" customWidth="1"/>
    <col min="1998" max="1998" width="11" style="3"/>
    <col min="1999" max="1999" width="15.7109375" style="3" customWidth="1"/>
    <col min="2000" max="2001" width="14.85546875" style="3" customWidth="1"/>
    <col min="2002" max="2002" width="3.28515625" style="3" customWidth="1"/>
    <col min="2003" max="2003" width="20.140625" style="3" customWidth="1"/>
    <col min="2004" max="2004" width="3.28515625" style="3" customWidth="1"/>
    <col min="2005" max="2009" width="11" style="3"/>
    <col min="2010" max="2022" width="4.7109375" style="3" customWidth="1"/>
    <col min="2023" max="2232" width="11" style="3"/>
    <col min="2233" max="2233" width="0.7109375" style="3" customWidth="1"/>
    <col min="2234" max="2234" width="6.5703125" style="3" customWidth="1"/>
    <col min="2235" max="2235" width="13.5703125" style="3" customWidth="1"/>
    <col min="2236" max="2236" width="13.42578125" style="3" customWidth="1"/>
    <col min="2237" max="2238" width="12.5703125" style="3" customWidth="1"/>
    <col min="2239" max="2239" width="14.85546875" style="3" customWidth="1"/>
    <col min="2240" max="2240" width="20.7109375" style="3" customWidth="1"/>
    <col min="2241" max="2241" width="12.5703125" style="3" customWidth="1"/>
    <col min="2242" max="2242" width="13" style="3" customWidth="1"/>
    <col min="2243" max="2243" width="16" style="3" customWidth="1"/>
    <col min="2244" max="2244" width="6.42578125" style="3" customWidth="1"/>
    <col min="2245" max="2245" width="16" style="3" customWidth="1"/>
    <col min="2246" max="2246" width="2.85546875" style="3" customWidth="1"/>
    <col min="2247" max="2247" width="0.85546875" style="3" customWidth="1"/>
    <col min="2248" max="2248" width="11" style="3"/>
    <col min="2249" max="2249" width="15.42578125" style="3" customWidth="1"/>
    <col min="2250" max="2252" width="14.85546875" style="3" customWidth="1"/>
    <col min="2253" max="2253" width="0.7109375" style="3" customWidth="1"/>
    <col min="2254" max="2254" width="11" style="3"/>
    <col min="2255" max="2255" width="15.7109375" style="3" customWidth="1"/>
    <col min="2256" max="2257" width="14.85546875" style="3" customWidth="1"/>
    <col min="2258" max="2258" width="3.28515625" style="3" customWidth="1"/>
    <col min="2259" max="2259" width="20.140625" style="3" customWidth="1"/>
    <col min="2260" max="2260" width="3.28515625" style="3" customWidth="1"/>
    <col min="2261" max="2265" width="11" style="3"/>
    <col min="2266" max="2278" width="4.7109375" style="3" customWidth="1"/>
    <col min="2279" max="2488" width="11" style="3"/>
    <col min="2489" max="2489" width="0.7109375" style="3" customWidth="1"/>
    <col min="2490" max="2490" width="6.5703125" style="3" customWidth="1"/>
    <col min="2491" max="2491" width="13.5703125" style="3" customWidth="1"/>
    <col min="2492" max="2492" width="13.42578125" style="3" customWidth="1"/>
    <col min="2493" max="2494" width="12.5703125" style="3" customWidth="1"/>
    <col min="2495" max="2495" width="14.85546875" style="3" customWidth="1"/>
    <col min="2496" max="2496" width="20.7109375" style="3" customWidth="1"/>
    <col min="2497" max="2497" width="12.5703125" style="3" customWidth="1"/>
    <col min="2498" max="2498" width="13" style="3" customWidth="1"/>
    <col min="2499" max="2499" width="16" style="3" customWidth="1"/>
    <col min="2500" max="2500" width="6.42578125" style="3" customWidth="1"/>
    <col min="2501" max="2501" width="16" style="3" customWidth="1"/>
    <col min="2502" max="2502" width="2.85546875" style="3" customWidth="1"/>
    <col min="2503" max="2503" width="0.85546875" style="3" customWidth="1"/>
    <col min="2504" max="2504" width="11" style="3"/>
    <col min="2505" max="2505" width="15.42578125" style="3" customWidth="1"/>
    <col min="2506" max="2508" width="14.85546875" style="3" customWidth="1"/>
    <col min="2509" max="2509" width="0.7109375" style="3" customWidth="1"/>
    <col min="2510" max="2510" width="11" style="3"/>
    <col min="2511" max="2511" width="15.7109375" style="3" customWidth="1"/>
    <col min="2512" max="2513" width="14.85546875" style="3" customWidth="1"/>
    <col min="2514" max="2514" width="3.28515625" style="3" customWidth="1"/>
    <col min="2515" max="2515" width="20.140625" style="3" customWidth="1"/>
    <col min="2516" max="2516" width="3.28515625" style="3" customWidth="1"/>
    <col min="2517" max="2521" width="11" style="3"/>
    <col min="2522" max="2534" width="4.7109375" style="3" customWidth="1"/>
    <col min="2535" max="2744" width="11" style="3"/>
    <col min="2745" max="2745" width="0.7109375" style="3" customWidth="1"/>
    <col min="2746" max="2746" width="6.5703125" style="3" customWidth="1"/>
    <col min="2747" max="2747" width="13.5703125" style="3" customWidth="1"/>
    <col min="2748" max="2748" width="13.42578125" style="3" customWidth="1"/>
    <col min="2749" max="2750" width="12.5703125" style="3" customWidth="1"/>
    <col min="2751" max="2751" width="14.85546875" style="3" customWidth="1"/>
    <col min="2752" max="2752" width="20.7109375" style="3" customWidth="1"/>
    <col min="2753" max="2753" width="12.5703125" style="3" customWidth="1"/>
    <col min="2754" max="2754" width="13" style="3" customWidth="1"/>
    <col min="2755" max="2755" width="16" style="3" customWidth="1"/>
    <col min="2756" max="2756" width="6.42578125" style="3" customWidth="1"/>
    <col min="2757" max="2757" width="16" style="3" customWidth="1"/>
    <col min="2758" max="2758" width="2.85546875" style="3" customWidth="1"/>
    <col min="2759" max="2759" width="0.85546875" style="3" customWidth="1"/>
    <col min="2760" max="2760" width="11" style="3"/>
    <col min="2761" max="2761" width="15.42578125" style="3" customWidth="1"/>
    <col min="2762" max="2764" width="14.85546875" style="3" customWidth="1"/>
    <col min="2765" max="2765" width="0.7109375" style="3" customWidth="1"/>
    <col min="2766" max="2766" width="11" style="3"/>
    <col min="2767" max="2767" width="15.7109375" style="3" customWidth="1"/>
    <col min="2768" max="2769" width="14.85546875" style="3" customWidth="1"/>
    <col min="2770" max="2770" width="3.28515625" style="3" customWidth="1"/>
    <col min="2771" max="2771" width="20.140625" style="3" customWidth="1"/>
    <col min="2772" max="2772" width="3.28515625" style="3" customWidth="1"/>
    <col min="2773" max="2777" width="11" style="3"/>
    <col min="2778" max="2790" width="4.7109375" style="3" customWidth="1"/>
    <col min="2791" max="3000" width="11" style="3"/>
    <col min="3001" max="3001" width="0.7109375" style="3" customWidth="1"/>
    <col min="3002" max="3002" width="6.5703125" style="3" customWidth="1"/>
    <col min="3003" max="3003" width="13.5703125" style="3" customWidth="1"/>
    <col min="3004" max="3004" width="13.42578125" style="3" customWidth="1"/>
    <col min="3005" max="3006" width="12.5703125" style="3" customWidth="1"/>
    <col min="3007" max="3007" width="14.85546875" style="3" customWidth="1"/>
    <col min="3008" max="3008" width="20.7109375" style="3" customWidth="1"/>
    <col min="3009" max="3009" width="12.5703125" style="3" customWidth="1"/>
    <col min="3010" max="3010" width="13" style="3" customWidth="1"/>
    <col min="3011" max="3011" width="16" style="3" customWidth="1"/>
    <col min="3012" max="3012" width="6.42578125" style="3" customWidth="1"/>
    <col min="3013" max="3013" width="16" style="3" customWidth="1"/>
    <col min="3014" max="3014" width="2.85546875" style="3" customWidth="1"/>
    <col min="3015" max="3015" width="0.85546875" style="3" customWidth="1"/>
    <col min="3016" max="3016" width="11" style="3"/>
    <col min="3017" max="3017" width="15.42578125" style="3" customWidth="1"/>
    <col min="3018" max="3020" width="14.85546875" style="3" customWidth="1"/>
    <col min="3021" max="3021" width="0.7109375" style="3" customWidth="1"/>
    <col min="3022" max="3022" width="11" style="3"/>
    <col min="3023" max="3023" width="15.7109375" style="3" customWidth="1"/>
    <col min="3024" max="3025" width="14.85546875" style="3" customWidth="1"/>
    <col min="3026" max="3026" width="3.28515625" style="3" customWidth="1"/>
    <col min="3027" max="3027" width="20.140625" style="3" customWidth="1"/>
    <col min="3028" max="3028" width="3.28515625" style="3" customWidth="1"/>
    <col min="3029" max="3033" width="11" style="3"/>
    <col min="3034" max="3046" width="4.7109375" style="3" customWidth="1"/>
    <col min="3047" max="3256" width="11" style="3"/>
    <col min="3257" max="3257" width="0.7109375" style="3" customWidth="1"/>
    <col min="3258" max="3258" width="6.5703125" style="3" customWidth="1"/>
    <col min="3259" max="3259" width="13.5703125" style="3" customWidth="1"/>
    <col min="3260" max="3260" width="13.42578125" style="3" customWidth="1"/>
    <col min="3261" max="3262" width="12.5703125" style="3" customWidth="1"/>
    <col min="3263" max="3263" width="14.85546875" style="3" customWidth="1"/>
    <col min="3264" max="3264" width="20.7109375" style="3" customWidth="1"/>
    <col min="3265" max="3265" width="12.5703125" style="3" customWidth="1"/>
    <col min="3266" max="3266" width="13" style="3" customWidth="1"/>
    <col min="3267" max="3267" width="16" style="3" customWidth="1"/>
    <col min="3268" max="3268" width="6.42578125" style="3" customWidth="1"/>
    <col min="3269" max="3269" width="16" style="3" customWidth="1"/>
    <col min="3270" max="3270" width="2.85546875" style="3" customWidth="1"/>
    <col min="3271" max="3271" width="0.85546875" style="3" customWidth="1"/>
    <col min="3272" max="3272" width="11" style="3"/>
    <col min="3273" max="3273" width="15.42578125" style="3" customWidth="1"/>
    <col min="3274" max="3276" width="14.85546875" style="3" customWidth="1"/>
    <col min="3277" max="3277" width="0.7109375" style="3" customWidth="1"/>
    <col min="3278" max="3278" width="11" style="3"/>
    <col min="3279" max="3279" width="15.7109375" style="3" customWidth="1"/>
    <col min="3280" max="3281" width="14.85546875" style="3" customWidth="1"/>
    <col min="3282" max="3282" width="3.28515625" style="3" customWidth="1"/>
    <col min="3283" max="3283" width="20.140625" style="3" customWidth="1"/>
    <col min="3284" max="3284" width="3.28515625" style="3" customWidth="1"/>
    <col min="3285" max="3289" width="11" style="3"/>
    <col min="3290" max="3302" width="4.7109375" style="3" customWidth="1"/>
    <col min="3303" max="3512" width="11" style="3"/>
    <col min="3513" max="3513" width="0.7109375" style="3" customWidth="1"/>
    <col min="3514" max="3514" width="6.5703125" style="3" customWidth="1"/>
    <col min="3515" max="3515" width="13.5703125" style="3" customWidth="1"/>
    <col min="3516" max="3516" width="13.42578125" style="3" customWidth="1"/>
    <col min="3517" max="3518" width="12.5703125" style="3" customWidth="1"/>
    <col min="3519" max="3519" width="14.85546875" style="3" customWidth="1"/>
    <col min="3520" max="3520" width="20.7109375" style="3" customWidth="1"/>
    <col min="3521" max="3521" width="12.5703125" style="3" customWidth="1"/>
    <col min="3522" max="3522" width="13" style="3" customWidth="1"/>
    <col min="3523" max="3523" width="16" style="3" customWidth="1"/>
    <col min="3524" max="3524" width="6.42578125" style="3" customWidth="1"/>
    <col min="3525" max="3525" width="16" style="3" customWidth="1"/>
    <col min="3526" max="3526" width="2.85546875" style="3" customWidth="1"/>
    <col min="3527" max="3527" width="0.85546875" style="3" customWidth="1"/>
    <col min="3528" max="3528" width="11" style="3"/>
    <col min="3529" max="3529" width="15.42578125" style="3" customWidth="1"/>
    <col min="3530" max="3532" width="14.85546875" style="3" customWidth="1"/>
    <col min="3533" max="3533" width="0.7109375" style="3" customWidth="1"/>
    <col min="3534" max="3534" width="11" style="3"/>
    <col min="3535" max="3535" width="15.7109375" style="3" customWidth="1"/>
    <col min="3536" max="3537" width="14.85546875" style="3" customWidth="1"/>
    <col min="3538" max="3538" width="3.28515625" style="3" customWidth="1"/>
    <col min="3539" max="3539" width="20.140625" style="3" customWidth="1"/>
    <col min="3540" max="3540" width="3.28515625" style="3" customWidth="1"/>
    <col min="3541" max="3545" width="11" style="3"/>
    <col min="3546" max="3558" width="4.7109375" style="3" customWidth="1"/>
    <col min="3559" max="3768" width="11" style="3"/>
    <col min="3769" max="3769" width="0.7109375" style="3" customWidth="1"/>
    <col min="3770" max="3770" width="6.5703125" style="3" customWidth="1"/>
    <col min="3771" max="3771" width="13.5703125" style="3" customWidth="1"/>
    <col min="3772" max="3772" width="13.42578125" style="3" customWidth="1"/>
    <col min="3773" max="3774" width="12.5703125" style="3" customWidth="1"/>
    <col min="3775" max="3775" width="14.85546875" style="3" customWidth="1"/>
    <col min="3776" max="3776" width="20.7109375" style="3" customWidth="1"/>
    <col min="3777" max="3777" width="12.5703125" style="3" customWidth="1"/>
    <col min="3778" max="3778" width="13" style="3" customWidth="1"/>
    <col min="3779" max="3779" width="16" style="3" customWidth="1"/>
    <col min="3780" max="3780" width="6.42578125" style="3" customWidth="1"/>
    <col min="3781" max="3781" width="16" style="3" customWidth="1"/>
    <col min="3782" max="3782" width="2.85546875" style="3" customWidth="1"/>
    <col min="3783" max="3783" width="0.85546875" style="3" customWidth="1"/>
    <col min="3784" max="3784" width="11" style="3"/>
    <col min="3785" max="3785" width="15.42578125" style="3" customWidth="1"/>
    <col min="3786" max="3788" width="14.85546875" style="3" customWidth="1"/>
    <col min="3789" max="3789" width="0.7109375" style="3" customWidth="1"/>
    <col min="3790" max="3790" width="11" style="3"/>
    <col min="3791" max="3791" width="15.7109375" style="3" customWidth="1"/>
    <col min="3792" max="3793" width="14.85546875" style="3" customWidth="1"/>
    <col min="3794" max="3794" width="3.28515625" style="3" customWidth="1"/>
    <col min="3795" max="3795" width="20.140625" style="3" customWidth="1"/>
    <col min="3796" max="3796" width="3.28515625" style="3" customWidth="1"/>
    <col min="3797" max="3801" width="11" style="3"/>
    <col min="3802" max="3814" width="4.7109375" style="3" customWidth="1"/>
    <col min="3815" max="4024" width="11" style="3"/>
    <col min="4025" max="4025" width="0.7109375" style="3" customWidth="1"/>
    <col min="4026" max="4026" width="6.5703125" style="3" customWidth="1"/>
    <col min="4027" max="4027" width="13.5703125" style="3" customWidth="1"/>
    <col min="4028" max="4028" width="13.42578125" style="3" customWidth="1"/>
    <col min="4029" max="4030" width="12.5703125" style="3" customWidth="1"/>
    <col min="4031" max="4031" width="14.85546875" style="3" customWidth="1"/>
    <col min="4032" max="4032" width="20.7109375" style="3" customWidth="1"/>
    <col min="4033" max="4033" width="12.5703125" style="3" customWidth="1"/>
    <col min="4034" max="4034" width="13" style="3" customWidth="1"/>
    <col min="4035" max="4035" width="16" style="3" customWidth="1"/>
    <col min="4036" max="4036" width="6.42578125" style="3" customWidth="1"/>
    <col min="4037" max="4037" width="16" style="3" customWidth="1"/>
    <col min="4038" max="4038" width="2.85546875" style="3" customWidth="1"/>
    <col min="4039" max="4039" width="0.85546875" style="3" customWidth="1"/>
    <col min="4040" max="4040" width="11" style="3"/>
    <col min="4041" max="4041" width="15.42578125" style="3" customWidth="1"/>
    <col min="4042" max="4044" width="14.85546875" style="3" customWidth="1"/>
    <col min="4045" max="4045" width="0.7109375" style="3" customWidth="1"/>
    <col min="4046" max="4046" width="11" style="3"/>
    <col min="4047" max="4047" width="15.7109375" style="3" customWidth="1"/>
    <col min="4048" max="4049" width="14.85546875" style="3" customWidth="1"/>
    <col min="4050" max="4050" width="3.28515625" style="3" customWidth="1"/>
    <col min="4051" max="4051" width="20.140625" style="3" customWidth="1"/>
    <col min="4052" max="4052" width="3.28515625" style="3" customWidth="1"/>
    <col min="4053" max="4057" width="11" style="3"/>
    <col min="4058" max="4070" width="4.7109375" style="3" customWidth="1"/>
    <col min="4071" max="4280" width="11" style="3"/>
    <col min="4281" max="4281" width="0.7109375" style="3" customWidth="1"/>
    <col min="4282" max="4282" width="6.5703125" style="3" customWidth="1"/>
    <col min="4283" max="4283" width="13.5703125" style="3" customWidth="1"/>
    <col min="4284" max="4284" width="13.42578125" style="3" customWidth="1"/>
    <col min="4285" max="4286" width="12.5703125" style="3" customWidth="1"/>
    <col min="4287" max="4287" width="14.85546875" style="3" customWidth="1"/>
    <col min="4288" max="4288" width="20.7109375" style="3" customWidth="1"/>
    <col min="4289" max="4289" width="12.5703125" style="3" customWidth="1"/>
    <col min="4290" max="4290" width="13" style="3" customWidth="1"/>
    <col min="4291" max="4291" width="16" style="3" customWidth="1"/>
    <col min="4292" max="4292" width="6.42578125" style="3" customWidth="1"/>
    <col min="4293" max="4293" width="16" style="3" customWidth="1"/>
    <col min="4294" max="4294" width="2.85546875" style="3" customWidth="1"/>
    <col min="4295" max="4295" width="0.85546875" style="3" customWidth="1"/>
    <col min="4296" max="4296" width="11" style="3"/>
    <col min="4297" max="4297" width="15.42578125" style="3" customWidth="1"/>
    <col min="4298" max="4300" width="14.85546875" style="3" customWidth="1"/>
    <col min="4301" max="4301" width="0.7109375" style="3" customWidth="1"/>
    <col min="4302" max="4302" width="11" style="3"/>
    <col min="4303" max="4303" width="15.7109375" style="3" customWidth="1"/>
    <col min="4304" max="4305" width="14.85546875" style="3" customWidth="1"/>
    <col min="4306" max="4306" width="3.28515625" style="3" customWidth="1"/>
    <col min="4307" max="4307" width="20.140625" style="3" customWidth="1"/>
    <col min="4308" max="4308" width="3.28515625" style="3" customWidth="1"/>
    <col min="4309" max="4313" width="11" style="3"/>
    <col min="4314" max="4326" width="4.7109375" style="3" customWidth="1"/>
    <col min="4327" max="4536" width="11" style="3"/>
    <col min="4537" max="4537" width="0.7109375" style="3" customWidth="1"/>
    <col min="4538" max="4538" width="6.5703125" style="3" customWidth="1"/>
    <col min="4539" max="4539" width="13.5703125" style="3" customWidth="1"/>
    <col min="4540" max="4540" width="13.42578125" style="3" customWidth="1"/>
    <col min="4541" max="4542" width="12.5703125" style="3" customWidth="1"/>
    <col min="4543" max="4543" width="14.85546875" style="3" customWidth="1"/>
    <col min="4544" max="4544" width="20.7109375" style="3" customWidth="1"/>
    <col min="4545" max="4545" width="12.5703125" style="3" customWidth="1"/>
    <col min="4546" max="4546" width="13" style="3" customWidth="1"/>
    <col min="4547" max="4547" width="16" style="3" customWidth="1"/>
    <col min="4548" max="4548" width="6.42578125" style="3" customWidth="1"/>
    <col min="4549" max="4549" width="16" style="3" customWidth="1"/>
    <col min="4550" max="4550" width="2.85546875" style="3" customWidth="1"/>
    <col min="4551" max="4551" width="0.85546875" style="3" customWidth="1"/>
    <col min="4552" max="4552" width="11" style="3"/>
    <col min="4553" max="4553" width="15.42578125" style="3" customWidth="1"/>
    <col min="4554" max="4556" width="14.85546875" style="3" customWidth="1"/>
    <col min="4557" max="4557" width="0.7109375" style="3" customWidth="1"/>
    <col min="4558" max="4558" width="11" style="3"/>
    <col min="4559" max="4559" width="15.7109375" style="3" customWidth="1"/>
    <col min="4560" max="4561" width="14.85546875" style="3" customWidth="1"/>
    <col min="4562" max="4562" width="3.28515625" style="3" customWidth="1"/>
    <col min="4563" max="4563" width="20.140625" style="3" customWidth="1"/>
    <col min="4564" max="4564" width="3.28515625" style="3" customWidth="1"/>
    <col min="4565" max="4569" width="11" style="3"/>
    <col min="4570" max="4582" width="4.7109375" style="3" customWidth="1"/>
    <col min="4583" max="4792" width="11" style="3"/>
    <col min="4793" max="4793" width="0.7109375" style="3" customWidth="1"/>
    <col min="4794" max="4794" width="6.5703125" style="3" customWidth="1"/>
    <col min="4795" max="4795" width="13.5703125" style="3" customWidth="1"/>
    <col min="4796" max="4796" width="13.42578125" style="3" customWidth="1"/>
    <col min="4797" max="4798" width="12.5703125" style="3" customWidth="1"/>
    <col min="4799" max="4799" width="14.85546875" style="3" customWidth="1"/>
    <col min="4800" max="4800" width="20.7109375" style="3" customWidth="1"/>
    <col min="4801" max="4801" width="12.5703125" style="3" customWidth="1"/>
    <col min="4802" max="4802" width="13" style="3" customWidth="1"/>
    <col min="4803" max="4803" width="16" style="3" customWidth="1"/>
    <col min="4804" max="4804" width="6.42578125" style="3" customWidth="1"/>
    <col min="4805" max="4805" width="16" style="3" customWidth="1"/>
    <col min="4806" max="4806" width="2.85546875" style="3" customWidth="1"/>
    <col min="4807" max="4807" width="0.85546875" style="3" customWidth="1"/>
    <col min="4808" max="4808" width="11" style="3"/>
    <col min="4809" max="4809" width="15.42578125" style="3" customWidth="1"/>
    <col min="4810" max="4812" width="14.85546875" style="3" customWidth="1"/>
    <col min="4813" max="4813" width="0.7109375" style="3" customWidth="1"/>
    <col min="4814" max="4814" width="11" style="3"/>
    <col min="4815" max="4815" width="15.7109375" style="3" customWidth="1"/>
    <col min="4816" max="4817" width="14.85546875" style="3" customWidth="1"/>
    <col min="4818" max="4818" width="3.28515625" style="3" customWidth="1"/>
    <col min="4819" max="4819" width="20.140625" style="3" customWidth="1"/>
    <col min="4820" max="4820" width="3.28515625" style="3" customWidth="1"/>
    <col min="4821" max="4825" width="11" style="3"/>
    <col min="4826" max="4838" width="4.7109375" style="3" customWidth="1"/>
    <col min="4839" max="5048" width="11" style="3"/>
    <col min="5049" max="5049" width="0.7109375" style="3" customWidth="1"/>
    <col min="5050" max="5050" width="6.5703125" style="3" customWidth="1"/>
    <col min="5051" max="5051" width="13.5703125" style="3" customWidth="1"/>
    <col min="5052" max="5052" width="13.42578125" style="3" customWidth="1"/>
    <col min="5053" max="5054" width="12.5703125" style="3" customWidth="1"/>
    <col min="5055" max="5055" width="14.85546875" style="3" customWidth="1"/>
    <col min="5056" max="5056" width="20.7109375" style="3" customWidth="1"/>
    <col min="5057" max="5057" width="12.5703125" style="3" customWidth="1"/>
    <col min="5058" max="5058" width="13" style="3" customWidth="1"/>
    <col min="5059" max="5059" width="16" style="3" customWidth="1"/>
    <col min="5060" max="5060" width="6.42578125" style="3" customWidth="1"/>
    <col min="5061" max="5061" width="16" style="3" customWidth="1"/>
    <col min="5062" max="5062" width="2.85546875" style="3" customWidth="1"/>
    <col min="5063" max="5063" width="0.85546875" style="3" customWidth="1"/>
    <col min="5064" max="5064" width="11" style="3"/>
    <col min="5065" max="5065" width="15.42578125" style="3" customWidth="1"/>
    <col min="5066" max="5068" width="14.85546875" style="3" customWidth="1"/>
    <col min="5069" max="5069" width="0.7109375" style="3" customWidth="1"/>
    <col min="5070" max="5070" width="11" style="3"/>
    <col min="5071" max="5071" width="15.7109375" style="3" customWidth="1"/>
    <col min="5072" max="5073" width="14.85546875" style="3" customWidth="1"/>
    <col min="5074" max="5074" width="3.28515625" style="3" customWidth="1"/>
    <col min="5075" max="5075" width="20.140625" style="3" customWidth="1"/>
    <col min="5076" max="5076" width="3.28515625" style="3" customWidth="1"/>
    <col min="5077" max="5081" width="11" style="3"/>
    <col min="5082" max="5094" width="4.7109375" style="3" customWidth="1"/>
    <col min="5095" max="5304" width="11" style="3"/>
    <col min="5305" max="5305" width="0.7109375" style="3" customWidth="1"/>
    <col min="5306" max="5306" width="6.5703125" style="3" customWidth="1"/>
    <col min="5307" max="5307" width="13.5703125" style="3" customWidth="1"/>
    <col min="5308" max="5308" width="13.42578125" style="3" customWidth="1"/>
    <col min="5309" max="5310" width="12.5703125" style="3" customWidth="1"/>
    <col min="5311" max="5311" width="14.85546875" style="3" customWidth="1"/>
    <col min="5312" max="5312" width="20.7109375" style="3" customWidth="1"/>
    <col min="5313" max="5313" width="12.5703125" style="3" customWidth="1"/>
    <col min="5314" max="5314" width="13" style="3" customWidth="1"/>
    <col min="5315" max="5315" width="16" style="3" customWidth="1"/>
    <col min="5316" max="5316" width="6.42578125" style="3" customWidth="1"/>
    <col min="5317" max="5317" width="16" style="3" customWidth="1"/>
    <col min="5318" max="5318" width="2.85546875" style="3" customWidth="1"/>
    <col min="5319" max="5319" width="0.85546875" style="3" customWidth="1"/>
    <col min="5320" max="5320" width="11" style="3"/>
    <col min="5321" max="5321" width="15.42578125" style="3" customWidth="1"/>
    <col min="5322" max="5324" width="14.85546875" style="3" customWidth="1"/>
    <col min="5325" max="5325" width="0.7109375" style="3" customWidth="1"/>
    <col min="5326" max="5326" width="11" style="3"/>
    <col min="5327" max="5327" width="15.7109375" style="3" customWidth="1"/>
    <col min="5328" max="5329" width="14.85546875" style="3" customWidth="1"/>
    <col min="5330" max="5330" width="3.28515625" style="3" customWidth="1"/>
    <col min="5331" max="5331" width="20.140625" style="3" customWidth="1"/>
    <col min="5332" max="5332" width="3.28515625" style="3" customWidth="1"/>
    <col min="5333" max="5337" width="11" style="3"/>
    <col min="5338" max="5350" width="4.7109375" style="3" customWidth="1"/>
    <col min="5351" max="5560" width="11" style="3"/>
    <col min="5561" max="5561" width="0.7109375" style="3" customWidth="1"/>
    <col min="5562" max="5562" width="6.5703125" style="3" customWidth="1"/>
    <col min="5563" max="5563" width="13.5703125" style="3" customWidth="1"/>
    <col min="5564" max="5564" width="13.42578125" style="3" customWidth="1"/>
    <col min="5565" max="5566" width="12.5703125" style="3" customWidth="1"/>
    <col min="5567" max="5567" width="14.85546875" style="3" customWidth="1"/>
    <col min="5568" max="5568" width="20.7109375" style="3" customWidth="1"/>
    <col min="5569" max="5569" width="12.5703125" style="3" customWidth="1"/>
    <col min="5570" max="5570" width="13" style="3" customWidth="1"/>
    <col min="5571" max="5571" width="16" style="3" customWidth="1"/>
    <col min="5572" max="5572" width="6.42578125" style="3" customWidth="1"/>
    <col min="5573" max="5573" width="16" style="3" customWidth="1"/>
    <col min="5574" max="5574" width="2.85546875" style="3" customWidth="1"/>
    <col min="5575" max="5575" width="0.85546875" style="3" customWidth="1"/>
    <col min="5576" max="5576" width="11" style="3"/>
    <col min="5577" max="5577" width="15.42578125" style="3" customWidth="1"/>
    <col min="5578" max="5580" width="14.85546875" style="3" customWidth="1"/>
    <col min="5581" max="5581" width="0.7109375" style="3" customWidth="1"/>
    <col min="5582" max="5582" width="11" style="3"/>
    <col min="5583" max="5583" width="15.7109375" style="3" customWidth="1"/>
    <col min="5584" max="5585" width="14.85546875" style="3" customWidth="1"/>
    <col min="5586" max="5586" width="3.28515625" style="3" customWidth="1"/>
    <col min="5587" max="5587" width="20.140625" style="3" customWidth="1"/>
    <col min="5588" max="5588" width="3.28515625" style="3" customWidth="1"/>
    <col min="5589" max="5593" width="11" style="3"/>
    <col min="5594" max="5606" width="4.7109375" style="3" customWidth="1"/>
    <col min="5607" max="5816" width="11" style="3"/>
    <col min="5817" max="5817" width="0.7109375" style="3" customWidth="1"/>
    <col min="5818" max="5818" width="6.5703125" style="3" customWidth="1"/>
    <col min="5819" max="5819" width="13.5703125" style="3" customWidth="1"/>
    <col min="5820" max="5820" width="13.42578125" style="3" customWidth="1"/>
    <col min="5821" max="5822" width="12.5703125" style="3" customWidth="1"/>
    <col min="5823" max="5823" width="14.85546875" style="3" customWidth="1"/>
    <col min="5824" max="5824" width="20.7109375" style="3" customWidth="1"/>
    <col min="5825" max="5825" width="12.5703125" style="3" customWidth="1"/>
    <col min="5826" max="5826" width="13" style="3" customWidth="1"/>
    <col min="5827" max="5827" width="16" style="3" customWidth="1"/>
    <col min="5828" max="5828" width="6.42578125" style="3" customWidth="1"/>
    <col min="5829" max="5829" width="16" style="3" customWidth="1"/>
    <col min="5830" max="5830" width="2.85546875" style="3" customWidth="1"/>
    <col min="5831" max="5831" width="0.85546875" style="3" customWidth="1"/>
    <col min="5832" max="5832" width="11" style="3"/>
    <col min="5833" max="5833" width="15.42578125" style="3" customWidth="1"/>
    <col min="5834" max="5836" width="14.85546875" style="3" customWidth="1"/>
    <col min="5837" max="5837" width="0.7109375" style="3" customWidth="1"/>
    <col min="5838" max="5838" width="11" style="3"/>
    <col min="5839" max="5839" width="15.7109375" style="3" customWidth="1"/>
    <col min="5840" max="5841" width="14.85546875" style="3" customWidth="1"/>
    <col min="5842" max="5842" width="3.28515625" style="3" customWidth="1"/>
    <col min="5843" max="5843" width="20.140625" style="3" customWidth="1"/>
    <col min="5844" max="5844" width="3.28515625" style="3" customWidth="1"/>
    <col min="5845" max="5849" width="11" style="3"/>
    <col min="5850" max="5862" width="4.7109375" style="3" customWidth="1"/>
    <col min="5863" max="6072" width="11" style="3"/>
    <col min="6073" max="6073" width="0.7109375" style="3" customWidth="1"/>
    <col min="6074" max="6074" width="6.5703125" style="3" customWidth="1"/>
    <col min="6075" max="6075" width="13.5703125" style="3" customWidth="1"/>
    <col min="6076" max="6076" width="13.42578125" style="3" customWidth="1"/>
    <col min="6077" max="6078" width="12.5703125" style="3" customWidth="1"/>
    <col min="6079" max="6079" width="14.85546875" style="3" customWidth="1"/>
    <col min="6080" max="6080" width="20.7109375" style="3" customWidth="1"/>
    <col min="6081" max="6081" width="12.5703125" style="3" customWidth="1"/>
    <col min="6082" max="6082" width="13" style="3" customWidth="1"/>
    <col min="6083" max="6083" width="16" style="3" customWidth="1"/>
    <col min="6084" max="6084" width="6.42578125" style="3" customWidth="1"/>
    <col min="6085" max="6085" width="16" style="3" customWidth="1"/>
    <col min="6086" max="6086" width="2.85546875" style="3" customWidth="1"/>
    <col min="6087" max="6087" width="0.85546875" style="3" customWidth="1"/>
    <col min="6088" max="6088" width="11" style="3"/>
    <col min="6089" max="6089" width="15.42578125" style="3" customWidth="1"/>
    <col min="6090" max="6092" width="14.85546875" style="3" customWidth="1"/>
    <col min="6093" max="6093" width="0.7109375" style="3" customWidth="1"/>
    <col min="6094" max="6094" width="11" style="3"/>
    <col min="6095" max="6095" width="15.7109375" style="3" customWidth="1"/>
    <col min="6096" max="6097" width="14.85546875" style="3" customWidth="1"/>
    <col min="6098" max="6098" width="3.28515625" style="3" customWidth="1"/>
    <col min="6099" max="6099" width="20.140625" style="3" customWidth="1"/>
    <col min="6100" max="6100" width="3.28515625" style="3" customWidth="1"/>
    <col min="6101" max="6105" width="11" style="3"/>
    <col min="6106" max="6118" width="4.7109375" style="3" customWidth="1"/>
    <col min="6119" max="6328" width="11" style="3"/>
    <col min="6329" max="6329" width="0.7109375" style="3" customWidth="1"/>
    <col min="6330" max="6330" width="6.5703125" style="3" customWidth="1"/>
    <col min="6331" max="6331" width="13.5703125" style="3" customWidth="1"/>
    <col min="6332" max="6332" width="13.42578125" style="3" customWidth="1"/>
    <col min="6333" max="6334" width="12.5703125" style="3" customWidth="1"/>
    <col min="6335" max="6335" width="14.85546875" style="3" customWidth="1"/>
    <col min="6336" max="6336" width="20.7109375" style="3" customWidth="1"/>
    <col min="6337" max="6337" width="12.5703125" style="3" customWidth="1"/>
    <col min="6338" max="6338" width="13" style="3" customWidth="1"/>
    <col min="6339" max="6339" width="16" style="3" customWidth="1"/>
    <col min="6340" max="6340" width="6.42578125" style="3" customWidth="1"/>
    <col min="6341" max="6341" width="16" style="3" customWidth="1"/>
    <col min="6342" max="6342" width="2.85546875" style="3" customWidth="1"/>
    <col min="6343" max="6343" width="0.85546875" style="3" customWidth="1"/>
    <col min="6344" max="6344" width="11" style="3"/>
    <col min="6345" max="6345" width="15.42578125" style="3" customWidth="1"/>
    <col min="6346" max="6348" width="14.85546875" style="3" customWidth="1"/>
    <col min="6349" max="6349" width="0.7109375" style="3" customWidth="1"/>
    <col min="6350" max="6350" width="11" style="3"/>
    <col min="6351" max="6351" width="15.7109375" style="3" customWidth="1"/>
    <col min="6352" max="6353" width="14.85546875" style="3" customWidth="1"/>
    <col min="6354" max="6354" width="3.28515625" style="3" customWidth="1"/>
    <col min="6355" max="6355" width="20.140625" style="3" customWidth="1"/>
    <col min="6356" max="6356" width="3.28515625" style="3" customWidth="1"/>
    <col min="6357" max="6361" width="11" style="3"/>
    <col min="6362" max="6374" width="4.7109375" style="3" customWidth="1"/>
    <col min="6375" max="6584" width="11" style="3"/>
    <col min="6585" max="6585" width="0.7109375" style="3" customWidth="1"/>
    <col min="6586" max="6586" width="6.5703125" style="3" customWidth="1"/>
    <col min="6587" max="6587" width="13.5703125" style="3" customWidth="1"/>
    <col min="6588" max="6588" width="13.42578125" style="3" customWidth="1"/>
    <col min="6589" max="6590" width="12.5703125" style="3" customWidth="1"/>
    <col min="6591" max="6591" width="14.85546875" style="3" customWidth="1"/>
    <col min="6592" max="6592" width="20.7109375" style="3" customWidth="1"/>
    <col min="6593" max="6593" width="12.5703125" style="3" customWidth="1"/>
    <col min="6594" max="6594" width="13" style="3" customWidth="1"/>
    <col min="6595" max="6595" width="16" style="3" customWidth="1"/>
    <col min="6596" max="6596" width="6.42578125" style="3" customWidth="1"/>
    <col min="6597" max="6597" width="16" style="3" customWidth="1"/>
    <col min="6598" max="6598" width="2.85546875" style="3" customWidth="1"/>
    <col min="6599" max="6599" width="0.85546875" style="3" customWidth="1"/>
    <col min="6600" max="6600" width="11" style="3"/>
    <col min="6601" max="6601" width="15.42578125" style="3" customWidth="1"/>
    <col min="6602" max="6604" width="14.85546875" style="3" customWidth="1"/>
    <col min="6605" max="6605" width="0.7109375" style="3" customWidth="1"/>
    <col min="6606" max="6606" width="11" style="3"/>
    <col min="6607" max="6607" width="15.7109375" style="3" customWidth="1"/>
    <col min="6608" max="6609" width="14.85546875" style="3" customWidth="1"/>
    <col min="6610" max="6610" width="3.28515625" style="3" customWidth="1"/>
    <col min="6611" max="6611" width="20.140625" style="3" customWidth="1"/>
    <col min="6612" max="6612" width="3.28515625" style="3" customWidth="1"/>
    <col min="6613" max="6617" width="11" style="3"/>
    <col min="6618" max="6630" width="4.7109375" style="3" customWidth="1"/>
    <col min="6631" max="6840" width="11" style="3"/>
    <col min="6841" max="6841" width="0.7109375" style="3" customWidth="1"/>
    <col min="6842" max="6842" width="6.5703125" style="3" customWidth="1"/>
    <col min="6843" max="6843" width="13.5703125" style="3" customWidth="1"/>
    <col min="6844" max="6844" width="13.42578125" style="3" customWidth="1"/>
    <col min="6845" max="6846" width="12.5703125" style="3" customWidth="1"/>
    <col min="6847" max="6847" width="14.85546875" style="3" customWidth="1"/>
    <col min="6848" max="6848" width="20.7109375" style="3" customWidth="1"/>
    <col min="6849" max="6849" width="12.5703125" style="3" customWidth="1"/>
    <col min="6850" max="6850" width="13" style="3" customWidth="1"/>
    <col min="6851" max="6851" width="16" style="3" customWidth="1"/>
    <col min="6852" max="6852" width="6.42578125" style="3" customWidth="1"/>
    <col min="6853" max="6853" width="16" style="3" customWidth="1"/>
    <col min="6854" max="6854" width="2.85546875" style="3" customWidth="1"/>
    <col min="6855" max="6855" width="0.85546875" style="3" customWidth="1"/>
    <col min="6856" max="6856" width="11" style="3"/>
    <col min="6857" max="6857" width="15.42578125" style="3" customWidth="1"/>
    <col min="6858" max="6860" width="14.85546875" style="3" customWidth="1"/>
    <col min="6861" max="6861" width="0.7109375" style="3" customWidth="1"/>
    <col min="6862" max="6862" width="11" style="3"/>
    <col min="6863" max="6863" width="15.7109375" style="3" customWidth="1"/>
    <col min="6864" max="6865" width="14.85546875" style="3" customWidth="1"/>
    <col min="6866" max="6866" width="3.28515625" style="3" customWidth="1"/>
    <col min="6867" max="6867" width="20.140625" style="3" customWidth="1"/>
    <col min="6868" max="6868" width="3.28515625" style="3" customWidth="1"/>
    <col min="6869" max="6873" width="11" style="3"/>
    <col min="6874" max="6886" width="4.7109375" style="3" customWidth="1"/>
    <col min="6887" max="7096" width="11" style="3"/>
    <col min="7097" max="7097" width="0.7109375" style="3" customWidth="1"/>
    <col min="7098" max="7098" width="6.5703125" style="3" customWidth="1"/>
    <col min="7099" max="7099" width="13.5703125" style="3" customWidth="1"/>
    <col min="7100" max="7100" width="13.42578125" style="3" customWidth="1"/>
    <col min="7101" max="7102" width="12.5703125" style="3" customWidth="1"/>
    <col min="7103" max="7103" width="14.85546875" style="3" customWidth="1"/>
    <col min="7104" max="7104" width="20.7109375" style="3" customWidth="1"/>
    <col min="7105" max="7105" width="12.5703125" style="3" customWidth="1"/>
    <col min="7106" max="7106" width="13" style="3" customWidth="1"/>
    <col min="7107" max="7107" width="16" style="3" customWidth="1"/>
    <col min="7108" max="7108" width="6.42578125" style="3" customWidth="1"/>
    <col min="7109" max="7109" width="16" style="3" customWidth="1"/>
    <col min="7110" max="7110" width="2.85546875" style="3" customWidth="1"/>
    <col min="7111" max="7111" width="0.85546875" style="3" customWidth="1"/>
    <col min="7112" max="7112" width="11" style="3"/>
    <col min="7113" max="7113" width="15.42578125" style="3" customWidth="1"/>
    <col min="7114" max="7116" width="14.85546875" style="3" customWidth="1"/>
    <col min="7117" max="7117" width="0.7109375" style="3" customWidth="1"/>
    <col min="7118" max="7118" width="11" style="3"/>
    <col min="7119" max="7119" width="15.7109375" style="3" customWidth="1"/>
    <col min="7120" max="7121" width="14.85546875" style="3" customWidth="1"/>
    <col min="7122" max="7122" width="3.28515625" style="3" customWidth="1"/>
    <col min="7123" max="7123" width="20.140625" style="3" customWidth="1"/>
    <col min="7124" max="7124" width="3.28515625" style="3" customWidth="1"/>
    <col min="7125" max="7129" width="11" style="3"/>
    <col min="7130" max="7142" width="4.7109375" style="3" customWidth="1"/>
    <col min="7143" max="7352" width="11" style="3"/>
    <col min="7353" max="7353" width="0.7109375" style="3" customWidth="1"/>
    <col min="7354" max="7354" width="6.5703125" style="3" customWidth="1"/>
    <col min="7355" max="7355" width="13.5703125" style="3" customWidth="1"/>
    <col min="7356" max="7356" width="13.42578125" style="3" customWidth="1"/>
    <col min="7357" max="7358" width="12.5703125" style="3" customWidth="1"/>
    <col min="7359" max="7359" width="14.85546875" style="3" customWidth="1"/>
    <col min="7360" max="7360" width="20.7109375" style="3" customWidth="1"/>
    <col min="7361" max="7361" width="12.5703125" style="3" customWidth="1"/>
    <col min="7362" max="7362" width="13" style="3" customWidth="1"/>
    <col min="7363" max="7363" width="16" style="3" customWidth="1"/>
    <col min="7364" max="7364" width="6.42578125" style="3" customWidth="1"/>
    <col min="7365" max="7365" width="16" style="3" customWidth="1"/>
    <col min="7366" max="7366" width="2.85546875" style="3" customWidth="1"/>
    <col min="7367" max="7367" width="0.85546875" style="3" customWidth="1"/>
    <col min="7368" max="7368" width="11" style="3"/>
    <col min="7369" max="7369" width="15.42578125" style="3" customWidth="1"/>
    <col min="7370" max="7372" width="14.85546875" style="3" customWidth="1"/>
    <col min="7373" max="7373" width="0.7109375" style="3" customWidth="1"/>
    <col min="7374" max="7374" width="11" style="3"/>
    <col min="7375" max="7375" width="15.7109375" style="3" customWidth="1"/>
    <col min="7376" max="7377" width="14.85546875" style="3" customWidth="1"/>
    <col min="7378" max="7378" width="3.28515625" style="3" customWidth="1"/>
    <col min="7379" max="7379" width="20.140625" style="3" customWidth="1"/>
    <col min="7380" max="7380" width="3.28515625" style="3" customWidth="1"/>
    <col min="7381" max="7385" width="11" style="3"/>
    <col min="7386" max="7398" width="4.7109375" style="3" customWidth="1"/>
    <col min="7399" max="7608" width="11" style="3"/>
    <col min="7609" max="7609" width="0.7109375" style="3" customWidth="1"/>
    <col min="7610" max="7610" width="6.5703125" style="3" customWidth="1"/>
    <col min="7611" max="7611" width="13.5703125" style="3" customWidth="1"/>
    <col min="7612" max="7612" width="13.42578125" style="3" customWidth="1"/>
    <col min="7613" max="7614" width="12.5703125" style="3" customWidth="1"/>
    <col min="7615" max="7615" width="14.85546875" style="3" customWidth="1"/>
    <col min="7616" max="7616" width="20.7109375" style="3" customWidth="1"/>
    <col min="7617" max="7617" width="12.5703125" style="3" customWidth="1"/>
    <col min="7618" max="7618" width="13" style="3" customWidth="1"/>
    <col min="7619" max="7619" width="16" style="3" customWidth="1"/>
    <col min="7620" max="7620" width="6.42578125" style="3" customWidth="1"/>
    <col min="7621" max="7621" width="16" style="3" customWidth="1"/>
    <col min="7622" max="7622" width="2.85546875" style="3" customWidth="1"/>
    <col min="7623" max="7623" width="0.85546875" style="3" customWidth="1"/>
    <col min="7624" max="7624" width="11" style="3"/>
    <col min="7625" max="7625" width="15.42578125" style="3" customWidth="1"/>
    <col min="7626" max="7628" width="14.85546875" style="3" customWidth="1"/>
    <col min="7629" max="7629" width="0.7109375" style="3" customWidth="1"/>
    <col min="7630" max="7630" width="11" style="3"/>
    <col min="7631" max="7631" width="15.7109375" style="3" customWidth="1"/>
    <col min="7632" max="7633" width="14.85546875" style="3" customWidth="1"/>
    <col min="7634" max="7634" width="3.28515625" style="3" customWidth="1"/>
    <col min="7635" max="7635" width="20.140625" style="3" customWidth="1"/>
    <col min="7636" max="7636" width="3.28515625" style="3" customWidth="1"/>
    <col min="7637" max="7641" width="11" style="3"/>
    <col min="7642" max="7654" width="4.7109375" style="3" customWidth="1"/>
    <col min="7655" max="7864" width="11" style="3"/>
    <col min="7865" max="7865" width="0.7109375" style="3" customWidth="1"/>
    <col min="7866" max="7866" width="6.5703125" style="3" customWidth="1"/>
    <col min="7867" max="7867" width="13.5703125" style="3" customWidth="1"/>
    <col min="7868" max="7868" width="13.42578125" style="3" customWidth="1"/>
    <col min="7869" max="7870" width="12.5703125" style="3" customWidth="1"/>
    <col min="7871" max="7871" width="14.85546875" style="3" customWidth="1"/>
    <col min="7872" max="7872" width="20.7109375" style="3" customWidth="1"/>
    <col min="7873" max="7873" width="12.5703125" style="3" customWidth="1"/>
    <col min="7874" max="7874" width="13" style="3" customWidth="1"/>
    <col min="7875" max="7875" width="16" style="3" customWidth="1"/>
    <col min="7876" max="7876" width="6.42578125" style="3" customWidth="1"/>
    <col min="7877" max="7877" width="16" style="3" customWidth="1"/>
    <col min="7878" max="7878" width="2.85546875" style="3" customWidth="1"/>
    <col min="7879" max="7879" width="0.85546875" style="3" customWidth="1"/>
    <col min="7880" max="7880" width="11" style="3"/>
    <col min="7881" max="7881" width="15.42578125" style="3" customWidth="1"/>
    <col min="7882" max="7884" width="14.85546875" style="3" customWidth="1"/>
    <col min="7885" max="7885" width="0.7109375" style="3" customWidth="1"/>
    <col min="7886" max="7886" width="11" style="3"/>
    <col min="7887" max="7887" width="15.7109375" style="3" customWidth="1"/>
    <col min="7888" max="7889" width="14.85546875" style="3" customWidth="1"/>
    <col min="7890" max="7890" width="3.28515625" style="3" customWidth="1"/>
    <col min="7891" max="7891" width="20.140625" style="3" customWidth="1"/>
    <col min="7892" max="7892" width="3.28515625" style="3" customWidth="1"/>
    <col min="7893" max="7897" width="11" style="3"/>
    <col min="7898" max="7910" width="4.7109375" style="3" customWidth="1"/>
    <col min="7911" max="8120" width="11" style="3"/>
    <col min="8121" max="8121" width="0.7109375" style="3" customWidth="1"/>
    <col min="8122" max="8122" width="6.5703125" style="3" customWidth="1"/>
    <col min="8123" max="8123" width="13.5703125" style="3" customWidth="1"/>
    <col min="8124" max="8124" width="13.42578125" style="3" customWidth="1"/>
    <col min="8125" max="8126" width="12.5703125" style="3" customWidth="1"/>
    <col min="8127" max="8127" width="14.85546875" style="3" customWidth="1"/>
    <col min="8128" max="8128" width="20.7109375" style="3" customWidth="1"/>
    <col min="8129" max="8129" width="12.5703125" style="3" customWidth="1"/>
    <col min="8130" max="8130" width="13" style="3" customWidth="1"/>
    <col min="8131" max="8131" width="16" style="3" customWidth="1"/>
    <col min="8132" max="8132" width="6.42578125" style="3" customWidth="1"/>
    <col min="8133" max="8133" width="16" style="3" customWidth="1"/>
    <col min="8134" max="8134" width="2.85546875" style="3" customWidth="1"/>
    <col min="8135" max="8135" width="0.85546875" style="3" customWidth="1"/>
    <col min="8136" max="8136" width="11" style="3"/>
    <col min="8137" max="8137" width="15.42578125" style="3" customWidth="1"/>
    <col min="8138" max="8140" width="14.85546875" style="3" customWidth="1"/>
    <col min="8141" max="8141" width="0.7109375" style="3" customWidth="1"/>
    <col min="8142" max="8142" width="11" style="3"/>
    <col min="8143" max="8143" width="15.7109375" style="3" customWidth="1"/>
    <col min="8144" max="8145" width="14.85546875" style="3" customWidth="1"/>
    <col min="8146" max="8146" width="3.28515625" style="3" customWidth="1"/>
    <col min="8147" max="8147" width="20.140625" style="3" customWidth="1"/>
    <col min="8148" max="8148" width="3.28515625" style="3" customWidth="1"/>
    <col min="8149" max="8153" width="11" style="3"/>
    <col min="8154" max="8166" width="4.7109375" style="3" customWidth="1"/>
    <col min="8167" max="8376" width="11" style="3"/>
    <col min="8377" max="8377" width="0.7109375" style="3" customWidth="1"/>
    <col min="8378" max="8378" width="6.5703125" style="3" customWidth="1"/>
    <col min="8379" max="8379" width="13.5703125" style="3" customWidth="1"/>
    <col min="8380" max="8380" width="13.42578125" style="3" customWidth="1"/>
    <col min="8381" max="8382" width="12.5703125" style="3" customWidth="1"/>
    <col min="8383" max="8383" width="14.85546875" style="3" customWidth="1"/>
    <col min="8384" max="8384" width="20.7109375" style="3" customWidth="1"/>
    <col min="8385" max="8385" width="12.5703125" style="3" customWidth="1"/>
    <col min="8386" max="8386" width="13" style="3" customWidth="1"/>
    <col min="8387" max="8387" width="16" style="3" customWidth="1"/>
    <col min="8388" max="8388" width="6.42578125" style="3" customWidth="1"/>
    <col min="8389" max="8389" width="16" style="3" customWidth="1"/>
    <col min="8390" max="8390" width="2.85546875" style="3" customWidth="1"/>
    <col min="8391" max="8391" width="0.85546875" style="3" customWidth="1"/>
    <col min="8392" max="8392" width="11" style="3"/>
    <col min="8393" max="8393" width="15.42578125" style="3" customWidth="1"/>
    <col min="8394" max="8396" width="14.85546875" style="3" customWidth="1"/>
    <col min="8397" max="8397" width="0.7109375" style="3" customWidth="1"/>
    <col min="8398" max="8398" width="11" style="3"/>
    <col min="8399" max="8399" width="15.7109375" style="3" customWidth="1"/>
    <col min="8400" max="8401" width="14.85546875" style="3" customWidth="1"/>
    <col min="8402" max="8402" width="3.28515625" style="3" customWidth="1"/>
    <col min="8403" max="8403" width="20.140625" style="3" customWidth="1"/>
    <col min="8404" max="8404" width="3.28515625" style="3" customWidth="1"/>
    <col min="8405" max="8409" width="11" style="3"/>
    <col min="8410" max="8422" width="4.7109375" style="3" customWidth="1"/>
    <col min="8423" max="8632" width="11" style="3"/>
    <col min="8633" max="8633" width="0.7109375" style="3" customWidth="1"/>
    <col min="8634" max="8634" width="6.5703125" style="3" customWidth="1"/>
    <col min="8635" max="8635" width="13.5703125" style="3" customWidth="1"/>
    <col min="8636" max="8636" width="13.42578125" style="3" customWidth="1"/>
    <col min="8637" max="8638" width="12.5703125" style="3" customWidth="1"/>
    <col min="8639" max="8639" width="14.85546875" style="3" customWidth="1"/>
    <col min="8640" max="8640" width="20.7109375" style="3" customWidth="1"/>
    <col min="8641" max="8641" width="12.5703125" style="3" customWidth="1"/>
    <col min="8642" max="8642" width="13" style="3" customWidth="1"/>
    <col min="8643" max="8643" width="16" style="3" customWidth="1"/>
    <col min="8644" max="8644" width="6.42578125" style="3" customWidth="1"/>
    <col min="8645" max="8645" width="16" style="3" customWidth="1"/>
    <col min="8646" max="8646" width="2.85546875" style="3" customWidth="1"/>
    <col min="8647" max="8647" width="0.85546875" style="3" customWidth="1"/>
    <col min="8648" max="8648" width="11" style="3"/>
    <col min="8649" max="8649" width="15.42578125" style="3" customWidth="1"/>
    <col min="8650" max="8652" width="14.85546875" style="3" customWidth="1"/>
    <col min="8653" max="8653" width="0.7109375" style="3" customWidth="1"/>
    <col min="8654" max="8654" width="11" style="3"/>
    <col min="8655" max="8655" width="15.7109375" style="3" customWidth="1"/>
    <col min="8656" max="8657" width="14.85546875" style="3" customWidth="1"/>
    <col min="8658" max="8658" width="3.28515625" style="3" customWidth="1"/>
    <col min="8659" max="8659" width="20.140625" style="3" customWidth="1"/>
    <col min="8660" max="8660" width="3.28515625" style="3" customWidth="1"/>
    <col min="8661" max="8665" width="11" style="3"/>
    <col min="8666" max="8678" width="4.7109375" style="3" customWidth="1"/>
    <col min="8679" max="8888" width="11" style="3"/>
    <col min="8889" max="8889" width="0.7109375" style="3" customWidth="1"/>
    <col min="8890" max="8890" width="6.5703125" style="3" customWidth="1"/>
    <col min="8891" max="8891" width="13.5703125" style="3" customWidth="1"/>
    <col min="8892" max="8892" width="13.42578125" style="3" customWidth="1"/>
    <col min="8893" max="8894" width="12.5703125" style="3" customWidth="1"/>
    <col min="8895" max="8895" width="14.85546875" style="3" customWidth="1"/>
    <col min="8896" max="8896" width="20.7109375" style="3" customWidth="1"/>
    <col min="8897" max="8897" width="12.5703125" style="3" customWidth="1"/>
    <col min="8898" max="8898" width="13" style="3" customWidth="1"/>
    <col min="8899" max="8899" width="16" style="3" customWidth="1"/>
    <col min="8900" max="8900" width="6.42578125" style="3" customWidth="1"/>
    <col min="8901" max="8901" width="16" style="3" customWidth="1"/>
    <col min="8902" max="8902" width="2.85546875" style="3" customWidth="1"/>
    <col min="8903" max="8903" width="0.85546875" style="3" customWidth="1"/>
    <col min="8904" max="8904" width="11" style="3"/>
    <col min="8905" max="8905" width="15.42578125" style="3" customWidth="1"/>
    <col min="8906" max="8908" width="14.85546875" style="3" customWidth="1"/>
    <col min="8909" max="8909" width="0.7109375" style="3" customWidth="1"/>
    <col min="8910" max="8910" width="11" style="3"/>
    <col min="8911" max="8911" width="15.7109375" style="3" customWidth="1"/>
    <col min="8912" max="8913" width="14.85546875" style="3" customWidth="1"/>
    <col min="8914" max="8914" width="3.28515625" style="3" customWidth="1"/>
    <col min="8915" max="8915" width="20.140625" style="3" customWidth="1"/>
    <col min="8916" max="8916" width="3.28515625" style="3" customWidth="1"/>
    <col min="8917" max="8921" width="11" style="3"/>
    <col min="8922" max="8934" width="4.7109375" style="3" customWidth="1"/>
    <col min="8935" max="9144" width="11" style="3"/>
    <col min="9145" max="9145" width="0.7109375" style="3" customWidth="1"/>
    <col min="9146" max="9146" width="6.5703125" style="3" customWidth="1"/>
    <col min="9147" max="9147" width="13.5703125" style="3" customWidth="1"/>
    <col min="9148" max="9148" width="13.42578125" style="3" customWidth="1"/>
    <col min="9149" max="9150" width="12.5703125" style="3" customWidth="1"/>
    <col min="9151" max="9151" width="14.85546875" style="3" customWidth="1"/>
    <col min="9152" max="9152" width="20.7109375" style="3" customWidth="1"/>
    <col min="9153" max="9153" width="12.5703125" style="3" customWidth="1"/>
    <col min="9154" max="9154" width="13" style="3" customWidth="1"/>
    <col min="9155" max="9155" width="16" style="3" customWidth="1"/>
    <col min="9156" max="9156" width="6.42578125" style="3" customWidth="1"/>
    <col min="9157" max="9157" width="16" style="3" customWidth="1"/>
    <col min="9158" max="9158" width="2.85546875" style="3" customWidth="1"/>
    <col min="9159" max="9159" width="0.85546875" style="3" customWidth="1"/>
    <col min="9160" max="9160" width="11" style="3"/>
    <col min="9161" max="9161" width="15.42578125" style="3" customWidth="1"/>
    <col min="9162" max="9164" width="14.85546875" style="3" customWidth="1"/>
    <col min="9165" max="9165" width="0.7109375" style="3" customWidth="1"/>
    <col min="9166" max="9166" width="11" style="3"/>
    <col min="9167" max="9167" width="15.7109375" style="3" customWidth="1"/>
    <col min="9168" max="9169" width="14.85546875" style="3" customWidth="1"/>
    <col min="9170" max="9170" width="3.28515625" style="3" customWidth="1"/>
    <col min="9171" max="9171" width="20.140625" style="3" customWidth="1"/>
    <col min="9172" max="9172" width="3.28515625" style="3" customWidth="1"/>
    <col min="9173" max="9177" width="11" style="3"/>
    <col min="9178" max="9190" width="4.7109375" style="3" customWidth="1"/>
    <col min="9191" max="9400" width="11" style="3"/>
    <col min="9401" max="9401" width="0.7109375" style="3" customWidth="1"/>
    <col min="9402" max="9402" width="6.5703125" style="3" customWidth="1"/>
    <col min="9403" max="9403" width="13.5703125" style="3" customWidth="1"/>
    <col min="9404" max="9404" width="13.42578125" style="3" customWidth="1"/>
    <col min="9405" max="9406" width="12.5703125" style="3" customWidth="1"/>
    <col min="9407" max="9407" width="14.85546875" style="3" customWidth="1"/>
    <col min="9408" max="9408" width="20.7109375" style="3" customWidth="1"/>
    <col min="9409" max="9409" width="12.5703125" style="3" customWidth="1"/>
    <col min="9410" max="9410" width="13" style="3" customWidth="1"/>
    <col min="9411" max="9411" width="16" style="3" customWidth="1"/>
    <col min="9412" max="9412" width="6.42578125" style="3" customWidth="1"/>
    <col min="9413" max="9413" width="16" style="3" customWidth="1"/>
    <col min="9414" max="9414" width="2.85546875" style="3" customWidth="1"/>
    <col min="9415" max="9415" width="0.85546875" style="3" customWidth="1"/>
    <col min="9416" max="9416" width="11" style="3"/>
    <col min="9417" max="9417" width="15.42578125" style="3" customWidth="1"/>
    <col min="9418" max="9420" width="14.85546875" style="3" customWidth="1"/>
    <col min="9421" max="9421" width="0.7109375" style="3" customWidth="1"/>
    <col min="9422" max="9422" width="11" style="3"/>
    <col min="9423" max="9423" width="15.7109375" style="3" customWidth="1"/>
    <col min="9424" max="9425" width="14.85546875" style="3" customWidth="1"/>
    <col min="9426" max="9426" width="3.28515625" style="3" customWidth="1"/>
    <col min="9427" max="9427" width="20.140625" style="3" customWidth="1"/>
    <col min="9428" max="9428" width="3.28515625" style="3" customWidth="1"/>
    <col min="9429" max="9433" width="11" style="3"/>
    <col min="9434" max="9446" width="4.7109375" style="3" customWidth="1"/>
    <col min="9447" max="9656" width="11" style="3"/>
    <col min="9657" max="9657" width="0.7109375" style="3" customWidth="1"/>
    <col min="9658" max="9658" width="6.5703125" style="3" customWidth="1"/>
    <col min="9659" max="9659" width="13.5703125" style="3" customWidth="1"/>
    <col min="9660" max="9660" width="13.42578125" style="3" customWidth="1"/>
    <col min="9661" max="9662" width="12.5703125" style="3" customWidth="1"/>
    <col min="9663" max="9663" width="14.85546875" style="3" customWidth="1"/>
    <col min="9664" max="9664" width="20.7109375" style="3" customWidth="1"/>
    <col min="9665" max="9665" width="12.5703125" style="3" customWidth="1"/>
    <col min="9666" max="9666" width="13" style="3" customWidth="1"/>
    <col min="9667" max="9667" width="16" style="3" customWidth="1"/>
    <col min="9668" max="9668" width="6.42578125" style="3" customWidth="1"/>
    <col min="9669" max="9669" width="16" style="3" customWidth="1"/>
    <col min="9670" max="9670" width="2.85546875" style="3" customWidth="1"/>
    <col min="9671" max="9671" width="0.85546875" style="3" customWidth="1"/>
    <col min="9672" max="9672" width="11" style="3"/>
    <col min="9673" max="9673" width="15.42578125" style="3" customWidth="1"/>
    <col min="9674" max="9676" width="14.85546875" style="3" customWidth="1"/>
    <col min="9677" max="9677" width="0.7109375" style="3" customWidth="1"/>
    <col min="9678" max="9678" width="11" style="3"/>
    <col min="9679" max="9679" width="15.7109375" style="3" customWidth="1"/>
    <col min="9680" max="9681" width="14.85546875" style="3" customWidth="1"/>
    <col min="9682" max="9682" width="3.28515625" style="3" customWidth="1"/>
    <col min="9683" max="9683" width="20.140625" style="3" customWidth="1"/>
    <col min="9684" max="9684" width="3.28515625" style="3" customWidth="1"/>
    <col min="9685" max="9689" width="11" style="3"/>
    <col min="9690" max="9702" width="4.7109375" style="3" customWidth="1"/>
    <col min="9703" max="9912" width="11" style="3"/>
    <col min="9913" max="9913" width="0.7109375" style="3" customWidth="1"/>
    <col min="9914" max="9914" width="6.5703125" style="3" customWidth="1"/>
    <col min="9915" max="9915" width="13.5703125" style="3" customWidth="1"/>
    <col min="9916" max="9916" width="13.42578125" style="3" customWidth="1"/>
    <col min="9917" max="9918" width="12.5703125" style="3" customWidth="1"/>
    <col min="9919" max="9919" width="14.85546875" style="3" customWidth="1"/>
    <col min="9920" max="9920" width="20.7109375" style="3" customWidth="1"/>
    <col min="9921" max="9921" width="12.5703125" style="3" customWidth="1"/>
    <col min="9922" max="9922" width="13" style="3" customWidth="1"/>
    <col min="9923" max="9923" width="16" style="3" customWidth="1"/>
    <col min="9924" max="9924" width="6.42578125" style="3" customWidth="1"/>
    <col min="9925" max="9925" width="16" style="3" customWidth="1"/>
    <col min="9926" max="9926" width="2.85546875" style="3" customWidth="1"/>
    <col min="9927" max="9927" width="0.85546875" style="3" customWidth="1"/>
    <col min="9928" max="9928" width="11" style="3"/>
    <col min="9929" max="9929" width="15.42578125" style="3" customWidth="1"/>
    <col min="9930" max="9932" width="14.85546875" style="3" customWidth="1"/>
    <col min="9933" max="9933" width="0.7109375" style="3" customWidth="1"/>
    <col min="9934" max="9934" width="11" style="3"/>
    <col min="9935" max="9935" width="15.7109375" style="3" customWidth="1"/>
    <col min="9936" max="9937" width="14.85546875" style="3" customWidth="1"/>
    <col min="9938" max="9938" width="3.28515625" style="3" customWidth="1"/>
    <col min="9939" max="9939" width="20.140625" style="3" customWidth="1"/>
    <col min="9940" max="9940" width="3.28515625" style="3" customWidth="1"/>
    <col min="9941" max="9945" width="11" style="3"/>
    <col min="9946" max="9958" width="4.7109375" style="3" customWidth="1"/>
    <col min="9959" max="10168" width="11" style="3"/>
    <col min="10169" max="10169" width="0.7109375" style="3" customWidth="1"/>
    <col min="10170" max="10170" width="6.5703125" style="3" customWidth="1"/>
    <col min="10171" max="10171" width="13.5703125" style="3" customWidth="1"/>
    <col min="10172" max="10172" width="13.42578125" style="3" customWidth="1"/>
    <col min="10173" max="10174" width="12.5703125" style="3" customWidth="1"/>
    <col min="10175" max="10175" width="14.85546875" style="3" customWidth="1"/>
    <col min="10176" max="10176" width="20.7109375" style="3" customWidth="1"/>
    <col min="10177" max="10177" width="12.5703125" style="3" customWidth="1"/>
    <col min="10178" max="10178" width="13" style="3" customWidth="1"/>
    <col min="10179" max="10179" width="16" style="3" customWidth="1"/>
    <col min="10180" max="10180" width="6.42578125" style="3" customWidth="1"/>
    <col min="10181" max="10181" width="16" style="3" customWidth="1"/>
    <col min="10182" max="10182" width="2.85546875" style="3" customWidth="1"/>
    <col min="10183" max="10183" width="0.85546875" style="3" customWidth="1"/>
    <col min="10184" max="10184" width="11" style="3"/>
    <col min="10185" max="10185" width="15.42578125" style="3" customWidth="1"/>
    <col min="10186" max="10188" width="14.85546875" style="3" customWidth="1"/>
    <col min="10189" max="10189" width="0.7109375" style="3" customWidth="1"/>
    <col min="10190" max="10190" width="11" style="3"/>
    <col min="10191" max="10191" width="15.7109375" style="3" customWidth="1"/>
    <col min="10192" max="10193" width="14.85546875" style="3" customWidth="1"/>
    <col min="10194" max="10194" width="3.28515625" style="3" customWidth="1"/>
    <col min="10195" max="10195" width="20.140625" style="3" customWidth="1"/>
    <col min="10196" max="10196" width="3.28515625" style="3" customWidth="1"/>
    <col min="10197" max="10201" width="11" style="3"/>
    <col min="10202" max="10214" width="4.7109375" style="3" customWidth="1"/>
    <col min="10215" max="10424" width="11" style="3"/>
    <col min="10425" max="10425" width="0.7109375" style="3" customWidth="1"/>
    <col min="10426" max="10426" width="6.5703125" style="3" customWidth="1"/>
    <col min="10427" max="10427" width="13.5703125" style="3" customWidth="1"/>
    <col min="10428" max="10428" width="13.42578125" style="3" customWidth="1"/>
    <col min="10429" max="10430" width="12.5703125" style="3" customWidth="1"/>
    <col min="10431" max="10431" width="14.85546875" style="3" customWidth="1"/>
    <col min="10432" max="10432" width="20.7109375" style="3" customWidth="1"/>
    <col min="10433" max="10433" width="12.5703125" style="3" customWidth="1"/>
    <col min="10434" max="10434" width="13" style="3" customWidth="1"/>
    <col min="10435" max="10435" width="16" style="3" customWidth="1"/>
    <col min="10436" max="10436" width="6.42578125" style="3" customWidth="1"/>
    <col min="10437" max="10437" width="16" style="3" customWidth="1"/>
    <col min="10438" max="10438" width="2.85546875" style="3" customWidth="1"/>
    <col min="10439" max="10439" width="0.85546875" style="3" customWidth="1"/>
    <col min="10440" max="10440" width="11" style="3"/>
    <col min="10441" max="10441" width="15.42578125" style="3" customWidth="1"/>
    <col min="10442" max="10444" width="14.85546875" style="3" customWidth="1"/>
    <col min="10445" max="10445" width="0.7109375" style="3" customWidth="1"/>
    <col min="10446" max="10446" width="11" style="3"/>
    <col min="10447" max="10447" width="15.7109375" style="3" customWidth="1"/>
    <col min="10448" max="10449" width="14.85546875" style="3" customWidth="1"/>
    <col min="10450" max="10450" width="3.28515625" style="3" customWidth="1"/>
    <col min="10451" max="10451" width="20.140625" style="3" customWidth="1"/>
    <col min="10452" max="10452" width="3.28515625" style="3" customWidth="1"/>
    <col min="10453" max="10457" width="11" style="3"/>
    <col min="10458" max="10470" width="4.7109375" style="3" customWidth="1"/>
    <col min="10471" max="10680" width="11" style="3"/>
    <col min="10681" max="10681" width="0.7109375" style="3" customWidth="1"/>
    <col min="10682" max="10682" width="6.5703125" style="3" customWidth="1"/>
    <col min="10683" max="10683" width="13.5703125" style="3" customWidth="1"/>
    <col min="10684" max="10684" width="13.42578125" style="3" customWidth="1"/>
    <col min="10685" max="10686" width="12.5703125" style="3" customWidth="1"/>
    <col min="10687" max="10687" width="14.85546875" style="3" customWidth="1"/>
    <col min="10688" max="10688" width="20.7109375" style="3" customWidth="1"/>
    <col min="10689" max="10689" width="12.5703125" style="3" customWidth="1"/>
    <col min="10690" max="10690" width="13" style="3" customWidth="1"/>
    <col min="10691" max="10691" width="16" style="3" customWidth="1"/>
    <col min="10692" max="10692" width="6.42578125" style="3" customWidth="1"/>
    <col min="10693" max="10693" width="16" style="3" customWidth="1"/>
    <col min="10694" max="10694" width="2.85546875" style="3" customWidth="1"/>
    <col min="10695" max="10695" width="0.85546875" style="3" customWidth="1"/>
    <col min="10696" max="10696" width="11" style="3"/>
    <col min="10697" max="10697" width="15.42578125" style="3" customWidth="1"/>
    <col min="10698" max="10700" width="14.85546875" style="3" customWidth="1"/>
    <col min="10701" max="10701" width="0.7109375" style="3" customWidth="1"/>
    <col min="10702" max="10702" width="11" style="3"/>
    <col min="10703" max="10703" width="15.7109375" style="3" customWidth="1"/>
    <col min="10704" max="10705" width="14.85546875" style="3" customWidth="1"/>
    <col min="10706" max="10706" width="3.28515625" style="3" customWidth="1"/>
    <col min="10707" max="10707" width="20.140625" style="3" customWidth="1"/>
    <col min="10708" max="10708" width="3.28515625" style="3" customWidth="1"/>
    <col min="10709" max="10713" width="11" style="3"/>
    <col min="10714" max="10726" width="4.7109375" style="3" customWidth="1"/>
    <col min="10727" max="10936" width="11" style="3"/>
    <col min="10937" max="10937" width="0.7109375" style="3" customWidth="1"/>
    <col min="10938" max="10938" width="6.5703125" style="3" customWidth="1"/>
    <col min="10939" max="10939" width="13.5703125" style="3" customWidth="1"/>
    <col min="10940" max="10940" width="13.42578125" style="3" customWidth="1"/>
    <col min="10941" max="10942" width="12.5703125" style="3" customWidth="1"/>
    <col min="10943" max="10943" width="14.85546875" style="3" customWidth="1"/>
    <col min="10944" max="10944" width="20.7109375" style="3" customWidth="1"/>
    <col min="10945" max="10945" width="12.5703125" style="3" customWidth="1"/>
    <col min="10946" max="10946" width="13" style="3" customWidth="1"/>
    <col min="10947" max="10947" width="16" style="3" customWidth="1"/>
    <col min="10948" max="10948" width="6.42578125" style="3" customWidth="1"/>
    <col min="10949" max="10949" width="16" style="3" customWidth="1"/>
    <col min="10950" max="10950" width="2.85546875" style="3" customWidth="1"/>
    <col min="10951" max="10951" width="0.85546875" style="3" customWidth="1"/>
    <col min="10952" max="10952" width="11" style="3"/>
    <col min="10953" max="10953" width="15.42578125" style="3" customWidth="1"/>
    <col min="10954" max="10956" width="14.85546875" style="3" customWidth="1"/>
    <col min="10957" max="10957" width="0.7109375" style="3" customWidth="1"/>
    <col min="10958" max="10958" width="11" style="3"/>
    <col min="10959" max="10959" width="15.7109375" style="3" customWidth="1"/>
    <col min="10960" max="10961" width="14.85546875" style="3" customWidth="1"/>
    <col min="10962" max="10962" width="3.28515625" style="3" customWidth="1"/>
    <col min="10963" max="10963" width="20.140625" style="3" customWidth="1"/>
    <col min="10964" max="10964" width="3.28515625" style="3" customWidth="1"/>
    <col min="10965" max="10969" width="11" style="3"/>
    <col min="10970" max="10982" width="4.7109375" style="3" customWidth="1"/>
    <col min="10983" max="11192" width="11" style="3"/>
    <col min="11193" max="11193" width="0.7109375" style="3" customWidth="1"/>
    <col min="11194" max="11194" width="6.5703125" style="3" customWidth="1"/>
    <col min="11195" max="11195" width="13.5703125" style="3" customWidth="1"/>
    <col min="11196" max="11196" width="13.42578125" style="3" customWidth="1"/>
    <col min="11197" max="11198" width="12.5703125" style="3" customWidth="1"/>
    <col min="11199" max="11199" width="14.85546875" style="3" customWidth="1"/>
    <col min="11200" max="11200" width="20.7109375" style="3" customWidth="1"/>
    <col min="11201" max="11201" width="12.5703125" style="3" customWidth="1"/>
    <col min="11202" max="11202" width="13" style="3" customWidth="1"/>
    <col min="11203" max="11203" width="16" style="3" customWidth="1"/>
    <col min="11204" max="11204" width="6.42578125" style="3" customWidth="1"/>
    <col min="11205" max="11205" width="16" style="3" customWidth="1"/>
    <col min="11206" max="11206" width="2.85546875" style="3" customWidth="1"/>
    <col min="11207" max="11207" width="0.85546875" style="3" customWidth="1"/>
    <col min="11208" max="11208" width="11" style="3"/>
    <col min="11209" max="11209" width="15.42578125" style="3" customWidth="1"/>
    <col min="11210" max="11212" width="14.85546875" style="3" customWidth="1"/>
    <col min="11213" max="11213" width="0.7109375" style="3" customWidth="1"/>
    <col min="11214" max="11214" width="11" style="3"/>
    <col min="11215" max="11215" width="15.7109375" style="3" customWidth="1"/>
    <col min="11216" max="11217" width="14.85546875" style="3" customWidth="1"/>
    <col min="11218" max="11218" width="3.28515625" style="3" customWidth="1"/>
    <col min="11219" max="11219" width="20.140625" style="3" customWidth="1"/>
    <col min="11220" max="11220" width="3.28515625" style="3" customWidth="1"/>
    <col min="11221" max="11225" width="11" style="3"/>
    <col min="11226" max="11238" width="4.7109375" style="3" customWidth="1"/>
    <col min="11239" max="11448" width="11" style="3"/>
    <col min="11449" max="11449" width="0.7109375" style="3" customWidth="1"/>
    <col min="11450" max="11450" width="6.5703125" style="3" customWidth="1"/>
    <col min="11451" max="11451" width="13.5703125" style="3" customWidth="1"/>
    <col min="11452" max="11452" width="13.42578125" style="3" customWidth="1"/>
    <col min="11453" max="11454" width="12.5703125" style="3" customWidth="1"/>
    <col min="11455" max="11455" width="14.85546875" style="3" customWidth="1"/>
    <col min="11456" max="11456" width="20.7109375" style="3" customWidth="1"/>
    <col min="11457" max="11457" width="12.5703125" style="3" customWidth="1"/>
    <col min="11458" max="11458" width="13" style="3" customWidth="1"/>
    <col min="11459" max="11459" width="16" style="3" customWidth="1"/>
    <col min="11460" max="11460" width="6.42578125" style="3" customWidth="1"/>
    <col min="11461" max="11461" width="16" style="3" customWidth="1"/>
    <col min="11462" max="11462" width="2.85546875" style="3" customWidth="1"/>
    <col min="11463" max="11463" width="0.85546875" style="3" customWidth="1"/>
    <col min="11464" max="11464" width="11" style="3"/>
    <col min="11465" max="11465" width="15.42578125" style="3" customWidth="1"/>
    <col min="11466" max="11468" width="14.85546875" style="3" customWidth="1"/>
    <col min="11469" max="11469" width="0.7109375" style="3" customWidth="1"/>
    <col min="11470" max="11470" width="11" style="3"/>
    <col min="11471" max="11471" width="15.7109375" style="3" customWidth="1"/>
    <col min="11472" max="11473" width="14.85546875" style="3" customWidth="1"/>
    <col min="11474" max="11474" width="3.28515625" style="3" customWidth="1"/>
    <col min="11475" max="11475" width="20.140625" style="3" customWidth="1"/>
    <col min="11476" max="11476" width="3.28515625" style="3" customWidth="1"/>
    <col min="11477" max="11481" width="11" style="3"/>
    <col min="11482" max="11494" width="4.7109375" style="3" customWidth="1"/>
    <col min="11495" max="11704" width="11" style="3"/>
    <col min="11705" max="11705" width="0.7109375" style="3" customWidth="1"/>
    <col min="11706" max="11706" width="6.5703125" style="3" customWidth="1"/>
    <col min="11707" max="11707" width="13.5703125" style="3" customWidth="1"/>
    <col min="11708" max="11708" width="13.42578125" style="3" customWidth="1"/>
    <col min="11709" max="11710" width="12.5703125" style="3" customWidth="1"/>
    <col min="11711" max="11711" width="14.85546875" style="3" customWidth="1"/>
    <col min="11712" max="11712" width="20.7109375" style="3" customWidth="1"/>
    <col min="11713" max="11713" width="12.5703125" style="3" customWidth="1"/>
    <col min="11714" max="11714" width="13" style="3" customWidth="1"/>
    <col min="11715" max="11715" width="16" style="3" customWidth="1"/>
    <col min="11716" max="11716" width="6.42578125" style="3" customWidth="1"/>
    <col min="11717" max="11717" width="16" style="3" customWidth="1"/>
    <col min="11718" max="11718" width="2.85546875" style="3" customWidth="1"/>
    <col min="11719" max="11719" width="0.85546875" style="3" customWidth="1"/>
    <col min="11720" max="11720" width="11" style="3"/>
    <col min="11721" max="11721" width="15.42578125" style="3" customWidth="1"/>
    <col min="11722" max="11724" width="14.85546875" style="3" customWidth="1"/>
    <col min="11725" max="11725" width="0.7109375" style="3" customWidth="1"/>
    <col min="11726" max="11726" width="11" style="3"/>
    <col min="11727" max="11727" width="15.7109375" style="3" customWidth="1"/>
    <col min="11728" max="11729" width="14.85546875" style="3" customWidth="1"/>
    <col min="11730" max="11730" width="3.28515625" style="3" customWidth="1"/>
    <col min="11731" max="11731" width="20.140625" style="3" customWidth="1"/>
    <col min="11732" max="11732" width="3.28515625" style="3" customWidth="1"/>
    <col min="11733" max="11737" width="11" style="3"/>
    <col min="11738" max="11750" width="4.7109375" style="3" customWidth="1"/>
    <col min="11751" max="11960" width="11" style="3"/>
    <col min="11961" max="11961" width="0.7109375" style="3" customWidth="1"/>
    <col min="11962" max="11962" width="6.5703125" style="3" customWidth="1"/>
    <col min="11963" max="11963" width="13.5703125" style="3" customWidth="1"/>
    <col min="11964" max="11964" width="13.42578125" style="3" customWidth="1"/>
    <col min="11965" max="11966" width="12.5703125" style="3" customWidth="1"/>
    <col min="11967" max="11967" width="14.85546875" style="3" customWidth="1"/>
    <col min="11968" max="11968" width="20.7109375" style="3" customWidth="1"/>
    <col min="11969" max="11969" width="12.5703125" style="3" customWidth="1"/>
    <col min="11970" max="11970" width="13" style="3" customWidth="1"/>
    <col min="11971" max="11971" width="16" style="3" customWidth="1"/>
    <col min="11972" max="11972" width="6.42578125" style="3" customWidth="1"/>
    <col min="11973" max="11973" width="16" style="3" customWidth="1"/>
    <col min="11974" max="11974" width="2.85546875" style="3" customWidth="1"/>
    <col min="11975" max="11975" width="0.85546875" style="3" customWidth="1"/>
    <col min="11976" max="11976" width="11" style="3"/>
    <col min="11977" max="11977" width="15.42578125" style="3" customWidth="1"/>
    <col min="11978" max="11980" width="14.85546875" style="3" customWidth="1"/>
    <col min="11981" max="11981" width="0.7109375" style="3" customWidth="1"/>
    <col min="11982" max="11982" width="11" style="3"/>
    <col min="11983" max="11983" width="15.7109375" style="3" customWidth="1"/>
    <col min="11984" max="11985" width="14.85546875" style="3" customWidth="1"/>
    <col min="11986" max="11986" width="3.28515625" style="3" customWidth="1"/>
    <col min="11987" max="11987" width="20.140625" style="3" customWidth="1"/>
    <col min="11988" max="11988" width="3.28515625" style="3" customWidth="1"/>
    <col min="11989" max="11993" width="11" style="3"/>
    <col min="11994" max="12006" width="4.7109375" style="3" customWidth="1"/>
    <col min="12007" max="12216" width="11" style="3"/>
    <col min="12217" max="12217" width="0.7109375" style="3" customWidth="1"/>
    <col min="12218" max="12218" width="6.5703125" style="3" customWidth="1"/>
    <col min="12219" max="12219" width="13.5703125" style="3" customWidth="1"/>
    <col min="12220" max="12220" width="13.42578125" style="3" customWidth="1"/>
    <col min="12221" max="12222" width="12.5703125" style="3" customWidth="1"/>
    <col min="12223" max="12223" width="14.85546875" style="3" customWidth="1"/>
    <col min="12224" max="12224" width="20.7109375" style="3" customWidth="1"/>
    <col min="12225" max="12225" width="12.5703125" style="3" customWidth="1"/>
    <col min="12226" max="12226" width="13" style="3" customWidth="1"/>
    <col min="12227" max="12227" width="16" style="3" customWidth="1"/>
    <col min="12228" max="12228" width="6.42578125" style="3" customWidth="1"/>
    <col min="12229" max="12229" width="16" style="3" customWidth="1"/>
    <col min="12230" max="12230" width="2.85546875" style="3" customWidth="1"/>
    <col min="12231" max="12231" width="0.85546875" style="3" customWidth="1"/>
    <col min="12232" max="12232" width="11" style="3"/>
    <col min="12233" max="12233" width="15.42578125" style="3" customWidth="1"/>
    <col min="12234" max="12236" width="14.85546875" style="3" customWidth="1"/>
    <col min="12237" max="12237" width="0.7109375" style="3" customWidth="1"/>
    <col min="12238" max="12238" width="11" style="3"/>
    <col min="12239" max="12239" width="15.7109375" style="3" customWidth="1"/>
    <col min="12240" max="12241" width="14.85546875" style="3" customWidth="1"/>
    <col min="12242" max="12242" width="3.28515625" style="3" customWidth="1"/>
    <col min="12243" max="12243" width="20.140625" style="3" customWidth="1"/>
    <col min="12244" max="12244" width="3.28515625" style="3" customWidth="1"/>
    <col min="12245" max="12249" width="11" style="3"/>
    <col min="12250" max="12262" width="4.7109375" style="3" customWidth="1"/>
    <col min="12263" max="12472" width="11" style="3"/>
    <col min="12473" max="12473" width="0.7109375" style="3" customWidth="1"/>
    <col min="12474" max="12474" width="6.5703125" style="3" customWidth="1"/>
    <col min="12475" max="12475" width="13.5703125" style="3" customWidth="1"/>
    <col min="12476" max="12476" width="13.42578125" style="3" customWidth="1"/>
    <col min="12477" max="12478" width="12.5703125" style="3" customWidth="1"/>
    <col min="12479" max="12479" width="14.85546875" style="3" customWidth="1"/>
    <col min="12480" max="12480" width="20.7109375" style="3" customWidth="1"/>
    <col min="12481" max="12481" width="12.5703125" style="3" customWidth="1"/>
    <col min="12482" max="12482" width="13" style="3" customWidth="1"/>
    <col min="12483" max="12483" width="16" style="3" customWidth="1"/>
    <col min="12484" max="12484" width="6.42578125" style="3" customWidth="1"/>
    <col min="12485" max="12485" width="16" style="3" customWidth="1"/>
    <col min="12486" max="12486" width="2.85546875" style="3" customWidth="1"/>
    <col min="12487" max="12487" width="0.85546875" style="3" customWidth="1"/>
    <col min="12488" max="12488" width="11" style="3"/>
    <col min="12489" max="12489" width="15.42578125" style="3" customWidth="1"/>
    <col min="12490" max="12492" width="14.85546875" style="3" customWidth="1"/>
    <col min="12493" max="12493" width="0.7109375" style="3" customWidth="1"/>
    <col min="12494" max="12494" width="11" style="3"/>
    <col min="12495" max="12495" width="15.7109375" style="3" customWidth="1"/>
    <col min="12496" max="12497" width="14.85546875" style="3" customWidth="1"/>
    <col min="12498" max="12498" width="3.28515625" style="3" customWidth="1"/>
    <col min="12499" max="12499" width="20.140625" style="3" customWidth="1"/>
    <col min="12500" max="12500" width="3.28515625" style="3" customWidth="1"/>
    <col min="12501" max="12505" width="11" style="3"/>
    <col min="12506" max="12518" width="4.7109375" style="3" customWidth="1"/>
    <col min="12519" max="12728" width="11" style="3"/>
    <col min="12729" max="12729" width="0.7109375" style="3" customWidth="1"/>
    <col min="12730" max="12730" width="6.5703125" style="3" customWidth="1"/>
    <col min="12731" max="12731" width="13.5703125" style="3" customWidth="1"/>
    <col min="12732" max="12732" width="13.42578125" style="3" customWidth="1"/>
    <col min="12733" max="12734" width="12.5703125" style="3" customWidth="1"/>
    <col min="12735" max="12735" width="14.85546875" style="3" customWidth="1"/>
    <col min="12736" max="12736" width="20.7109375" style="3" customWidth="1"/>
    <col min="12737" max="12737" width="12.5703125" style="3" customWidth="1"/>
    <col min="12738" max="12738" width="13" style="3" customWidth="1"/>
    <col min="12739" max="12739" width="16" style="3" customWidth="1"/>
    <col min="12740" max="12740" width="6.42578125" style="3" customWidth="1"/>
    <col min="12741" max="12741" width="16" style="3" customWidth="1"/>
    <col min="12742" max="12742" width="2.85546875" style="3" customWidth="1"/>
    <col min="12743" max="12743" width="0.85546875" style="3" customWidth="1"/>
    <col min="12744" max="12744" width="11" style="3"/>
    <col min="12745" max="12745" width="15.42578125" style="3" customWidth="1"/>
    <col min="12746" max="12748" width="14.85546875" style="3" customWidth="1"/>
    <col min="12749" max="12749" width="0.7109375" style="3" customWidth="1"/>
    <col min="12750" max="12750" width="11" style="3"/>
    <col min="12751" max="12751" width="15.7109375" style="3" customWidth="1"/>
    <col min="12752" max="12753" width="14.85546875" style="3" customWidth="1"/>
    <col min="12754" max="12754" width="3.28515625" style="3" customWidth="1"/>
    <col min="12755" max="12755" width="20.140625" style="3" customWidth="1"/>
    <col min="12756" max="12756" width="3.28515625" style="3" customWidth="1"/>
    <col min="12757" max="12761" width="11" style="3"/>
    <col min="12762" max="12774" width="4.7109375" style="3" customWidth="1"/>
    <col min="12775" max="12984" width="11" style="3"/>
    <col min="12985" max="12985" width="0.7109375" style="3" customWidth="1"/>
    <col min="12986" max="12986" width="6.5703125" style="3" customWidth="1"/>
    <col min="12987" max="12987" width="13.5703125" style="3" customWidth="1"/>
    <col min="12988" max="12988" width="13.42578125" style="3" customWidth="1"/>
    <col min="12989" max="12990" width="12.5703125" style="3" customWidth="1"/>
    <col min="12991" max="12991" width="14.85546875" style="3" customWidth="1"/>
    <col min="12992" max="12992" width="20.7109375" style="3" customWidth="1"/>
    <col min="12993" max="12993" width="12.5703125" style="3" customWidth="1"/>
    <col min="12994" max="12994" width="13" style="3" customWidth="1"/>
    <col min="12995" max="12995" width="16" style="3" customWidth="1"/>
    <col min="12996" max="12996" width="6.42578125" style="3" customWidth="1"/>
    <col min="12997" max="12997" width="16" style="3" customWidth="1"/>
    <col min="12998" max="12998" width="2.85546875" style="3" customWidth="1"/>
    <col min="12999" max="12999" width="0.85546875" style="3" customWidth="1"/>
    <col min="13000" max="13000" width="11" style="3"/>
    <col min="13001" max="13001" width="15.42578125" style="3" customWidth="1"/>
    <col min="13002" max="13004" width="14.85546875" style="3" customWidth="1"/>
    <col min="13005" max="13005" width="0.7109375" style="3" customWidth="1"/>
    <col min="13006" max="13006" width="11" style="3"/>
    <col min="13007" max="13007" width="15.7109375" style="3" customWidth="1"/>
    <col min="13008" max="13009" width="14.85546875" style="3" customWidth="1"/>
    <col min="13010" max="13010" width="3.28515625" style="3" customWidth="1"/>
    <col min="13011" max="13011" width="20.140625" style="3" customWidth="1"/>
    <col min="13012" max="13012" width="3.28515625" style="3" customWidth="1"/>
    <col min="13013" max="13017" width="11" style="3"/>
    <col min="13018" max="13030" width="4.7109375" style="3" customWidth="1"/>
    <col min="13031" max="13240" width="11" style="3"/>
    <col min="13241" max="13241" width="0.7109375" style="3" customWidth="1"/>
    <col min="13242" max="13242" width="6.5703125" style="3" customWidth="1"/>
    <col min="13243" max="13243" width="13.5703125" style="3" customWidth="1"/>
    <col min="13244" max="13244" width="13.42578125" style="3" customWidth="1"/>
    <col min="13245" max="13246" width="12.5703125" style="3" customWidth="1"/>
    <col min="13247" max="13247" width="14.85546875" style="3" customWidth="1"/>
    <col min="13248" max="13248" width="20.7109375" style="3" customWidth="1"/>
    <col min="13249" max="13249" width="12.5703125" style="3" customWidth="1"/>
    <col min="13250" max="13250" width="13" style="3" customWidth="1"/>
    <col min="13251" max="13251" width="16" style="3" customWidth="1"/>
    <col min="13252" max="13252" width="6.42578125" style="3" customWidth="1"/>
    <col min="13253" max="13253" width="16" style="3" customWidth="1"/>
    <col min="13254" max="13254" width="2.85546875" style="3" customWidth="1"/>
    <col min="13255" max="13255" width="0.85546875" style="3" customWidth="1"/>
    <col min="13256" max="13256" width="11" style="3"/>
    <col min="13257" max="13257" width="15.42578125" style="3" customWidth="1"/>
    <col min="13258" max="13260" width="14.85546875" style="3" customWidth="1"/>
    <col min="13261" max="13261" width="0.7109375" style="3" customWidth="1"/>
    <col min="13262" max="13262" width="11" style="3"/>
    <col min="13263" max="13263" width="15.7109375" style="3" customWidth="1"/>
    <col min="13264" max="13265" width="14.85546875" style="3" customWidth="1"/>
    <col min="13266" max="13266" width="3.28515625" style="3" customWidth="1"/>
    <col min="13267" max="13267" width="20.140625" style="3" customWidth="1"/>
    <col min="13268" max="13268" width="3.28515625" style="3" customWidth="1"/>
    <col min="13269" max="13273" width="11" style="3"/>
    <col min="13274" max="13286" width="4.7109375" style="3" customWidth="1"/>
    <col min="13287" max="13496" width="11" style="3"/>
    <col min="13497" max="13497" width="0.7109375" style="3" customWidth="1"/>
    <col min="13498" max="13498" width="6.5703125" style="3" customWidth="1"/>
    <col min="13499" max="13499" width="13.5703125" style="3" customWidth="1"/>
    <col min="13500" max="13500" width="13.42578125" style="3" customWidth="1"/>
    <col min="13501" max="13502" width="12.5703125" style="3" customWidth="1"/>
    <col min="13503" max="13503" width="14.85546875" style="3" customWidth="1"/>
    <col min="13504" max="13504" width="20.7109375" style="3" customWidth="1"/>
    <col min="13505" max="13505" width="12.5703125" style="3" customWidth="1"/>
    <col min="13506" max="13506" width="13" style="3" customWidth="1"/>
    <col min="13507" max="13507" width="16" style="3" customWidth="1"/>
    <col min="13508" max="13508" width="6.42578125" style="3" customWidth="1"/>
    <col min="13509" max="13509" width="16" style="3" customWidth="1"/>
    <col min="13510" max="13510" width="2.85546875" style="3" customWidth="1"/>
    <col min="13511" max="13511" width="0.85546875" style="3" customWidth="1"/>
    <col min="13512" max="13512" width="11" style="3"/>
    <col min="13513" max="13513" width="15.42578125" style="3" customWidth="1"/>
    <col min="13514" max="13516" width="14.85546875" style="3" customWidth="1"/>
    <col min="13517" max="13517" width="0.7109375" style="3" customWidth="1"/>
    <col min="13518" max="13518" width="11" style="3"/>
    <col min="13519" max="13519" width="15.7109375" style="3" customWidth="1"/>
    <col min="13520" max="13521" width="14.85546875" style="3" customWidth="1"/>
    <col min="13522" max="13522" width="3.28515625" style="3" customWidth="1"/>
    <col min="13523" max="13523" width="20.140625" style="3" customWidth="1"/>
    <col min="13524" max="13524" width="3.28515625" style="3" customWidth="1"/>
    <col min="13525" max="13529" width="11" style="3"/>
    <col min="13530" max="13542" width="4.7109375" style="3" customWidth="1"/>
    <col min="13543" max="13752" width="11" style="3"/>
    <col min="13753" max="13753" width="0.7109375" style="3" customWidth="1"/>
    <col min="13754" max="13754" width="6.5703125" style="3" customWidth="1"/>
    <col min="13755" max="13755" width="13.5703125" style="3" customWidth="1"/>
    <col min="13756" max="13756" width="13.42578125" style="3" customWidth="1"/>
    <col min="13757" max="13758" width="12.5703125" style="3" customWidth="1"/>
    <col min="13759" max="13759" width="14.85546875" style="3" customWidth="1"/>
    <col min="13760" max="13760" width="20.7109375" style="3" customWidth="1"/>
    <col min="13761" max="13761" width="12.5703125" style="3" customWidth="1"/>
    <col min="13762" max="13762" width="13" style="3" customWidth="1"/>
    <col min="13763" max="13763" width="16" style="3" customWidth="1"/>
    <col min="13764" max="13764" width="6.42578125" style="3" customWidth="1"/>
    <col min="13765" max="13765" width="16" style="3" customWidth="1"/>
    <col min="13766" max="13766" width="2.85546875" style="3" customWidth="1"/>
    <col min="13767" max="13767" width="0.85546875" style="3" customWidth="1"/>
    <col min="13768" max="13768" width="11" style="3"/>
    <col min="13769" max="13769" width="15.42578125" style="3" customWidth="1"/>
    <col min="13770" max="13772" width="14.85546875" style="3" customWidth="1"/>
    <col min="13773" max="13773" width="0.7109375" style="3" customWidth="1"/>
    <col min="13774" max="13774" width="11" style="3"/>
    <col min="13775" max="13775" width="15.7109375" style="3" customWidth="1"/>
    <col min="13776" max="13777" width="14.85546875" style="3" customWidth="1"/>
    <col min="13778" max="13778" width="3.28515625" style="3" customWidth="1"/>
    <col min="13779" max="13779" width="20.140625" style="3" customWidth="1"/>
    <col min="13780" max="13780" width="3.28515625" style="3" customWidth="1"/>
    <col min="13781" max="13785" width="11" style="3"/>
    <col min="13786" max="13798" width="4.7109375" style="3" customWidth="1"/>
    <col min="13799" max="14008" width="11" style="3"/>
    <col min="14009" max="14009" width="0.7109375" style="3" customWidth="1"/>
    <col min="14010" max="14010" width="6.5703125" style="3" customWidth="1"/>
    <col min="14011" max="14011" width="13.5703125" style="3" customWidth="1"/>
    <col min="14012" max="14012" width="13.42578125" style="3" customWidth="1"/>
    <col min="14013" max="14014" width="12.5703125" style="3" customWidth="1"/>
    <col min="14015" max="14015" width="14.85546875" style="3" customWidth="1"/>
    <col min="14016" max="14016" width="20.7109375" style="3" customWidth="1"/>
    <col min="14017" max="14017" width="12.5703125" style="3" customWidth="1"/>
    <col min="14018" max="14018" width="13" style="3" customWidth="1"/>
    <col min="14019" max="14019" width="16" style="3" customWidth="1"/>
    <col min="14020" max="14020" width="6.42578125" style="3" customWidth="1"/>
    <col min="14021" max="14021" width="16" style="3" customWidth="1"/>
    <col min="14022" max="14022" width="2.85546875" style="3" customWidth="1"/>
    <col min="14023" max="14023" width="0.85546875" style="3" customWidth="1"/>
    <col min="14024" max="14024" width="11" style="3"/>
    <col min="14025" max="14025" width="15.42578125" style="3" customWidth="1"/>
    <col min="14026" max="14028" width="14.85546875" style="3" customWidth="1"/>
    <col min="14029" max="14029" width="0.7109375" style="3" customWidth="1"/>
    <col min="14030" max="14030" width="11" style="3"/>
    <col min="14031" max="14031" width="15.7109375" style="3" customWidth="1"/>
    <col min="14032" max="14033" width="14.85546875" style="3" customWidth="1"/>
    <col min="14034" max="14034" width="3.28515625" style="3" customWidth="1"/>
    <col min="14035" max="14035" width="20.140625" style="3" customWidth="1"/>
    <col min="14036" max="14036" width="3.28515625" style="3" customWidth="1"/>
    <col min="14037" max="14041" width="11" style="3"/>
    <col min="14042" max="14054" width="4.7109375" style="3" customWidth="1"/>
    <col min="14055" max="14264" width="11" style="3"/>
    <col min="14265" max="14265" width="0.7109375" style="3" customWidth="1"/>
    <col min="14266" max="14266" width="6.5703125" style="3" customWidth="1"/>
    <col min="14267" max="14267" width="13.5703125" style="3" customWidth="1"/>
    <col min="14268" max="14268" width="13.42578125" style="3" customWidth="1"/>
    <col min="14269" max="14270" width="12.5703125" style="3" customWidth="1"/>
    <col min="14271" max="14271" width="14.85546875" style="3" customWidth="1"/>
    <col min="14272" max="14272" width="20.7109375" style="3" customWidth="1"/>
    <col min="14273" max="14273" width="12.5703125" style="3" customWidth="1"/>
    <col min="14274" max="14274" width="13" style="3" customWidth="1"/>
    <col min="14275" max="14275" width="16" style="3" customWidth="1"/>
    <col min="14276" max="14276" width="6.42578125" style="3" customWidth="1"/>
    <col min="14277" max="14277" width="16" style="3" customWidth="1"/>
    <col min="14278" max="14278" width="2.85546875" style="3" customWidth="1"/>
    <col min="14279" max="14279" width="0.85546875" style="3" customWidth="1"/>
    <col min="14280" max="14280" width="11" style="3"/>
    <col min="14281" max="14281" width="15.42578125" style="3" customWidth="1"/>
    <col min="14282" max="14284" width="14.85546875" style="3" customWidth="1"/>
    <col min="14285" max="14285" width="0.7109375" style="3" customWidth="1"/>
    <col min="14286" max="14286" width="11" style="3"/>
    <col min="14287" max="14287" width="15.7109375" style="3" customWidth="1"/>
    <col min="14288" max="14289" width="14.85546875" style="3" customWidth="1"/>
    <col min="14290" max="14290" width="3.28515625" style="3" customWidth="1"/>
    <col min="14291" max="14291" width="20.140625" style="3" customWidth="1"/>
    <col min="14292" max="14292" width="3.28515625" style="3" customWidth="1"/>
    <col min="14293" max="14297" width="11" style="3"/>
    <col min="14298" max="14310" width="4.7109375" style="3" customWidth="1"/>
    <col min="14311" max="14520" width="11" style="3"/>
    <col min="14521" max="14521" width="0.7109375" style="3" customWidth="1"/>
    <col min="14522" max="14522" width="6.5703125" style="3" customWidth="1"/>
    <col min="14523" max="14523" width="13.5703125" style="3" customWidth="1"/>
    <col min="14524" max="14524" width="13.42578125" style="3" customWidth="1"/>
    <col min="14525" max="14526" width="12.5703125" style="3" customWidth="1"/>
    <col min="14527" max="14527" width="14.85546875" style="3" customWidth="1"/>
    <col min="14528" max="14528" width="20.7109375" style="3" customWidth="1"/>
    <col min="14529" max="14529" width="12.5703125" style="3" customWidth="1"/>
    <col min="14530" max="14530" width="13" style="3" customWidth="1"/>
    <col min="14531" max="14531" width="16" style="3" customWidth="1"/>
    <col min="14532" max="14532" width="6.42578125" style="3" customWidth="1"/>
    <col min="14533" max="14533" width="16" style="3" customWidth="1"/>
    <col min="14534" max="14534" width="2.85546875" style="3" customWidth="1"/>
    <col min="14535" max="14535" width="0.85546875" style="3" customWidth="1"/>
    <col min="14536" max="14536" width="11" style="3"/>
    <col min="14537" max="14537" width="15.42578125" style="3" customWidth="1"/>
    <col min="14538" max="14540" width="14.85546875" style="3" customWidth="1"/>
    <col min="14541" max="14541" width="0.7109375" style="3" customWidth="1"/>
    <col min="14542" max="14542" width="11" style="3"/>
    <col min="14543" max="14543" width="15.7109375" style="3" customWidth="1"/>
    <col min="14544" max="14545" width="14.85546875" style="3" customWidth="1"/>
    <col min="14546" max="14546" width="3.28515625" style="3" customWidth="1"/>
    <col min="14547" max="14547" width="20.140625" style="3" customWidth="1"/>
    <col min="14548" max="14548" width="3.28515625" style="3" customWidth="1"/>
    <col min="14549" max="14553" width="11" style="3"/>
    <col min="14554" max="14566" width="4.7109375" style="3" customWidth="1"/>
    <col min="14567" max="14776" width="11" style="3"/>
    <col min="14777" max="14777" width="0.7109375" style="3" customWidth="1"/>
    <col min="14778" max="14778" width="6.5703125" style="3" customWidth="1"/>
    <col min="14779" max="14779" width="13.5703125" style="3" customWidth="1"/>
    <col min="14780" max="14780" width="13.42578125" style="3" customWidth="1"/>
    <col min="14781" max="14782" width="12.5703125" style="3" customWidth="1"/>
    <col min="14783" max="14783" width="14.85546875" style="3" customWidth="1"/>
    <col min="14784" max="14784" width="20.7109375" style="3" customWidth="1"/>
    <col min="14785" max="14785" width="12.5703125" style="3" customWidth="1"/>
    <col min="14786" max="14786" width="13" style="3" customWidth="1"/>
    <col min="14787" max="14787" width="16" style="3" customWidth="1"/>
    <col min="14788" max="14788" width="6.42578125" style="3" customWidth="1"/>
    <col min="14789" max="14789" width="16" style="3" customWidth="1"/>
    <col min="14790" max="14790" width="2.85546875" style="3" customWidth="1"/>
    <col min="14791" max="14791" width="0.85546875" style="3" customWidth="1"/>
    <col min="14792" max="14792" width="11" style="3"/>
    <col min="14793" max="14793" width="15.42578125" style="3" customWidth="1"/>
    <col min="14794" max="14796" width="14.85546875" style="3" customWidth="1"/>
    <col min="14797" max="14797" width="0.7109375" style="3" customWidth="1"/>
    <col min="14798" max="14798" width="11" style="3"/>
    <col min="14799" max="14799" width="15.7109375" style="3" customWidth="1"/>
    <col min="14800" max="14801" width="14.85546875" style="3" customWidth="1"/>
    <col min="14802" max="14802" width="3.28515625" style="3" customWidth="1"/>
    <col min="14803" max="14803" width="20.140625" style="3" customWidth="1"/>
    <col min="14804" max="14804" width="3.28515625" style="3" customWidth="1"/>
    <col min="14805" max="14809" width="11" style="3"/>
    <col min="14810" max="14822" width="4.7109375" style="3" customWidth="1"/>
    <col min="14823" max="15032" width="11" style="3"/>
    <col min="15033" max="15033" width="0.7109375" style="3" customWidth="1"/>
    <col min="15034" max="15034" width="6.5703125" style="3" customWidth="1"/>
    <col min="15035" max="15035" width="13.5703125" style="3" customWidth="1"/>
    <col min="15036" max="15036" width="13.42578125" style="3" customWidth="1"/>
    <col min="15037" max="15038" width="12.5703125" style="3" customWidth="1"/>
    <col min="15039" max="15039" width="14.85546875" style="3" customWidth="1"/>
    <col min="15040" max="15040" width="20.7109375" style="3" customWidth="1"/>
    <col min="15041" max="15041" width="12.5703125" style="3" customWidth="1"/>
    <col min="15042" max="15042" width="13" style="3" customWidth="1"/>
    <col min="15043" max="15043" width="16" style="3" customWidth="1"/>
    <col min="15044" max="15044" width="6.42578125" style="3" customWidth="1"/>
    <col min="15045" max="15045" width="16" style="3" customWidth="1"/>
    <col min="15046" max="15046" width="2.85546875" style="3" customWidth="1"/>
    <col min="15047" max="15047" width="0.85546875" style="3" customWidth="1"/>
    <col min="15048" max="15048" width="11" style="3"/>
    <col min="15049" max="15049" width="15.42578125" style="3" customWidth="1"/>
    <col min="15050" max="15052" width="14.85546875" style="3" customWidth="1"/>
    <col min="15053" max="15053" width="0.7109375" style="3" customWidth="1"/>
    <col min="15054" max="15054" width="11" style="3"/>
    <col min="15055" max="15055" width="15.7109375" style="3" customWidth="1"/>
    <col min="15056" max="15057" width="14.85546875" style="3" customWidth="1"/>
    <col min="15058" max="15058" width="3.28515625" style="3" customWidth="1"/>
    <col min="15059" max="15059" width="20.140625" style="3" customWidth="1"/>
    <col min="15060" max="15060" width="3.28515625" style="3" customWidth="1"/>
    <col min="15061" max="15065" width="11" style="3"/>
    <col min="15066" max="15078" width="4.7109375" style="3" customWidth="1"/>
    <col min="15079" max="15288" width="11" style="3"/>
    <col min="15289" max="15289" width="0.7109375" style="3" customWidth="1"/>
    <col min="15290" max="15290" width="6.5703125" style="3" customWidth="1"/>
    <col min="15291" max="15291" width="13.5703125" style="3" customWidth="1"/>
    <col min="15292" max="15292" width="13.42578125" style="3" customWidth="1"/>
    <col min="15293" max="15294" width="12.5703125" style="3" customWidth="1"/>
    <col min="15295" max="15295" width="14.85546875" style="3" customWidth="1"/>
    <col min="15296" max="15296" width="20.7109375" style="3" customWidth="1"/>
    <col min="15297" max="15297" width="12.5703125" style="3" customWidth="1"/>
    <col min="15298" max="15298" width="13" style="3" customWidth="1"/>
    <col min="15299" max="15299" width="16" style="3" customWidth="1"/>
    <col min="15300" max="15300" width="6.42578125" style="3" customWidth="1"/>
    <col min="15301" max="15301" width="16" style="3" customWidth="1"/>
    <col min="15302" max="15302" width="2.85546875" style="3" customWidth="1"/>
    <col min="15303" max="15303" width="0.85546875" style="3" customWidth="1"/>
    <col min="15304" max="15304" width="11" style="3"/>
    <col min="15305" max="15305" width="15.42578125" style="3" customWidth="1"/>
    <col min="15306" max="15308" width="14.85546875" style="3" customWidth="1"/>
    <col min="15309" max="15309" width="0.7109375" style="3" customWidth="1"/>
    <col min="15310" max="15310" width="11" style="3"/>
    <col min="15311" max="15311" width="15.7109375" style="3" customWidth="1"/>
    <col min="15312" max="15313" width="14.85546875" style="3" customWidth="1"/>
    <col min="15314" max="15314" width="3.28515625" style="3" customWidth="1"/>
    <col min="15315" max="15315" width="20.140625" style="3" customWidth="1"/>
    <col min="15316" max="15316" width="3.28515625" style="3" customWidth="1"/>
    <col min="15317" max="15321" width="11" style="3"/>
    <col min="15322" max="15334" width="4.7109375" style="3" customWidth="1"/>
    <col min="15335" max="15544" width="11" style="3"/>
    <col min="15545" max="15545" width="0.7109375" style="3" customWidth="1"/>
    <col min="15546" max="15546" width="6.5703125" style="3" customWidth="1"/>
    <col min="15547" max="15547" width="13.5703125" style="3" customWidth="1"/>
    <col min="15548" max="15548" width="13.42578125" style="3" customWidth="1"/>
    <col min="15549" max="15550" width="12.5703125" style="3" customWidth="1"/>
    <col min="15551" max="15551" width="14.85546875" style="3" customWidth="1"/>
    <col min="15552" max="15552" width="20.7109375" style="3" customWidth="1"/>
    <col min="15553" max="15553" width="12.5703125" style="3" customWidth="1"/>
    <col min="15554" max="15554" width="13" style="3" customWidth="1"/>
    <col min="15555" max="15555" width="16" style="3" customWidth="1"/>
    <col min="15556" max="15556" width="6.42578125" style="3" customWidth="1"/>
    <col min="15557" max="15557" width="16" style="3" customWidth="1"/>
    <col min="15558" max="15558" width="2.85546875" style="3" customWidth="1"/>
    <col min="15559" max="15559" width="0.85546875" style="3" customWidth="1"/>
    <col min="15560" max="15560" width="11" style="3"/>
    <col min="15561" max="15561" width="15.42578125" style="3" customWidth="1"/>
    <col min="15562" max="15564" width="14.85546875" style="3" customWidth="1"/>
    <col min="15565" max="15565" width="0.7109375" style="3" customWidth="1"/>
    <col min="15566" max="15566" width="11" style="3"/>
    <col min="15567" max="15567" width="15.7109375" style="3" customWidth="1"/>
    <col min="15568" max="15569" width="14.85546875" style="3" customWidth="1"/>
    <col min="15570" max="15570" width="3.28515625" style="3" customWidth="1"/>
    <col min="15571" max="15571" width="20.140625" style="3" customWidth="1"/>
    <col min="15572" max="15572" width="3.28515625" style="3" customWidth="1"/>
    <col min="15573" max="15577" width="11" style="3"/>
    <col min="15578" max="15590" width="4.7109375" style="3" customWidth="1"/>
    <col min="15591" max="15800" width="11" style="3"/>
    <col min="15801" max="15801" width="0.7109375" style="3" customWidth="1"/>
    <col min="15802" max="15802" width="6.5703125" style="3" customWidth="1"/>
    <col min="15803" max="15803" width="13.5703125" style="3" customWidth="1"/>
    <col min="15804" max="15804" width="13.42578125" style="3" customWidth="1"/>
    <col min="15805" max="15806" width="12.5703125" style="3" customWidth="1"/>
    <col min="15807" max="15807" width="14.85546875" style="3" customWidth="1"/>
    <col min="15808" max="15808" width="20.7109375" style="3" customWidth="1"/>
    <col min="15809" max="15809" width="12.5703125" style="3" customWidth="1"/>
    <col min="15810" max="15810" width="13" style="3" customWidth="1"/>
    <col min="15811" max="15811" width="16" style="3" customWidth="1"/>
    <col min="15812" max="15812" width="6.42578125" style="3" customWidth="1"/>
    <col min="15813" max="15813" width="16" style="3" customWidth="1"/>
    <col min="15814" max="15814" width="2.85546875" style="3" customWidth="1"/>
    <col min="15815" max="15815" width="0.85546875" style="3" customWidth="1"/>
    <col min="15816" max="15816" width="11" style="3"/>
    <col min="15817" max="15817" width="15.42578125" style="3" customWidth="1"/>
    <col min="15818" max="15820" width="14.85546875" style="3" customWidth="1"/>
    <col min="15821" max="15821" width="0.7109375" style="3" customWidth="1"/>
    <col min="15822" max="15822" width="11" style="3"/>
    <col min="15823" max="15823" width="15.7109375" style="3" customWidth="1"/>
    <col min="15824" max="15825" width="14.85546875" style="3" customWidth="1"/>
    <col min="15826" max="15826" width="3.28515625" style="3" customWidth="1"/>
    <col min="15827" max="15827" width="20.140625" style="3" customWidth="1"/>
    <col min="15828" max="15828" width="3.28515625" style="3" customWidth="1"/>
    <col min="15829" max="15833" width="11" style="3"/>
    <col min="15834" max="15846" width="4.7109375" style="3" customWidth="1"/>
    <col min="15847" max="16056" width="11" style="3"/>
    <col min="16057" max="16057" width="0.7109375" style="3" customWidth="1"/>
    <col min="16058" max="16058" width="6.5703125" style="3" customWidth="1"/>
    <col min="16059" max="16059" width="13.5703125" style="3" customWidth="1"/>
    <col min="16060" max="16060" width="13.42578125" style="3" customWidth="1"/>
    <col min="16061" max="16062" width="12.5703125" style="3" customWidth="1"/>
    <col min="16063" max="16063" width="14.85546875" style="3" customWidth="1"/>
    <col min="16064" max="16064" width="20.7109375" style="3" customWidth="1"/>
    <col min="16065" max="16065" width="12.5703125" style="3" customWidth="1"/>
    <col min="16066" max="16066" width="13" style="3" customWidth="1"/>
    <col min="16067" max="16067" width="16" style="3" customWidth="1"/>
    <col min="16068" max="16068" width="6.42578125" style="3" customWidth="1"/>
    <col min="16069" max="16069" width="16" style="3" customWidth="1"/>
    <col min="16070" max="16070" width="2.85546875" style="3" customWidth="1"/>
    <col min="16071" max="16071" width="0.85546875" style="3" customWidth="1"/>
    <col min="16072" max="16072" width="11" style="3"/>
    <col min="16073" max="16073" width="15.42578125" style="3" customWidth="1"/>
    <col min="16074" max="16076" width="14.85546875" style="3" customWidth="1"/>
    <col min="16077" max="16077" width="0.7109375" style="3" customWidth="1"/>
    <col min="16078" max="16078" width="11" style="3"/>
    <col min="16079" max="16079" width="15.7109375" style="3" customWidth="1"/>
    <col min="16080" max="16081" width="14.85546875" style="3" customWidth="1"/>
    <col min="16082" max="16082" width="3.28515625" style="3" customWidth="1"/>
    <col min="16083" max="16083" width="20.140625" style="3" customWidth="1"/>
    <col min="16084" max="16084" width="3.28515625" style="3" customWidth="1"/>
    <col min="16085" max="16089" width="11" style="3"/>
    <col min="16090" max="16102" width="4.7109375" style="3" customWidth="1"/>
    <col min="16103" max="16384" width="11" style="3"/>
  </cols>
  <sheetData>
    <row r="1" spans="1:28" s="1" customFormat="1" ht="19.5" customHeight="1">
      <c r="A1" s="236"/>
      <c r="B1" s="237"/>
      <c r="C1" s="179" t="s">
        <v>0</v>
      </c>
      <c r="D1" s="179"/>
      <c r="E1" s="179"/>
      <c r="F1" s="179"/>
      <c r="G1" s="179"/>
      <c r="H1" s="179"/>
      <c r="I1" s="179"/>
      <c r="J1" s="179"/>
      <c r="K1" s="180" t="s">
        <v>1</v>
      </c>
      <c r="L1" s="181"/>
      <c r="O1" s="80"/>
      <c r="P1" s="80"/>
      <c r="Q1" s="80"/>
      <c r="R1" s="80"/>
      <c r="S1" s="80"/>
      <c r="T1" s="80"/>
      <c r="U1" s="80"/>
      <c r="V1" s="80"/>
      <c r="W1" s="80"/>
      <c r="X1" s="80"/>
      <c r="Y1" s="80"/>
      <c r="Z1" s="80"/>
      <c r="AA1" s="80"/>
    </row>
    <row r="2" spans="1:28" s="1" customFormat="1" ht="19.5" customHeight="1">
      <c r="A2" s="238"/>
      <c r="B2" s="186"/>
      <c r="C2" s="241" t="s">
        <v>2</v>
      </c>
      <c r="D2" s="241"/>
      <c r="E2" s="241"/>
      <c r="F2" s="241"/>
      <c r="G2" s="241"/>
      <c r="H2" s="241"/>
      <c r="I2" s="241"/>
      <c r="J2" s="241"/>
      <c r="K2" s="182" t="s">
        <v>89</v>
      </c>
      <c r="L2" s="183"/>
      <c r="O2" s="80"/>
      <c r="P2" s="80"/>
      <c r="Q2" s="80"/>
      <c r="R2" s="80"/>
      <c r="S2" s="80"/>
      <c r="T2" s="80"/>
      <c r="U2" s="80"/>
      <c r="V2" s="80"/>
      <c r="W2" s="80"/>
      <c r="X2" s="80"/>
      <c r="Y2" s="80"/>
      <c r="Z2" s="80"/>
      <c r="AA2" s="80"/>
    </row>
    <row r="3" spans="1:28" s="1" customFormat="1" ht="19.5" customHeight="1">
      <c r="A3" s="238"/>
      <c r="B3" s="186"/>
      <c r="C3" s="241"/>
      <c r="D3" s="241"/>
      <c r="E3" s="241"/>
      <c r="F3" s="241"/>
      <c r="G3" s="241"/>
      <c r="H3" s="241"/>
      <c r="I3" s="241"/>
      <c r="J3" s="241"/>
      <c r="K3" s="182" t="s">
        <v>3</v>
      </c>
      <c r="L3" s="183"/>
      <c r="Q3" s="132"/>
      <c r="R3" s="80"/>
      <c r="T3" s="132" t="s">
        <v>4</v>
      </c>
      <c r="U3" s="132"/>
      <c r="V3" s="80"/>
      <c r="W3" s="80"/>
      <c r="X3" s="80"/>
      <c r="Y3" s="80"/>
      <c r="Z3" s="80"/>
      <c r="AA3" s="80"/>
    </row>
    <row r="4" spans="1:28" s="1" customFormat="1" ht="19.5" customHeight="1" thickBot="1">
      <c r="A4" s="239"/>
      <c r="B4" s="240"/>
      <c r="C4" s="242"/>
      <c r="D4" s="242"/>
      <c r="E4" s="242"/>
      <c r="F4" s="242"/>
      <c r="G4" s="242"/>
      <c r="H4" s="242"/>
      <c r="I4" s="242"/>
      <c r="J4" s="242"/>
      <c r="K4" s="184" t="s">
        <v>88</v>
      </c>
      <c r="L4" s="185"/>
      <c r="Q4" s="132"/>
      <c r="R4" s="80"/>
      <c r="S4" s="132"/>
      <c r="T4" s="132"/>
      <c r="U4" s="132"/>
      <c r="V4" s="80"/>
      <c r="W4" s="80"/>
      <c r="X4" s="80"/>
      <c r="Y4" s="80"/>
      <c r="Z4" s="80"/>
      <c r="AA4" s="80"/>
    </row>
    <row r="5" spans="1:28" s="1" customFormat="1" ht="3.95" customHeight="1" thickBot="1">
      <c r="A5" s="5"/>
      <c r="B5" s="186"/>
      <c r="C5" s="186"/>
      <c r="D5" s="186"/>
      <c r="E5" s="186"/>
      <c r="F5" s="186"/>
      <c r="G5" s="186"/>
      <c r="H5" s="186"/>
      <c r="I5" s="186"/>
      <c r="J5" s="186"/>
      <c r="K5" s="186"/>
      <c r="L5" s="81"/>
      <c r="Q5" s="132"/>
      <c r="R5" s="132"/>
      <c r="T5" s="132"/>
      <c r="U5" s="132"/>
      <c r="V5" s="80"/>
      <c r="W5" s="80"/>
      <c r="X5" s="80"/>
      <c r="Y5" s="80"/>
      <c r="Z5" s="80"/>
      <c r="AA5" s="80"/>
      <c r="AB5" s="80"/>
    </row>
    <row r="6" spans="1:28" s="1" customFormat="1" ht="22.5" customHeight="1">
      <c r="A6" s="6"/>
      <c r="B6" s="7" t="s">
        <v>5</v>
      </c>
      <c r="C6" s="273" t="s">
        <v>91</v>
      </c>
      <c r="D6" s="273"/>
      <c r="E6" s="273"/>
      <c r="F6" s="273"/>
      <c r="G6" s="273"/>
      <c r="H6" s="188" t="s">
        <v>6</v>
      </c>
      <c r="I6" s="188"/>
      <c r="J6" s="189">
        <v>45884</v>
      </c>
      <c r="K6" s="189"/>
      <c r="L6" s="190"/>
      <c r="Q6" s="80"/>
      <c r="R6" s="80"/>
      <c r="T6" s="133" t="s">
        <v>7</v>
      </c>
      <c r="U6" s="80"/>
      <c r="V6" s="80"/>
      <c r="W6" s="80"/>
      <c r="X6" s="80"/>
      <c r="Y6" s="80"/>
      <c r="Z6" s="80"/>
      <c r="AA6" s="80"/>
      <c r="AB6" s="80"/>
    </row>
    <row r="7" spans="1:28" s="1" customFormat="1" ht="24.75" customHeight="1">
      <c r="A7" s="5"/>
      <c r="B7" s="9" t="s">
        <v>8</v>
      </c>
      <c r="C7" s="274" t="s">
        <v>92</v>
      </c>
      <c r="D7" s="274"/>
      <c r="E7" s="274"/>
      <c r="F7" s="274"/>
      <c r="G7" s="274"/>
      <c r="H7" s="192" t="s">
        <v>9</v>
      </c>
      <c r="I7" s="192"/>
      <c r="J7" s="193">
        <v>45894</v>
      </c>
      <c r="K7" s="193"/>
      <c r="L7" s="194"/>
      <c r="Q7" s="80"/>
      <c r="R7" s="80"/>
      <c r="T7" s="133" t="s">
        <v>10</v>
      </c>
      <c r="U7" s="80"/>
      <c r="V7" s="80"/>
      <c r="W7" s="80"/>
      <c r="X7" s="80"/>
      <c r="Y7" s="80"/>
      <c r="Z7" s="80"/>
      <c r="AA7" s="80"/>
      <c r="AB7" s="80"/>
    </row>
    <row r="8" spans="1:28" s="1" customFormat="1" ht="22.5" customHeight="1">
      <c r="A8" s="5"/>
      <c r="B8" s="9" t="s">
        <v>11</v>
      </c>
      <c r="C8" s="271" t="s">
        <v>12</v>
      </c>
      <c r="D8" s="272"/>
      <c r="E8" s="272"/>
      <c r="F8" s="272"/>
      <c r="G8" s="272"/>
      <c r="H8" s="192" t="s">
        <v>13</v>
      </c>
      <c r="I8" s="192"/>
      <c r="J8" s="193">
        <v>45922</v>
      </c>
      <c r="K8" s="193"/>
      <c r="L8" s="194"/>
      <c r="Q8" s="80"/>
      <c r="R8" s="80"/>
      <c r="S8" s="1">
        <f>17-2.57</f>
        <v>14.43</v>
      </c>
      <c r="T8" s="133" t="s">
        <v>14</v>
      </c>
      <c r="U8" s="80"/>
      <c r="V8" s="80"/>
      <c r="W8" s="80"/>
      <c r="X8" s="80"/>
      <c r="Y8" s="80"/>
      <c r="Z8" s="80"/>
      <c r="AA8" s="80"/>
      <c r="AB8" s="80"/>
    </row>
    <row r="9" spans="1:28" s="1" customFormat="1" ht="22.5" customHeight="1">
      <c r="A9" s="5"/>
      <c r="B9" s="9" t="s">
        <v>15</v>
      </c>
      <c r="C9" s="202" t="s">
        <v>93</v>
      </c>
      <c r="D9" s="202"/>
      <c r="E9" s="202"/>
      <c r="F9" s="202"/>
      <c r="G9" s="202"/>
      <c r="H9" s="192" t="s">
        <v>16</v>
      </c>
      <c r="I9" s="192"/>
      <c r="J9" s="82" t="s">
        <v>17</v>
      </c>
      <c r="K9" s="83" t="s">
        <v>90</v>
      </c>
      <c r="L9" s="84" t="s">
        <v>85</v>
      </c>
      <c r="Q9" s="80"/>
      <c r="R9" s="80"/>
      <c r="T9" s="133" t="s">
        <v>18</v>
      </c>
      <c r="U9" s="80"/>
      <c r="V9" s="80"/>
      <c r="W9" s="80"/>
      <c r="X9" s="80"/>
      <c r="Y9" s="80"/>
      <c r="Z9" s="80"/>
      <c r="AA9" s="80"/>
      <c r="AB9" s="80"/>
    </row>
    <row r="10" spans="1:28" s="1" customFormat="1" ht="22.5" customHeight="1">
      <c r="A10" s="5"/>
      <c r="B10" s="10" t="s">
        <v>19</v>
      </c>
      <c r="C10" s="202" t="s">
        <v>20</v>
      </c>
      <c r="D10" s="202"/>
      <c r="E10" s="202"/>
      <c r="F10" s="202"/>
      <c r="G10" s="202"/>
      <c r="H10" s="196" t="s">
        <v>21</v>
      </c>
      <c r="I10" s="196"/>
      <c r="J10" s="197" t="str">
        <f>CONCATENATE(K9,," ",L9,"-",D12,"-",F12)</f>
        <v>056 25-CAV-S1-AP2-2</v>
      </c>
      <c r="K10" s="197"/>
      <c r="L10" s="198"/>
      <c r="Q10" s="80"/>
      <c r="R10" s="80"/>
      <c r="T10" s="133" t="s">
        <v>22</v>
      </c>
      <c r="U10" s="80"/>
      <c r="V10" s="80"/>
      <c r="W10" s="80"/>
      <c r="X10" s="80"/>
      <c r="Y10" s="80"/>
      <c r="Z10" s="80"/>
      <c r="AA10" s="80"/>
      <c r="AB10" s="80"/>
    </row>
    <row r="11" spans="1:28" s="1" customFormat="1" ht="3.95" customHeight="1" thickBot="1">
      <c r="A11" s="11"/>
      <c r="B11" s="199"/>
      <c r="C11" s="199"/>
      <c r="D11" s="199"/>
      <c r="E11" s="199"/>
      <c r="F11" s="199"/>
      <c r="G11" s="199"/>
      <c r="H11" s="199"/>
      <c r="I11" s="199"/>
      <c r="J11" s="199"/>
      <c r="K11" s="199"/>
      <c r="L11" s="85"/>
      <c r="Q11" s="80"/>
      <c r="R11" s="80"/>
      <c r="T11" s="133"/>
      <c r="U11" s="80"/>
      <c r="V11" s="80"/>
      <c r="W11" s="80"/>
      <c r="X11" s="80"/>
      <c r="Y11" s="80"/>
      <c r="Z11" s="80"/>
      <c r="AA11" s="80"/>
      <c r="AB11" s="80"/>
    </row>
    <row r="12" spans="1:28" s="1" customFormat="1" ht="22.5" customHeight="1">
      <c r="A12" s="6"/>
      <c r="B12" s="7" t="s">
        <v>23</v>
      </c>
      <c r="C12" s="12" t="s">
        <v>10</v>
      </c>
      <c r="D12" s="13" t="s">
        <v>94</v>
      </c>
      <c r="E12" s="14" t="s">
        <v>24</v>
      </c>
      <c r="F12" s="200">
        <v>2</v>
      </c>
      <c r="G12" s="200"/>
      <c r="H12" s="201" t="s">
        <v>25</v>
      </c>
      <c r="I12" s="201"/>
      <c r="J12" s="86">
        <v>1.5</v>
      </c>
      <c r="K12" s="87" t="s">
        <v>26</v>
      </c>
      <c r="L12" s="88">
        <v>1.7</v>
      </c>
      <c r="Q12" s="80"/>
      <c r="R12" s="80"/>
      <c r="T12" s="133"/>
      <c r="U12" s="80"/>
      <c r="V12" s="80"/>
      <c r="W12" s="80"/>
      <c r="X12" s="80"/>
      <c r="Y12" s="80"/>
      <c r="Z12" s="80"/>
      <c r="AA12" s="80"/>
      <c r="AB12" s="80"/>
    </row>
    <row r="13" spans="1:28" s="1" customFormat="1" ht="22.5" customHeight="1">
      <c r="A13" s="5"/>
      <c r="B13" s="9" t="s">
        <v>27</v>
      </c>
      <c r="C13" s="202" t="s">
        <v>95</v>
      </c>
      <c r="D13" s="202"/>
      <c r="E13" s="202"/>
      <c r="F13" s="202"/>
      <c r="G13" s="202"/>
      <c r="H13" s="202"/>
      <c r="I13" s="202"/>
      <c r="J13" s="202"/>
      <c r="K13" s="202"/>
      <c r="L13" s="203"/>
      <c r="O13" s="1">
        <f>-MOD1</f>
        <v>0</v>
      </c>
      <c r="Q13" s="80"/>
      <c r="R13" s="80"/>
      <c r="T13" s="133"/>
      <c r="U13" s="80"/>
      <c r="V13" s="80"/>
      <c r="W13" s="80"/>
      <c r="X13" s="80"/>
      <c r="Y13" s="80"/>
      <c r="Z13" s="80"/>
      <c r="AA13" s="80"/>
      <c r="AB13" s="80"/>
    </row>
    <row r="14" spans="1:28" s="1" customFormat="1" ht="6.95" customHeight="1" thickBot="1">
      <c r="A14" s="11"/>
      <c r="B14" s="15"/>
      <c r="C14" s="16"/>
      <c r="D14" s="16"/>
      <c r="E14" s="16"/>
      <c r="F14" s="16"/>
      <c r="G14" s="16"/>
      <c r="H14" s="16"/>
      <c r="I14" s="16"/>
      <c r="J14" s="16"/>
      <c r="K14" s="16"/>
      <c r="L14" s="89"/>
      <c r="P14" s="80"/>
      <c r="Q14" s="80"/>
      <c r="R14" s="80"/>
      <c r="S14" s="80"/>
      <c r="T14" s="80"/>
      <c r="U14" s="80"/>
      <c r="V14" s="80"/>
      <c r="W14" s="80"/>
      <c r="X14" s="80"/>
      <c r="Y14" s="80"/>
      <c r="Z14" s="80"/>
      <c r="AA14" s="80"/>
      <c r="AB14" s="80"/>
    </row>
    <row r="15" spans="1:28" ht="14.25" customHeight="1" thickBot="1">
      <c r="A15" s="17"/>
      <c r="B15" s="18"/>
      <c r="C15" s="18"/>
      <c r="D15" s="18"/>
      <c r="E15" s="18"/>
      <c r="F15" s="18"/>
      <c r="G15" s="18"/>
      <c r="H15" s="18"/>
      <c r="I15" s="18"/>
      <c r="J15" s="18"/>
      <c r="K15" s="18"/>
      <c r="L15" s="90"/>
    </row>
    <row r="16" spans="1:28" ht="22.5" customHeight="1" thickBot="1">
      <c r="A16" s="204"/>
      <c r="B16" s="205"/>
      <c r="C16" s="205"/>
      <c r="D16" s="205"/>
      <c r="E16" s="205"/>
      <c r="F16" s="205"/>
      <c r="G16" s="205"/>
      <c r="H16" s="205"/>
      <c r="I16" s="205"/>
      <c r="J16" s="205"/>
      <c r="K16" s="205"/>
      <c r="L16" s="206"/>
    </row>
    <row r="17" spans="1:16" ht="22.5" customHeight="1" thickBot="1">
      <c r="A17" s="17"/>
      <c r="B17" s="18"/>
      <c r="C17" s="18"/>
      <c r="D17" s="18"/>
      <c r="E17" s="18"/>
      <c r="F17" s="18"/>
      <c r="G17" s="19"/>
      <c r="H17" s="19"/>
      <c r="I17" s="19"/>
      <c r="J17" s="19"/>
      <c r="K17" s="19"/>
      <c r="L17" s="91"/>
    </row>
    <row r="18" spans="1:16" s="2" customFormat="1" ht="22.5" customHeight="1" thickBot="1">
      <c r="A18" s="207" t="s">
        <v>28</v>
      </c>
      <c r="B18" s="208"/>
      <c r="C18" s="208"/>
      <c r="D18" s="208"/>
      <c r="E18" s="209"/>
      <c r="F18" s="20"/>
      <c r="G18" s="207" t="s">
        <v>28</v>
      </c>
      <c r="H18" s="208"/>
      <c r="I18" s="208"/>
      <c r="J18" s="208"/>
      <c r="K18" s="208"/>
      <c r="L18" s="209"/>
      <c r="O18" s="92"/>
    </row>
    <row r="19" spans="1:16" s="2" customFormat="1" ht="27.75" customHeight="1" thickBot="1">
      <c r="A19" s="210"/>
      <c r="B19" s="211"/>
      <c r="C19" s="211"/>
      <c r="D19" s="22" t="s">
        <v>29</v>
      </c>
      <c r="E19" s="23" t="s">
        <v>30</v>
      </c>
      <c r="F19" s="24"/>
      <c r="G19" s="243" t="s">
        <v>31</v>
      </c>
      <c r="H19" s="244"/>
      <c r="I19" s="212" t="s">
        <v>32</v>
      </c>
      <c r="J19" s="213"/>
      <c r="K19" s="214" t="s">
        <v>33</v>
      </c>
      <c r="L19" s="215"/>
    </row>
    <row r="20" spans="1:16" s="2" customFormat="1" ht="22.5" customHeight="1">
      <c r="A20" s="216" t="s">
        <v>34</v>
      </c>
      <c r="B20" s="217"/>
      <c r="C20" s="25"/>
      <c r="D20" s="26">
        <v>700</v>
      </c>
      <c r="E20" s="27">
        <v>700</v>
      </c>
      <c r="F20" s="28"/>
      <c r="G20" s="245"/>
      <c r="H20" s="246"/>
      <c r="I20" s="93" t="s">
        <v>35</v>
      </c>
      <c r="J20" s="94" t="s">
        <v>36</v>
      </c>
      <c r="K20" s="95" t="s">
        <v>37</v>
      </c>
      <c r="L20" s="150" t="s">
        <v>36</v>
      </c>
      <c r="N20" s="92"/>
    </row>
    <row r="21" spans="1:16" s="2" customFormat="1" ht="22.5" customHeight="1">
      <c r="A21" s="216" t="s">
        <v>38</v>
      </c>
      <c r="B21" s="217"/>
      <c r="C21" s="25" t="s">
        <v>39</v>
      </c>
      <c r="D21" s="29">
        <v>15.3</v>
      </c>
      <c r="E21" s="30">
        <f>D21</f>
        <v>15.3</v>
      </c>
      <c r="F21" s="31"/>
      <c r="G21" s="96" t="s">
        <v>40</v>
      </c>
      <c r="H21" s="32" t="s">
        <v>41</v>
      </c>
      <c r="I21" s="96" t="s">
        <v>42</v>
      </c>
      <c r="J21" s="32" t="s">
        <v>43</v>
      </c>
      <c r="K21" s="96" t="s">
        <v>42</v>
      </c>
      <c r="L21" s="151" t="s">
        <v>43</v>
      </c>
      <c r="N21" s="97"/>
    </row>
    <row r="22" spans="1:16" s="2" customFormat="1" ht="22.5" customHeight="1">
      <c r="A22" s="216" t="s">
        <v>44</v>
      </c>
      <c r="B22" s="217"/>
      <c r="C22" s="25" t="s">
        <v>39</v>
      </c>
      <c r="D22" s="29">
        <v>15.5</v>
      </c>
      <c r="E22" s="30">
        <f>D22+E39</f>
        <v>15.5</v>
      </c>
      <c r="F22" s="31"/>
      <c r="G22" s="145">
        <v>0</v>
      </c>
      <c r="H22" s="33">
        <v>0</v>
      </c>
      <c r="I22" s="144">
        <v>0</v>
      </c>
      <c r="J22" s="143">
        <v>0</v>
      </c>
      <c r="K22" s="144">
        <v>0</v>
      </c>
      <c r="L22" s="152">
        <v>0</v>
      </c>
      <c r="N22" s="97"/>
    </row>
    <row r="23" spans="1:16" s="2" customFormat="1" ht="22.5" customHeight="1">
      <c r="A23" s="216" t="s">
        <v>45</v>
      </c>
      <c r="B23" s="217"/>
      <c r="C23" s="34" t="s">
        <v>46</v>
      </c>
      <c r="D23" s="35">
        <v>10698</v>
      </c>
      <c r="E23" s="36">
        <v>11068</v>
      </c>
      <c r="F23" s="31"/>
      <c r="G23" s="145">
        <v>5.0000000000000001E-3</v>
      </c>
      <c r="H23" s="33">
        <v>0.127</v>
      </c>
      <c r="I23" s="144">
        <v>0.153</v>
      </c>
      <c r="J23" s="33">
        <f t="shared" ref="J23:J34" si="0">((I23/19.32)*10)</f>
        <v>7.9192546583850942E-2</v>
      </c>
      <c r="K23" s="98">
        <v>3.9609628008752722E-2</v>
      </c>
      <c r="L23" s="153">
        <f t="shared" ref="L23:L34" si="1">((K23/19.32)*10)</f>
        <v>2.0501877851321283E-2</v>
      </c>
      <c r="N23" s="97"/>
      <c r="O23" s="2">
        <v>4.6599562363238499E-2</v>
      </c>
      <c r="P23" s="2">
        <f>O23*0.85</f>
        <v>3.9609628008752722E-2</v>
      </c>
    </row>
    <row r="24" spans="1:16" s="2" customFormat="1" ht="22.5" customHeight="1">
      <c r="A24" s="216" t="s">
        <v>47</v>
      </c>
      <c r="B24" s="217"/>
      <c r="C24" s="34" t="s">
        <v>46</v>
      </c>
      <c r="D24" s="35">
        <v>5782</v>
      </c>
      <c r="E24" s="37">
        <f>D24</f>
        <v>5782</v>
      </c>
      <c r="F24" s="38"/>
      <c r="G24" s="145">
        <v>2.5000000000000001E-2</v>
      </c>
      <c r="H24" s="33">
        <v>0.63500000000000001</v>
      </c>
      <c r="I24" s="144">
        <v>0.23799999999999999</v>
      </c>
      <c r="J24" s="33">
        <f t="shared" si="0"/>
        <v>0.12318840579710144</v>
      </c>
      <c r="K24" s="98">
        <v>8.0503865791392751E-2</v>
      </c>
      <c r="L24" s="153">
        <f t="shared" si="1"/>
        <v>4.1668667593888591E-2</v>
      </c>
      <c r="N24" s="97"/>
      <c r="O24" s="2">
        <v>9.4710430342814997E-2</v>
      </c>
      <c r="P24" s="2">
        <f t="shared" ref="P24:P34" si="2">O24*0.85</f>
        <v>8.0503865791392751E-2</v>
      </c>
    </row>
    <row r="25" spans="1:16" s="2" customFormat="1" ht="22.5" customHeight="1">
      <c r="A25" s="216" t="s">
        <v>48</v>
      </c>
      <c r="B25" s="217"/>
      <c r="C25" s="34" t="s">
        <v>46</v>
      </c>
      <c r="D25" s="39">
        <f>+D23-D24</f>
        <v>4916</v>
      </c>
      <c r="E25" s="40">
        <f>E23-E24</f>
        <v>5286</v>
      </c>
      <c r="F25" s="41"/>
      <c r="G25" s="145">
        <v>0.05</v>
      </c>
      <c r="H25" s="33">
        <v>1.27</v>
      </c>
      <c r="I25" s="144">
        <v>0.30199999999999999</v>
      </c>
      <c r="J25" s="33">
        <f t="shared" si="0"/>
        <v>0.15631469979296067</v>
      </c>
      <c r="K25" s="98">
        <v>0.10199999999999999</v>
      </c>
      <c r="L25" s="153">
        <f t="shared" si="1"/>
        <v>5.2795031055900617E-2</v>
      </c>
      <c r="N25" s="97"/>
      <c r="O25" s="2">
        <v>0.12</v>
      </c>
      <c r="P25" s="2">
        <f t="shared" si="2"/>
        <v>0.10199999999999999</v>
      </c>
    </row>
    <row r="26" spans="1:16" s="2" customFormat="1" ht="22.5" customHeight="1">
      <c r="A26" s="216" t="s">
        <v>49</v>
      </c>
      <c r="B26" s="217"/>
      <c r="C26" s="34" t="s">
        <v>50</v>
      </c>
      <c r="D26" s="39">
        <f>((PI()*(D21*D21))/4)*D22</f>
        <v>2849.7347690804845</v>
      </c>
      <c r="E26" s="40">
        <f>((PI()*(E21*E21))/4)*E22</f>
        <v>2849.7347690804845</v>
      </c>
      <c r="F26" s="41"/>
      <c r="G26" s="145">
        <v>7.4999999999999997E-2</v>
      </c>
      <c r="H26" s="33">
        <v>1.905</v>
      </c>
      <c r="I26" s="144">
        <v>0.35799999999999998</v>
      </c>
      <c r="J26" s="33">
        <f t="shared" si="0"/>
        <v>0.18530020703933747</v>
      </c>
      <c r="K26" s="98">
        <v>0.14959999999999998</v>
      </c>
      <c r="L26" s="153">
        <f t="shared" si="1"/>
        <v>7.7432712215320901E-2</v>
      </c>
      <c r="N26" s="97"/>
      <c r="O26" s="2">
        <v>0.17599999999999999</v>
      </c>
      <c r="P26" s="2">
        <f t="shared" si="2"/>
        <v>0.14959999999999998</v>
      </c>
    </row>
    <row r="27" spans="1:16" s="2" customFormat="1" ht="22.5" customHeight="1">
      <c r="A27" s="216" t="s">
        <v>51</v>
      </c>
      <c r="B27" s="217"/>
      <c r="C27" s="34" t="s">
        <v>52</v>
      </c>
      <c r="D27" s="42">
        <f>D25/D26</f>
        <v>1.7250728219827389</v>
      </c>
      <c r="E27" s="43">
        <f>E25/E26</f>
        <v>1.8549094664362811</v>
      </c>
      <c r="F27" s="44"/>
      <c r="G27" s="146">
        <v>0.1</v>
      </c>
      <c r="H27" s="45">
        <v>2.54</v>
      </c>
      <c r="I27" s="154">
        <v>0.40799999999999997</v>
      </c>
      <c r="J27" s="45">
        <f t="shared" si="0"/>
        <v>0.21118012422360247</v>
      </c>
      <c r="K27" s="158">
        <v>0.19039999999999999</v>
      </c>
      <c r="L27" s="155">
        <f t="shared" si="1"/>
        <v>9.855072463768115E-2</v>
      </c>
      <c r="N27" s="97"/>
      <c r="O27" s="2">
        <v>0.224</v>
      </c>
      <c r="P27" s="2">
        <f t="shared" si="2"/>
        <v>0.19039999999999999</v>
      </c>
    </row>
    <row r="28" spans="1:16" s="2" customFormat="1" ht="22.5" customHeight="1" thickBot="1">
      <c r="A28" s="218" t="s">
        <v>53</v>
      </c>
      <c r="B28" s="219"/>
      <c r="C28" s="46" t="s">
        <v>52</v>
      </c>
      <c r="D28" s="47">
        <f>D27/(1+D34/100)</f>
        <v>1.4740999477840064</v>
      </c>
      <c r="E28" s="48">
        <f>E27/(1+E34/100)</f>
        <v>1.4818791201967532</v>
      </c>
      <c r="F28" s="49"/>
      <c r="G28" s="145">
        <v>0.125</v>
      </c>
      <c r="H28" s="33">
        <v>3.1749999999999998</v>
      </c>
      <c r="I28" s="144">
        <v>0.47</v>
      </c>
      <c r="J28" s="33">
        <f t="shared" si="0"/>
        <v>0.24327122153209108</v>
      </c>
      <c r="K28" s="98">
        <v>0.22612107950401167</v>
      </c>
      <c r="L28" s="153">
        <f t="shared" si="1"/>
        <v>0.11703989622360852</v>
      </c>
      <c r="N28" s="97"/>
      <c r="O28" s="2">
        <v>0.26602479941648433</v>
      </c>
      <c r="P28" s="2">
        <f t="shared" si="2"/>
        <v>0.22612107950401167</v>
      </c>
    </row>
    <row r="29" spans="1:16" s="2" customFormat="1" ht="22.5" customHeight="1" thickBot="1">
      <c r="A29" s="207" t="s">
        <v>54</v>
      </c>
      <c r="B29" s="208" t="s">
        <v>54</v>
      </c>
      <c r="C29" s="208"/>
      <c r="D29" s="208"/>
      <c r="E29" s="209"/>
      <c r="F29" s="49"/>
      <c r="G29" s="147">
        <v>0.15</v>
      </c>
      <c r="H29" s="33">
        <v>3.81</v>
      </c>
      <c r="I29" s="144">
        <v>0.52900000000000003</v>
      </c>
      <c r="J29" s="33">
        <f t="shared" si="0"/>
        <v>0.27380952380952384</v>
      </c>
      <c r="K29" s="98">
        <v>0.25450649161196209</v>
      </c>
      <c r="L29" s="153">
        <f t="shared" si="1"/>
        <v>0.13173213851550833</v>
      </c>
      <c r="N29" s="97"/>
      <c r="O29" s="2">
        <v>0.29941940189642602</v>
      </c>
      <c r="P29" s="2">
        <f t="shared" si="2"/>
        <v>0.25450649161196209</v>
      </c>
    </row>
    <row r="30" spans="1:16" s="2" customFormat="1" ht="22.5" customHeight="1">
      <c r="A30" s="258" t="s">
        <v>55</v>
      </c>
      <c r="B30" s="259"/>
      <c r="C30" s="50"/>
      <c r="D30" s="51">
        <v>638</v>
      </c>
      <c r="E30" s="52">
        <v>737</v>
      </c>
      <c r="F30" s="44"/>
      <c r="G30" s="145">
        <v>0.17499999999999999</v>
      </c>
      <c r="H30" s="33">
        <v>4.4450000000000003</v>
      </c>
      <c r="I30" s="144">
        <v>0.59199999999999997</v>
      </c>
      <c r="J30" s="33">
        <f t="shared" si="0"/>
        <v>0.30641821946169773</v>
      </c>
      <c r="K30" s="98">
        <v>0.28481633843909548</v>
      </c>
      <c r="L30" s="153">
        <f t="shared" si="1"/>
        <v>0.14742046503058773</v>
      </c>
      <c r="N30" s="97"/>
      <c r="O30" s="2">
        <v>0.33507804522246531</v>
      </c>
      <c r="P30" s="2">
        <f t="shared" si="2"/>
        <v>0.28481633843909548</v>
      </c>
    </row>
    <row r="31" spans="1:16" s="2" customFormat="1" ht="22.5" customHeight="1">
      <c r="A31" s="216" t="s">
        <v>56</v>
      </c>
      <c r="B31" s="217"/>
      <c r="C31" s="25" t="s">
        <v>46</v>
      </c>
      <c r="D31" s="53">
        <v>232.6</v>
      </c>
      <c r="E31" s="54">
        <v>574.67999999999995</v>
      </c>
      <c r="F31" s="41"/>
      <c r="G31" s="146">
        <v>0.2</v>
      </c>
      <c r="H31" s="45">
        <v>5.08</v>
      </c>
      <c r="I31" s="154">
        <v>0.64600000000000002</v>
      </c>
      <c r="J31" s="45">
        <f t="shared" si="0"/>
        <v>0.33436853002070394</v>
      </c>
      <c r="K31" s="158">
        <v>0.31079620714806716</v>
      </c>
      <c r="L31" s="155">
        <f t="shared" si="1"/>
        <v>0.16086760204351302</v>
      </c>
      <c r="N31" s="97"/>
      <c r="O31" s="2">
        <v>0.36564259664478488</v>
      </c>
      <c r="P31" s="2">
        <f t="shared" si="2"/>
        <v>0.31079620714806716</v>
      </c>
    </row>
    <row r="32" spans="1:16" s="2" customFormat="1" ht="22.5" customHeight="1">
      <c r="A32" s="216" t="s">
        <v>57</v>
      </c>
      <c r="B32" s="217"/>
      <c r="C32" s="25" t="s">
        <v>46</v>
      </c>
      <c r="D32" s="53">
        <v>204.29</v>
      </c>
      <c r="E32" s="54">
        <v>469.06</v>
      </c>
      <c r="F32" s="49"/>
      <c r="G32" s="145">
        <v>0.3</v>
      </c>
      <c r="H32" s="33">
        <v>7.62</v>
      </c>
      <c r="I32" s="144">
        <v>0.90100000000000002</v>
      </c>
      <c r="J32" s="33">
        <f t="shared" si="0"/>
        <v>0.46635610766045549</v>
      </c>
      <c r="K32" s="98">
        <v>0.43347892049598835</v>
      </c>
      <c r="L32" s="153">
        <f t="shared" si="1"/>
        <v>0.22436797127121549</v>
      </c>
      <c r="N32" s="97"/>
      <c r="O32" s="2">
        <v>0.50997520058351575</v>
      </c>
      <c r="P32" s="2">
        <f t="shared" si="2"/>
        <v>0.43347892049598835</v>
      </c>
    </row>
    <row r="33" spans="1:18" s="2" customFormat="1" ht="22.5" customHeight="1">
      <c r="A33" s="216" t="s">
        <v>58</v>
      </c>
      <c r="B33" s="217"/>
      <c r="C33" s="25" t="s">
        <v>46</v>
      </c>
      <c r="D33" s="53">
        <v>38.01</v>
      </c>
      <c r="E33" s="54">
        <v>49.48</v>
      </c>
      <c r="F33" s="49"/>
      <c r="G33" s="145">
        <v>0.4</v>
      </c>
      <c r="H33" s="33">
        <v>10.16</v>
      </c>
      <c r="I33" s="144">
        <v>1.1519999999999999</v>
      </c>
      <c r="J33" s="33">
        <f t="shared" si="0"/>
        <v>0.59627329192546574</v>
      </c>
      <c r="K33" s="98">
        <v>0.54484999999999995</v>
      </c>
      <c r="L33" s="153">
        <f t="shared" si="1"/>
        <v>0.2820134575569358</v>
      </c>
      <c r="N33" s="97"/>
      <c r="O33" s="2">
        <v>0.64100000000000001</v>
      </c>
      <c r="P33" s="2">
        <f t="shared" si="2"/>
        <v>0.54484999999999995</v>
      </c>
    </row>
    <row r="34" spans="1:18" s="2" customFormat="1" ht="22.5" customHeight="1" thickBot="1">
      <c r="A34" s="218" t="s">
        <v>59</v>
      </c>
      <c r="B34" s="219"/>
      <c r="C34" s="46" t="s">
        <v>60</v>
      </c>
      <c r="D34" s="48">
        <f>((D31-D32)/(D32-D33))*100</f>
        <v>17.025499158046671</v>
      </c>
      <c r="E34" s="48">
        <f>((E31-E32)/(E32-E33))*100</f>
        <v>25.172791839458498</v>
      </c>
      <c r="F34" s="49"/>
      <c r="G34" s="148">
        <v>0.5</v>
      </c>
      <c r="H34" s="149">
        <v>12.7</v>
      </c>
      <c r="I34" s="156">
        <v>1.371</v>
      </c>
      <c r="J34" s="149">
        <f t="shared" si="0"/>
        <v>0.70962732919254656</v>
      </c>
      <c r="K34" s="159">
        <v>0.62559999999999993</v>
      </c>
      <c r="L34" s="157">
        <f t="shared" si="1"/>
        <v>0.32380952380952377</v>
      </c>
      <c r="N34" s="97"/>
      <c r="O34" s="2">
        <v>0.73599999999999999</v>
      </c>
      <c r="P34" s="2">
        <f t="shared" si="2"/>
        <v>0.62559999999999993</v>
      </c>
    </row>
    <row r="35" spans="1:18" s="2" customFormat="1" ht="11.25" customHeight="1" thickBot="1">
      <c r="A35" s="55"/>
      <c r="B35" s="56"/>
      <c r="C35" s="57"/>
      <c r="D35" s="58"/>
      <c r="E35" s="58"/>
      <c r="F35" s="59"/>
      <c r="G35" s="58"/>
      <c r="H35" s="58"/>
      <c r="I35" s="58"/>
      <c r="J35" s="58"/>
      <c r="K35" s="58"/>
      <c r="L35" s="99"/>
      <c r="N35" s="97"/>
    </row>
    <row r="36" spans="1:18" s="2" customFormat="1" ht="22.5" customHeight="1" thickBot="1">
      <c r="A36" s="247" t="s">
        <v>61</v>
      </c>
      <c r="B36" s="248"/>
      <c r="C36" s="248"/>
      <c r="D36" s="248"/>
      <c r="E36" s="249"/>
      <c r="F36" s="60"/>
      <c r="G36" s="60"/>
      <c r="H36" s="207" t="s">
        <v>62</v>
      </c>
      <c r="I36" s="208"/>
      <c r="J36" s="208"/>
      <c r="K36" s="209"/>
      <c r="L36" s="100"/>
    </row>
    <row r="37" spans="1:18" s="2" customFormat="1" ht="22.5" customHeight="1" thickBot="1">
      <c r="A37" s="250" t="s">
        <v>63</v>
      </c>
      <c r="B37" s="251"/>
      <c r="C37" s="61" t="s">
        <v>64</v>
      </c>
      <c r="D37" s="252">
        <v>0.86450000000000005</v>
      </c>
      <c r="E37" s="253"/>
      <c r="F37" s="62"/>
      <c r="G37" s="62"/>
      <c r="H37" s="63" t="s">
        <v>65</v>
      </c>
      <c r="I37" s="101" t="s">
        <v>86</v>
      </c>
      <c r="J37" s="63" t="s">
        <v>66</v>
      </c>
      <c r="K37" s="102" t="s">
        <v>67</v>
      </c>
      <c r="L37" s="99"/>
    </row>
    <row r="38" spans="1:18" s="2" customFormat="1" ht="22.5" customHeight="1" thickBot="1">
      <c r="A38" s="224" t="s">
        <v>68</v>
      </c>
      <c r="B38" s="225"/>
      <c r="C38" s="64" t="s">
        <v>64</v>
      </c>
      <c r="D38" s="254">
        <v>0.74550000000000005</v>
      </c>
      <c r="E38" s="255"/>
      <c r="F38" s="62"/>
      <c r="G38" s="62"/>
      <c r="H38" s="256" t="s">
        <v>69</v>
      </c>
      <c r="I38" s="257"/>
      <c r="J38" s="256" t="s">
        <v>70</v>
      </c>
      <c r="K38" s="257"/>
      <c r="L38" s="99"/>
    </row>
    <row r="39" spans="1:18" s="2" customFormat="1" ht="22.5" customHeight="1" thickBot="1">
      <c r="A39" s="224" t="s">
        <v>71</v>
      </c>
      <c r="B39" s="225"/>
      <c r="C39" s="65" t="s">
        <v>39</v>
      </c>
      <c r="D39" s="226">
        <f>(D38-D37)*2.54</f>
        <v>-0.30225999999999997</v>
      </c>
      <c r="E39" s="227"/>
      <c r="F39" s="31"/>
      <c r="G39" s="31"/>
      <c r="H39" s="66" t="s">
        <v>72</v>
      </c>
      <c r="I39" s="103">
        <v>4556</v>
      </c>
      <c r="J39" s="228">
        <v>4</v>
      </c>
      <c r="K39" s="229"/>
      <c r="L39" s="99"/>
    </row>
    <row r="40" spans="1:18" s="2" customFormat="1" ht="22.5" customHeight="1" thickBot="1">
      <c r="A40" s="230" t="s">
        <v>73</v>
      </c>
      <c r="B40" s="231"/>
      <c r="C40" s="67" t="s">
        <v>60</v>
      </c>
      <c r="D40" s="232">
        <f>IF(D39&lt;&gt;"",IF(D22&lt;&gt;"",D39/D22*100,""),"")</f>
        <v>-1.9500645161290322</v>
      </c>
      <c r="E40" s="233"/>
      <c r="F40" s="68"/>
      <c r="G40" s="68"/>
      <c r="H40" s="69" t="s">
        <v>33</v>
      </c>
      <c r="I40" s="103">
        <v>4556</v>
      </c>
      <c r="J40" s="234">
        <v>4</v>
      </c>
      <c r="K40" s="235"/>
      <c r="L40" s="99"/>
      <c r="P40" s="105"/>
      <c r="Q40" s="105"/>
      <c r="R40" s="134"/>
    </row>
    <row r="41" spans="1:18" s="2" customFormat="1" ht="33" customHeight="1" thickBot="1">
      <c r="A41" s="70"/>
      <c r="B41" s="58"/>
      <c r="C41" s="58"/>
      <c r="D41" s="58"/>
      <c r="E41" s="58"/>
      <c r="F41" s="71"/>
      <c r="G41" s="58"/>
      <c r="H41" s="72"/>
      <c r="I41" s="106"/>
      <c r="J41" s="107" t="str">
        <f>I19</f>
        <v>ANTES DE INMERSIÓN</v>
      </c>
      <c r="K41" s="107" t="str">
        <f>K19</f>
        <v xml:space="preserve">DESPUÉS DE INMERSIÓN </v>
      </c>
      <c r="L41" s="108"/>
      <c r="M41" s="20"/>
      <c r="P41" s="109"/>
      <c r="Q41" s="135"/>
      <c r="R41" s="136"/>
    </row>
    <row r="42" spans="1:18" s="2" customFormat="1" ht="22.5" customHeight="1">
      <c r="A42" s="70"/>
      <c r="B42" s="58"/>
      <c r="C42" s="58"/>
      <c r="D42" s="58"/>
      <c r="E42" s="58"/>
      <c r="F42" s="58"/>
      <c r="G42" s="58"/>
      <c r="H42" s="21" t="s">
        <v>74</v>
      </c>
      <c r="I42" s="110" t="s">
        <v>60</v>
      </c>
      <c r="J42" s="111">
        <f>(J27/6.9)*100</f>
        <v>3.0605815104869918</v>
      </c>
      <c r="K42" s="112">
        <f>(L27/6.9)*100</f>
        <v>1.4282713715605961</v>
      </c>
      <c r="L42" s="99"/>
      <c r="P42" s="113"/>
      <c r="Q42" s="137"/>
      <c r="R42" s="136"/>
    </row>
    <row r="43" spans="1:18" s="2" customFormat="1" ht="22.5" customHeight="1" thickBot="1">
      <c r="A43" s="70"/>
      <c r="B43" s="73"/>
      <c r="C43" s="58"/>
      <c r="D43" s="58"/>
      <c r="E43" s="58"/>
      <c r="F43" s="58"/>
      <c r="G43" s="58"/>
      <c r="H43" s="74" t="s">
        <v>75</v>
      </c>
      <c r="I43" s="114" t="s">
        <v>60</v>
      </c>
      <c r="J43" s="115">
        <f>(J31/10.3)*100</f>
        <v>3.246296407967999</v>
      </c>
      <c r="K43" s="116">
        <f>(L31/10.3)*100</f>
        <v>1.5618213790632332</v>
      </c>
      <c r="L43" s="99"/>
      <c r="P43" s="117"/>
      <c r="Q43" s="138"/>
      <c r="R43" s="139"/>
    </row>
    <row r="44" spans="1:18" s="2" customFormat="1" ht="22.5" customHeight="1" thickBot="1">
      <c r="A44" s="70"/>
      <c r="B44" s="73"/>
      <c r="C44" s="73"/>
      <c r="D44" s="73"/>
      <c r="E44" s="58"/>
      <c r="F44" s="58"/>
      <c r="G44" s="58"/>
      <c r="H44" s="74" t="s">
        <v>76</v>
      </c>
      <c r="I44" s="114"/>
      <c r="J44" s="118">
        <f>IF(J42&lt;J43,J42,J43)</f>
        <v>3.0605815104869918</v>
      </c>
      <c r="K44" s="119">
        <f>IF(K42&lt;K43,K42,K43)</f>
        <v>1.4282713715605961</v>
      </c>
      <c r="L44" s="120"/>
      <c r="M44" s="121"/>
    </row>
    <row r="45" spans="1:18" s="2" customFormat="1" ht="22.5" customHeight="1">
      <c r="A45" s="70"/>
      <c r="B45" s="58"/>
      <c r="C45" s="58"/>
      <c r="D45" s="59"/>
      <c r="E45" s="59"/>
      <c r="F45" s="59"/>
      <c r="G45" s="58"/>
      <c r="H45" s="4"/>
      <c r="I45" s="122"/>
      <c r="J45" s="122"/>
      <c r="K45" s="122"/>
      <c r="L45" s="99"/>
    </row>
    <row r="46" spans="1:18" s="2" customFormat="1" ht="22.5" customHeight="1">
      <c r="A46" s="70"/>
      <c r="B46" s="58"/>
      <c r="C46" s="58"/>
      <c r="D46" s="59"/>
      <c r="E46" s="59"/>
      <c r="F46" s="59"/>
      <c r="G46" s="58"/>
      <c r="H46" s="222" t="s">
        <v>77</v>
      </c>
      <c r="I46" s="222"/>
      <c r="J46" s="222" t="s">
        <v>78</v>
      </c>
      <c r="K46" s="222"/>
      <c r="L46" s="223"/>
    </row>
    <row r="47" spans="1:18" s="2" customFormat="1" ht="22.5" customHeight="1">
      <c r="A47" s="70"/>
      <c r="B47" s="56"/>
      <c r="C47" s="75"/>
      <c r="D47" s="76"/>
      <c r="E47" s="59"/>
      <c r="F47" s="59"/>
      <c r="G47" s="59"/>
      <c r="H47" s="77"/>
      <c r="I47" s="123"/>
      <c r="J47" s="77"/>
      <c r="K47" s="123"/>
      <c r="L47" s="124"/>
    </row>
    <row r="48" spans="1:18" s="2" customFormat="1" ht="22.5" customHeight="1">
      <c r="A48" s="70"/>
      <c r="B48" s="56"/>
      <c r="C48" s="75"/>
      <c r="D48" s="76"/>
      <c r="E48" s="59"/>
      <c r="F48" s="59"/>
      <c r="G48" s="59"/>
      <c r="H48" s="77"/>
      <c r="I48" s="123"/>
      <c r="J48" s="77"/>
      <c r="K48" s="123"/>
      <c r="L48" s="124"/>
    </row>
    <row r="49" spans="1:15" s="2" customFormat="1" ht="22.5" customHeight="1">
      <c r="A49" s="70"/>
      <c r="B49" s="56"/>
      <c r="C49" s="75"/>
      <c r="D49" s="76"/>
      <c r="E49" s="59"/>
      <c r="F49" s="59"/>
      <c r="G49" s="59"/>
      <c r="H49" s="77"/>
      <c r="I49" s="123"/>
      <c r="J49" s="77"/>
      <c r="K49"/>
      <c r="L49" s="124"/>
    </row>
    <row r="50" spans="1:15" s="2" customFormat="1" ht="22.5" customHeight="1">
      <c r="A50" s="70"/>
      <c r="B50" s="56"/>
      <c r="C50" s="75"/>
      <c r="D50" s="76"/>
      <c r="E50" s="59"/>
      <c r="F50" s="59"/>
      <c r="G50" s="59"/>
      <c r="H50" s="78"/>
      <c r="I50" s="78"/>
      <c r="J50" s="77"/>
      <c r="K50" s="123"/>
      <c r="L50" s="124"/>
    </row>
    <row r="51" spans="1:15" s="2" customFormat="1" ht="22.5" customHeight="1">
      <c r="A51" s="70"/>
      <c r="B51" s="56"/>
      <c r="C51" s="75"/>
      <c r="D51" s="76"/>
      <c r="E51" s="59"/>
      <c r="F51" s="59"/>
      <c r="G51" s="59"/>
      <c r="H51" s="220" t="s">
        <v>79</v>
      </c>
      <c r="I51" s="220"/>
      <c r="J51" s="220" t="s">
        <v>87</v>
      </c>
      <c r="K51" s="220"/>
      <c r="L51" s="221"/>
    </row>
    <row r="52" spans="1:15" s="2" customFormat="1" ht="22.5" customHeight="1">
      <c r="A52" s="70"/>
      <c r="B52" s="56"/>
      <c r="C52" s="75"/>
      <c r="D52" s="76"/>
      <c r="E52" s="59"/>
      <c r="F52" s="59"/>
      <c r="G52" s="59"/>
      <c r="H52" s="222" t="s">
        <v>80</v>
      </c>
      <c r="I52" s="222"/>
      <c r="J52" s="222" t="s">
        <v>81</v>
      </c>
      <c r="K52" s="222"/>
      <c r="L52" s="223"/>
    </row>
    <row r="53" spans="1:15" s="2" customFormat="1" ht="22.5" customHeight="1">
      <c r="A53" s="70"/>
      <c r="B53" s="56"/>
      <c r="C53" s="75"/>
      <c r="D53" s="76"/>
      <c r="E53" s="59"/>
      <c r="F53" s="59"/>
      <c r="G53" s="59"/>
      <c r="H53" s="186"/>
      <c r="I53" s="186"/>
      <c r="J53" s="186"/>
      <c r="K53" s="186"/>
      <c r="L53" s="99"/>
    </row>
    <row r="54" spans="1:15" s="2" customFormat="1" ht="22.5" customHeight="1">
      <c r="A54" s="70"/>
      <c r="B54" s="56"/>
      <c r="C54" s="75"/>
      <c r="D54" s="76"/>
      <c r="E54" s="59"/>
      <c r="F54" s="59"/>
      <c r="G54" s="59"/>
      <c r="H54" s="58"/>
      <c r="I54" s="58"/>
      <c r="J54" s="125"/>
      <c r="K54" s="58"/>
      <c r="L54" s="99"/>
      <c r="M54" s="126"/>
      <c r="N54" s="3"/>
    </row>
    <row r="55" spans="1:15" s="2" customFormat="1" ht="22.5" customHeight="1">
      <c r="A55" s="70"/>
      <c r="B55" s="56"/>
      <c r="C55" s="75"/>
      <c r="D55" s="76"/>
      <c r="E55" s="59"/>
      <c r="F55" s="59"/>
      <c r="G55" s="59"/>
      <c r="H55" s="58"/>
      <c r="I55" s="58"/>
      <c r="J55" s="127"/>
      <c r="K55" s="125"/>
      <c r="L55" s="128"/>
      <c r="M55" s="129"/>
      <c r="N55" s="3"/>
    </row>
    <row r="56" spans="1:15" s="2" customFormat="1" ht="22.5" customHeight="1">
      <c r="A56" s="264" t="s">
        <v>82</v>
      </c>
      <c r="B56" s="265"/>
      <c r="C56" s="265"/>
      <c r="D56" s="265"/>
      <c r="E56" s="265"/>
      <c r="F56" s="265"/>
      <c r="G56" s="265"/>
      <c r="H56" s="265"/>
      <c r="I56" s="265"/>
      <c r="J56" s="265"/>
      <c r="K56" s="265"/>
      <c r="L56" s="266"/>
      <c r="M56" s="130"/>
      <c r="N56" s="3"/>
      <c r="O56" s="3"/>
    </row>
    <row r="57" spans="1:15" s="2" customFormat="1" ht="22.5" customHeight="1">
      <c r="A57" s="261" t="s">
        <v>83</v>
      </c>
      <c r="B57" s="262"/>
      <c r="C57" s="262"/>
      <c r="D57" s="262"/>
      <c r="E57" s="262"/>
      <c r="F57" s="262"/>
      <c r="G57" s="262"/>
      <c r="H57" s="262"/>
      <c r="I57" s="262"/>
      <c r="J57" s="262"/>
      <c r="K57" s="262"/>
      <c r="L57" s="263"/>
      <c r="M57" s="3"/>
      <c r="N57" s="3"/>
      <c r="O57" s="3"/>
    </row>
    <row r="58" spans="1:15" s="2" customFormat="1" ht="22.5" customHeight="1">
      <c r="A58" s="261"/>
      <c r="B58" s="262"/>
      <c r="C58" s="262"/>
      <c r="D58" s="262"/>
      <c r="E58" s="262"/>
      <c r="F58" s="262"/>
      <c r="G58" s="262"/>
      <c r="H58" s="262"/>
      <c r="I58" s="262"/>
      <c r="J58" s="262"/>
      <c r="K58" s="262"/>
      <c r="L58" s="263"/>
      <c r="M58" s="3"/>
      <c r="N58" s="3"/>
      <c r="O58" s="3"/>
    </row>
    <row r="59" spans="1:15" ht="15" thickBot="1">
      <c r="A59" s="267" t="s">
        <v>84</v>
      </c>
      <c r="B59" s="268"/>
      <c r="C59" s="268"/>
      <c r="D59" s="268"/>
      <c r="E59" s="268"/>
      <c r="F59" s="268"/>
      <c r="G59" s="268"/>
      <c r="H59" s="268"/>
      <c r="I59" s="268"/>
      <c r="J59" s="268"/>
      <c r="K59" s="268"/>
      <c r="L59" s="269"/>
    </row>
    <row r="63" spans="1:15">
      <c r="I63" s="79"/>
      <c r="J63" s="79"/>
      <c r="K63" s="79"/>
      <c r="L63" s="79"/>
      <c r="M63" s="79"/>
      <c r="N63" s="79"/>
    </row>
    <row r="64" spans="1:15" ht="15" customHeight="1">
      <c r="E64" s="79"/>
      <c r="F64" s="79"/>
      <c r="G64" s="79"/>
      <c r="H64" s="79"/>
      <c r="I64" s="131"/>
      <c r="J64" s="131"/>
      <c r="K64" s="131"/>
      <c r="L64" s="131"/>
      <c r="M64" s="131"/>
      <c r="N64" s="131"/>
    </row>
    <row r="65" spans="2:18" ht="15" customHeight="1">
      <c r="E65" s="131"/>
      <c r="F65" s="131"/>
      <c r="G65" s="131"/>
      <c r="H65" s="131"/>
      <c r="I65" s="131"/>
      <c r="J65" s="131"/>
      <c r="K65" s="131"/>
      <c r="L65" s="131"/>
      <c r="M65" s="131"/>
      <c r="N65" s="131"/>
    </row>
    <row r="66" spans="2:18" ht="15" customHeight="1">
      <c r="E66" s="131"/>
      <c r="F66" s="131"/>
      <c r="G66" s="131"/>
      <c r="H66" s="131"/>
      <c r="I66" s="131"/>
      <c r="J66" s="131"/>
      <c r="K66" s="131"/>
      <c r="L66" s="131"/>
      <c r="M66" s="131"/>
      <c r="N66" s="131"/>
    </row>
    <row r="67" spans="2:18" ht="30.75" customHeight="1">
      <c r="E67" s="131"/>
      <c r="F67" s="131"/>
      <c r="G67" s="131"/>
      <c r="H67" s="131"/>
      <c r="I67" s="140"/>
      <c r="J67" s="140"/>
      <c r="K67" s="140"/>
      <c r="L67" s="140"/>
      <c r="M67" s="140"/>
      <c r="N67" s="140"/>
    </row>
    <row r="68" spans="2:18" ht="15" customHeight="1">
      <c r="E68" s="140"/>
      <c r="F68" s="140"/>
      <c r="G68" s="140"/>
      <c r="H68" s="140"/>
      <c r="I68" s="140"/>
      <c r="J68" s="140"/>
      <c r="K68" s="140"/>
      <c r="L68" s="140"/>
      <c r="M68" s="140"/>
      <c r="N68" s="140"/>
    </row>
    <row r="69" spans="2:18" ht="15" customHeight="1">
      <c r="E69" s="140"/>
      <c r="F69" s="140"/>
      <c r="G69" s="140"/>
      <c r="H69" s="140"/>
    </row>
    <row r="70" spans="2:18" ht="31.5" customHeight="1">
      <c r="E70" s="270"/>
      <c r="F70" s="270"/>
      <c r="G70" s="270"/>
      <c r="H70" s="270"/>
      <c r="I70" s="270"/>
      <c r="J70" s="270"/>
      <c r="K70" s="270"/>
      <c r="L70" s="270"/>
      <c r="M70" s="270"/>
      <c r="N70" s="270"/>
      <c r="O70" s="270"/>
      <c r="P70" s="270"/>
    </row>
    <row r="71" spans="2:18" ht="24" customHeight="1">
      <c r="B71" s="141"/>
      <c r="C71" s="142"/>
      <c r="D71" s="142"/>
      <c r="E71" s="142"/>
      <c r="F71" s="142"/>
      <c r="G71" s="142"/>
      <c r="H71" s="142"/>
      <c r="I71" s="142"/>
      <c r="J71" s="142"/>
      <c r="K71" s="142"/>
      <c r="L71" s="142"/>
      <c r="M71" s="142"/>
      <c r="N71" s="142"/>
      <c r="O71" s="142"/>
      <c r="P71" s="142"/>
      <c r="Q71" s="142"/>
      <c r="R71" s="142"/>
    </row>
    <row r="72" spans="2:18" ht="15" customHeight="1">
      <c r="B72" s="142"/>
      <c r="C72" s="142"/>
      <c r="D72" s="260"/>
      <c r="E72" s="260"/>
      <c r="F72" s="260"/>
      <c r="G72" s="260"/>
      <c r="H72" s="260"/>
      <c r="I72" s="260"/>
      <c r="J72" s="260"/>
      <c r="K72" s="260"/>
      <c r="L72" s="260"/>
      <c r="M72" s="260"/>
      <c r="N72" s="260"/>
      <c r="O72" s="260"/>
      <c r="P72" s="142"/>
      <c r="Q72" s="142"/>
      <c r="R72" s="142"/>
    </row>
    <row r="73" spans="2:18">
      <c r="D73" s="260"/>
      <c r="E73" s="260"/>
      <c r="F73" s="260"/>
      <c r="G73" s="260"/>
      <c r="H73" s="260"/>
      <c r="I73" s="260"/>
      <c r="J73" s="260"/>
      <c r="K73" s="260"/>
      <c r="L73" s="260"/>
      <c r="M73" s="260"/>
      <c r="N73" s="260"/>
      <c r="O73" s="260"/>
    </row>
  </sheetData>
  <sheetProtection formatCells="0" formatColumns="0" insertColumns="0" insertRows="0" deleteColumns="0" deleteRows="0"/>
  <mergeCells count="74">
    <mergeCell ref="A1:B4"/>
    <mergeCell ref="C1:J1"/>
    <mergeCell ref="K1:L1"/>
    <mergeCell ref="C2:J4"/>
    <mergeCell ref="K2:L2"/>
    <mergeCell ref="K3:L3"/>
    <mergeCell ref="K4:L4"/>
    <mergeCell ref="B5:K5"/>
    <mergeCell ref="C6:G6"/>
    <mergeCell ref="H6:I6"/>
    <mergeCell ref="J6:L6"/>
    <mergeCell ref="C7:G7"/>
    <mergeCell ref="H7:I7"/>
    <mergeCell ref="J7:L7"/>
    <mergeCell ref="A18:E18"/>
    <mergeCell ref="G18:L18"/>
    <mergeCell ref="C8:G8"/>
    <mergeCell ref="H8:I8"/>
    <mergeCell ref="J8:L8"/>
    <mergeCell ref="C9:G9"/>
    <mergeCell ref="H9:I9"/>
    <mergeCell ref="C10:G10"/>
    <mergeCell ref="H10:I10"/>
    <mergeCell ref="J10:L10"/>
    <mergeCell ref="B11:K11"/>
    <mergeCell ref="F12:G12"/>
    <mergeCell ref="H12:I12"/>
    <mergeCell ref="C13:L13"/>
    <mergeCell ref="A16:L16"/>
    <mergeCell ref="A27:B27"/>
    <mergeCell ref="A19:C19"/>
    <mergeCell ref="G19:H20"/>
    <mergeCell ref="I19:J19"/>
    <mergeCell ref="K19:L19"/>
    <mergeCell ref="A20:B20"/>
    <mergeCell ref="A21:B21"/>
    <mergeCell ref="A22:B22"/>
    <mergeCell ref="A23:B23"/>
    <mergeCell ref="A24:B24"/>
    <mergeCell ref="A25:B25"/>
    <mergeCell ref="A26:B26"/>
    <mergeCell ref="A38:B38"/>
    <mergeCell ref="D38:E38"/>
    <mergeCell ref="H38:I38"/>
    <mergeCell ref="J38:K38"/>
    <mergeCell ref="A28:B28"/>
    <mergeCell ref="A29:E29"/>
    <mergeCell ref="A30:B30"/>
    <mergeCell ref="A31:B31"/>
    <mergeCell ref="A32:B32"/>
    <mergeCell ref="A33:B33"/>
    <mergeCell ref="A34:B34"/>
    <mergeCell ref="A36:E36"/>
    <mergeCell ref="H36:K36"/>
    <mergeCell ref="A37:B37"/>
    <mergeCell ref="D37:E37"/>
    <mergeCell ref="A39:B39"/>
    <mergeCell ref="D39:E39"/>
    <mergeCell ref="J39:K39"/>
    <mergeCell ref="A40:B40"/>
    <mergeCell ref="D40:E40"/>
    <mergeCell ref="J40:K40"/>
    <mergeCell ref="D72:O73"/>
    <mergeCell ref="H46:I46"/>
    <mergeCell ref="J46:L46"/>
    <mergeCell ref="H51:I51"/>
    <mergeCell ref="J51:L51"/>
    <mergeCell ref="H52:I52"/>
    <mergeCell ref="J52:L52"/>
    <mergeCell ref="H53:K53"/>
    <mergeCell ref="A56:L56"/>
    <mergeCell ref="A57:L58"/>
    <mergeCell ref="A59:L59"/>
    <mergeCell ref="E70:P70"/>
  </mergeCells>
  <conditionalFormatting sqref="C6:G10">
    <cfRule type="containsBlanks" dxfId="219" priority="10">
      <formula>LEN(TRIM(C6))=0</formula>
    </cfRule>
  </conditionalFormatting>
  <conditionalFormatting sqref="C13:L13">
    <cfRule type="containsBlanks" dxfId="218" priority="9">
      <formula>LEN(TRIM(C13))=0</formula>
    </cfRule>
  </conditionalFormatting>
  <conditionalFormatting sqref="D20:D24">
    <cfRule type="containsBlanks" dxfId="217" priority="4">
      <formula>LEN(TRIM(D20))=0</formula>
    </cfRule>
  </conditionalFormatting>
  <conditionalFormatting sqref="D37:D38">
    <cfRule type="containsBlanks" dxfId="216" priority="3">
      <formula>LEN(TRIM(D37))=0</formula>
    </cfRule>
  </conditionalFormatting>
  <conditionalFormatting sqref="D30:E33">
    <cfRule type="containsBlanks" dxfId="215" priority="1">
      <formula>LEN(TRIM(D30))=0</formula>
    </cfRule>
  </conditionalFormatting>
  <conditionalFormatting sqref="E23">
    <cfRule type="containsBlanks" dxfId="214" priority="5">
      <formula>LEN(TRIM(E23))=0</formula>
    </cfRule>
  </conditionalFormatting>
  <conditionalFormatting sqref="F12:G12">
    <cfRule type="containsBlanks" dxfId="213" priority="8">
      <formula>LEN(TRIM(F12))=0</formula>
    </cfRule>
  </conditionalFormatting>
  <conditionalFormatting sqref="I22:I34">
    <cfRule type="containsBlanks" dxfId="212" priority="7">
      <formula>LEN(TRIM(I22))=0</formula>
    </cfRule>
  </conditionalFormatting>
  <conditionalFormatting sqref="I37">
    <cfRule type="containsBlanks" dxfId="211" priority="2">
      <formula>LEN(TRIM(I37))=0</formula>
    </cfRule>
  </conditionalFormatting>
  <conditionalFormatting sqref="K22:K34">
    <cfRule type="containsBlanks" dxfId="210" priority="6">
      <formula>LEN(TRIM(K22))=0</formula>
    </cfRule>
  </conditionalFormatting>
  <dataValidations count="2">
    <dataValidation type="list" allowBlank="1" showInputMessage="1" showErrorMessage="1" sqref="C12" xr:uid="{00000000-0002-0000-0100-000000000000}">
      <formula1>$T$6:$T$13</formula1>
    </dataValidation>
    <dataValidation type="list" allowBlank="1" showInputMessage="1" showErrorMessage="1" sqref="I37" xr:uid="{00000000-0002-0000-0100-000001000000}">
      <formula1>"5 kN, 50 kN"</formula1>
    </dataValidation>
  </dataValidations>
  <printOptions horizontalCentered="1" verticalCentered="1"/>
  <pageMargins left="0.31496062992126" right="0.31496062992126" top="0.15748031496063" bottom="0.55118110236220497" header="0" footer="0.118110236220472"/>
  <pageSetup scale="42" fitToWidth="0" fitToHeight="0" orientation="landscape" r:id="rId1"/>
  <headerFooter>
    <oddFooter>&amp;C&amp;"Arial,Normal"&amp;10GEODELTA S.A.S. Calle 68 B bis No 70 C 95, Móvil: 318 7902368 Bogotá DC - Colombia
e-mail: laboratoriogeodelta@gmail.com</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AB73"/>
  <sheetViews>
    <sheetView showGridLines="0" view="pageBreakPreview" topLeftCell="A31" zoomScale="85" zoomScaleNormal="50" zoomScalePageLayoutView="50" workbookViewId="0">
      <selection activeCell="K2" sqref="K2:L2"/>
    </sheetView>
  </sheetViews>
  <sheetFormatPr baseColWidth="10" defaultColWidth="11" defaultRowHeight="14.25"/>
  <cols>
    <col min="1" max="1" width="10.5703125" style="3" customWidth="1"/>
    <col min="2" max="2" width="35.42578125" style="3" customWidth="1"/>
    <col min="3" max="3" width="20.85546875" style="3" customWidth="1"/>
    <col min="4" max="5" width="26.7109375" style="3" customWidth="1"/>
    <col min="6" max="6" width="3.7109375" style="3" customWidth="1"/>
    <col min="7" max="7" width="29.140625" style="3" customWidth="1"/>
    <col min="8" max="8" width="27.140625" style="3" customWidth="1"/>
    <col min="9" max="10" width="24.28515625" style="3" customWidth="1"/>
    <col min="11" max="12" width="22.42578125" style="3" customWidth="1"/>
    <col min="13" max="13" width="1.85546875" style="3" customWidth="1"/>
    <col min="14" max="16" width="12.85546875" style="3" customWidth="1"/>
    <col min="17" max="17" width="6.5703125" style="3" customWidth="1"/>
    <col min="18" max="18" width="6.28515625" style="3" customWidth="1"/>
    <col min="19" max="184" width="11" style="3"/>
    <col min="185" max="185" width="0.7109375" style="3" customWidth="1"/>
    <col min="186" max="186" width="6.5703125" style="3" customWidth="1"/>
    <col min="187" max="187" width="13.5703125" style="3" customWidth="1"/>
    <col min="188" max="188" width="13.42578125" style="3" customWidth="1"/>
    <col min="189" max="190" width="12.5703125" style="3" customWidth="1"/>
    <col min="191" max="191" width="14.85546875" style="3" customWidth="1"/>
    <col min="192" max="192" width="20.7109375" style="3" customWidth="1"/>
    <col min="193" max="193" width="12.5703125" style="3" customWidth="1"/>
    <col min="194" max="194" width="13" style="3" customWidth="1"/>
    <col min="195" max="195" width="16" style="3" customWidth="1"/>
    <col min="196" max="196" width="6.42578125" style="3" customWidth="1"/>
    <col min="197" max="197" width="16" style="3" customWidth="1"/>
    <col min="198" max="198" width="2.85546875" style="3" customWidth="1"/>
    <col min="199" max="199" width="0.85546875" style="3" customWidth="1"/>
    <col min="200" max="200" width="11" style="3"/>
    <col min="201" max="201" width="15.42578125" style="3" customWidth="1"/>
    <col min="202" max="204" width="14.85546875" style="3" customWidth="1"/>
    <col min="205" max="205" width="0.7109375" style="3" customWidth="1"/>
    <col min="206" max="206" width="11" style="3"/>
    <col min="207" max="207" width="15.7109375" style="3" customWidth="1"/>
    <col min="208" max="209" width="14.85546875" style="3" customWidth="1"/>
    <col min="210" max="210" width="3.28515625" style="3" customWidth="1"/>
    <col min="211" max="211" width="20.140625" style="3" customWidth="1"/>
    <col min="212" max="212" width="3.28515625" style="3" customWidth="1"/>
    <col min="213" max="217" width="11" style="3"/>
    <col min="218" max="230" width="4.7109375" style="3" customWidth="1"/>
    <col min="231" max="440" width="11" style="3"/>
    <col min="441" max="441" width="0.7109375" style="3" customWidth="1"/>
    <col min="442" max="442" width="6.5703125" style="3" customWidth="1"/>
    <col min="443" max="443" width="13.5703125" style="3" customWidth="1"/>
    <col min="444" max="444" width="13.42578125" style="3" customWidth="1"/>
    <col min="445" max="446" width="12.5703125" style="3" customWidth="1"/>
    <col min="447" max="447" width="14.85546875" style="3" customWidth="1"/>
    <col min="448" max="448" width="20.7109375" style="3" customWidth="1"/>
    <col min="449" max="449" width="12.5703125" style="3" customWidth="1"/>
    <col min="450" max="450" width="13" style="3" customWidth="1"/>
    <col min="451" max="451" width="16" style="3" customWidth="1"/>
    <col min="452" max="452" width="6.42578125" style="3" customWidth="1"/>
    <col min="453" max="453" width="16" style="3" customWidth="1"/>
    <col min="454" max="454" width="2.85546875" style="3" customWidth="1"/>
    <col min="455" max="455" width="0.85546875" style="3" customWidth="1"/>
    <col min="456" max="456" width="11" style="3"/>
    <col min="457" max="457" width="15.42578125" style="3" customWidth="1"/>
    <col min="458" max="460" width="14.85546875" style="3" customWidth="1"/>
    <col min="461" max="461" width="0.7109375" style="3" customWidth="1"/>
    <col min="462" max="462" width="11" style="3"/>
    <col min="463" max="463" width="15.7109375" style="3" customWidth="1"/>
    <col min="464" max="465" width="14.85546875" style="3" customWidth="1"/>
    <col min="466" max="466" width="3.28515625" style="3" customWidth="1"/>
    <col min="467" max="467" width="20.140625" style="3" customWidth="1"/>
    <col min="468" max="468" width="3.28515625" style="3" customWidth="1"/>
    <col min="469" max="473" width="11" style="3"/>
    <col min="474" max="486" width="4.7109375" style="3" customWidth="1"/>
    <col min="487" max="696" width="11" style="3"/>
    <col min="697" max="697" width="0.7109375" style="3" customWidth="1"/>
    <col min="698" max="698" width="6.5703125" style="3" customWidth="1"/>
    <col min="699" max="699" width="13.5703125" style="3" customWidth="1"/>
    <col min="700" max="700" width="13.42578125" style="3" customWidth="1"/>
    <col min="701" max="702" width="12.5703125" style="3" customWidth="1"/>
    <col min="703" max="703" width="14.85546875" style="3" customWidth="1"/>
    <col min="704" max="704" width="20.7109375" style="3" customWidth="1"/>
    <col min="705" max="705" width="12.5703125" style="3" customWidth="1"/>
    <col min="706" max="706" width="13" style="3" customWidth="1"/>
    <col min="707" max="707" width="16" style="3" customWidth="1"/>
    <col min="708" max="708" width="6.42578125" style="3" customWidth="1"/>
    <col min="709" max="709" width="16" style="3" customWidth="1"/>
    <col min="710" max="710" width="2.85546875" style="3" customWidth="1"/>
    <col min="711" max="711" width="0.85546875" style="3" customWidth="1"/>
    <col min="712" max="712" width="11" style="3"/>
    <col min="713" max="713" width="15.42578125" style="3" customWidth="1"/>
    <col min="714" max="716" width="14.85546875" style="3" customWidth="1"/>
    <col min="717" max="717" width="0.7109375" style="3" customWidth="1"/>
    <col min="718" max="718" width="11" style="3"/>
    <col min="719" max="719" width="15.7109375" style="3" customWidth="1"/>
    <col min="720" max="721" width="14.85546875" style="3" customWidth="1"/>
    <col min="722" max="722" width="3.28515625" style="3" customWidth="1"/>
    <col min="723" max="723" width="20.140625" style="3" customWidth="1"/>
    <col min="724" max="724" width="3.28515625" style="3" customWidth="1"/>
    <col min="725" max="729" width="11" style="3"/>
    <col min="730" max="742" width="4.7109375" style="3" customWidth="1"/>
    <col min="743" max="952" width="11" style="3"/>
    <col min="953" max="953" width="0.7109375" style="3" customWidth="1"/>
    <col min="954" max="954" width="6.5703125" style="3" customWidth="1"/>
    <col min="955" max="955" width="13.5703125" style="3" customWidth="1"/>
    <col min="956" max="956" width="13.42578125" style="3" customWidth="1"/>
    <col min="957" max="958" width="12.5703125" style="3" customWidth="1"/>
    <col min="959" max="959" width="14.85546875" style="3" customWidth="1"/>
    <col min="960" max="960" width="20.7109375" style="3" customWidth="1"/>
    <col min="961" max="961" width="12.5703125" style="3" customWidth="1"/>
    <col min="962" max="962" width="13" style="3" customWidth="1"/>
    <col min="963" max="963" width="16" style="3" customWidth="1"/>
    <col min="964" max="964" width="6.42578125" style="3" customWidth="1"/>
    <col min="965" max="965" width="16" style="3" customWidth="1"/>
    <col min="966" max="966" width="2.85546875" style="3" customWidth="1"/>
    <col min="967" max="967" width="0.85546875" style="3" customWidth="1"/>
    <col min="968" max="968" width="11" style="3"/>
    <col min="969" max="969" width="15.42578125" style="3" customWidth="1"/>
    <col min="970" max="972" width="14.85546875" style="3" customWidth="1"/>
    <col min="973" max="973" width="0.7109375" style="3" customWidth="1"/>
    <col min="974" max="974" width="11" style="3"/>
    <col min="975" max="975" width="15.7109375" style="3" customWidth="1"/>
    <col min="976" max="977" width="14.85546875" style="3" customWidth="1"/>
    <col min="978" max="978" width="3.28515625" style="3" customWidth="1"/>
    <col min="979" max="979" width="20.140625" style="3" customWidth="1"/>
    <col min="980" max="980" width="3.28515625" style="3" customWidth="1"/>
    <col min="981" max="985" width="11" style="3"/>
    <col min="986" max="998" width="4.7109375" style="3" customWidth="1"/>
    <col min="999" max="1208" width="11" style="3"/>
    <col min="1209" max="1209" width="0.7109375" style="3" customWidth="1"/>
    <col min="1210" max="1210" width="6.5703125" style="3" customWidth="1"/>
    <col min="1211" max="1211" width="13.5703125" style="3" customWidth="1"/>
    <col min="1212" max="1212" width="13.42578125" style="3" customWidth="1"/>
    <col min="1213" max="1214" width="12.5703125" style="3" customWidth="1"/>
    <col min="1215" max="1215" width="14.85546875" style="3" customWidth="1"/>
    <col min="1216" max="1216" width="20.7109375" style="3" customWidth="1"/>
    <col min="1217" max="1217" width="12.5703125" style="3" customWidth="1"/>
    <col min="1218" max="1218" width="13" style="3" customWidth="1"/>
    <col min="1219" max="1219" width="16" style="3" customWidth="1"/>
    <col min="1220" max="1220" width="6.42578125" style="3" customWidth="1"/>
    <col min="1221" max="1221" width="16" style="3" customWidth="1"/>
    <col min="1222" max="1222" width="2.85546875" style="3" customWidth="1"/>
    <col min="1223" max="1223" width="0.85546875" style="3" customWidth="1"/>
    <col min="1224" max="1224" width="11" style="3"/>
    <col min="1225" max="1225" width="15.42578125" style="3" customWidth="1"/>
    <col min="1226" max="1228" width="14.85546875" style="3" customWidth="1"/>
    <col min="1229" max="1229" width="0.7109375" style="3" customWidth="1"/>
    <col min="1230" max="1230" width="11" style="3"/>
    <col min="1231" max="1231" width="15.7109375" style="3" customWidth="1"/>
    <col min="1232" max="1233" width="14.85546875" style="3" customWidth="1"/>
    <col min="1234" max="1234" width="3.28515625" style="3" customWidth="1"/>
    <col min="1235" max="1235" width="20.140625" style="3" customWidth="1"/>
    <col min="1236" max="1236" width="3.28515625" style="3" customWidth="1"/>
    <col min="1237" max="1241" width="11" style="3"/>
    <col min="1242" max="1254" width="4.7109375" style="3" customWidth="1"/>
    <col min="1255" max="1464" width="11" style="3"/>
    <col min="1465" max="1465" width="0.7109375" style="3" customWidth="1"/>
    <col min="1466" max="1466" width="6.5703125" style="3" customWidth="1"/>
    <col min="1467" max="1467" width="13.5703125" style="3" customWidth="1"/>
    <col min="1468" max="1468" width="13.42578125" style="3" customWidth="1"/>
    <col min="1469" max="1470" width="12.5703125" style="3" customWidth="1"/>
    <col min="1471" max="1471" width="14.85546875" style="3" customWidth="1"/>
    <col min="1472" max="1472" width="20.7109375" style="3" customWidth="1"/>
    <col min="1473" max="1473" width="12.5703125" style="3" customWidth="1"/>
    <col min="1474" max="1474" width="13" style="3" customWidth="1"/>
    <col min="1475" max="1475" width="16" style="3" customWidth="1"/>
    <col min="1476" max="1476" width="6.42578125" style="3" customWidth="1"/>
    <col min="1477" max="1477" width="16" style="3" customWidth="1"/>
    <col min="1478" max="1478" width="2.85546875" style="3" customWidth="1"/>
    <col min="1479" max="1479" width="0.85546875" style="3" customWidth="1"/>
    <col min="1480" max="1480" width="11" style="3"/>
    <col min="1481" max="1481" width="15.42578125" style="3" customWidth="1"/>
    <col min="1482" max="1484" width="14.85546875" style="3" customWidth="1"/>
    <col min="1485" max="1485" width="0.7109375" style="3" customWidth="1"/>
    <col min="1486" max="1486" width="11" style="3"/>
    <col min="1487" max="1487" width="15.7109375" style="3" customWidth="1"/>
    <col min="1488" max="1489" width="14.85546875" style="3" customWidth="1"/>
    <col min="1490" max="1490" width="3.28515625" style="3" customWidth="1"/>
    <col min="1491" max="1491" width="20.140625" style="3" customWidth="1"/>
    <col min="1492" max="1492" width="3.28515625" style="3" customWidth="1"/>
    <col min="1493" max="1497" width="11" style="3"/>
    <col min="1498" max="1510" width="4.7109375" style="3" customWidth="1"/>
    <col min="1511" max="1720" width="11" style="3"/>
    <col min="1721" max="1721" width="0.7109375" style="3" customWidth="1"/>
    <col min="1722" max="1722" width="6.5703125" style="3" customWidth="1"/>
    <col min="1723" max="1723" width="13.5703125" style="3" customWidth="1"/>
    <col min="1724" max="1724" width="13.42578125" style="3" customWidth="1"/>
    <col min="1725" max="1726" width="12.5703125" style="3" customWidth="1"/>
    <col min="1727" max="1727" width="14.85546875" style="3" customWidth="1"/>
    <col min="1728" max="1728" width="20.7109375" style="3" customWidth="1"/>
    <col min="1729" max="1729" width="12.5703125" style="3" customWidth="1"/>
    <col min="1730" max="1730" width="13" style="3" customWidth="1"/>
    <col min="1731" max="1731" width="16" style="3" customWidth="1"/>
    <col min="1732" max="1732" width="6.42578125" style="3" customWidth="1"/>
    <col min="1733" max="1733" width="16" style="3" customWidth="1"/>
    <col min="1734" max="1734" width="2.85546875" style="3" customWidth="1"/>
    <col min="1735" max="1735" width="0.85546875" style="3" customWidth="1"/>
    <col min="1736" max="1736" width="11" style="3"/>
    <col min="1737" max="1737" width="15.42578125" style="3" customWidth="1"/>
    <col min="1738" max="1740" width="14.85546875" style="3" customWidth="1"/>
    <col min="1741" max="1741" width="0.7109375" style="3" customWidth="1"/>
    <col min="1742" max="1742" width="11" style="3"/>
    <col min="1743" max="1743" width="15.7109375" style="3" customWidth="1"/>
    <col min="1744" max="1745" width="14.85546875" style="3" customWidth="1"/>
    <col min="1746" max="1746" width="3.28515625" style="3" customWidth="1"/>
    <col min="1747" max="1747" width="20.140625" style="3" customWidth="1"/>
    <col min="1748" max="1748" width="3.28515625" style="3" customWidth="1"/>
    <col min="1749" max="1753" width="11" style="3"/>
    <col min="1754" max="1766" width="4.7109375" style="3" customWidth="1"/>
    <col min="1767" max="1976" width="11" style="3"/>
    <col min="1977" max="1977" width="0.7109375" style="3" customWidth="1"/>
    <col min="1978" max="1978" width="6.5703125" style="3" customWidth="1"/>
    <col min="1979" max="1979" width="13.5703125" style="3" customWidth="1"/>
    <col min="1980" max="1980" width="13.42578125" style="3" customWidth="1"/>
    <col min="1981" max="1982" width="12.5703125" style="3" customWidth="1"/>
    <col min="1983" max="1983" width="14.85546875" style="3" customWidth="1"/>
    <col min="1984" max="1984" width="20.7109375" style="3" customWidth="1"/>
    <col min="1985" max="1985" width="12.5703125" style="3" customWidth="1"/>
    <col min="1986" max="1986" width="13" style="3" customWidth="1"/>
    <col min="1987" max="1987" width="16" style="3" customWidth="1"/>
    <col min="1988" max="1988" width="6.42578125" style="3" customWidth="1"/>
    <col min="1989" max="1989" width="16" style="3" customWidth="1"/>
    <col min="1990" max="1990" width="2.85546875" style="3" customWidth="1"/>
    <col min="1991" max="1991" width="0.85546875" style="3" customWidth="1"/>
    <col min="1992" max="1992" width="11" style="3"/>
    <col min="1993" max="1993" width="15.42578125" style="3" customWidth="1"/>
    <col min="1994" max="1996" width="14.85546875" style="3" customWidth="1"/>
    <col min="1997" max="1997" width="0.7109375" style="3" customWidth="1"/>
    <col min="1998" max="1998" width="11" style="3"/>
    <col min="1999" max="1999" width="15.7109375" style="3" customWidth="1"/>
    <col min="2000" max="2001" width="14.85546875" style="3" customWidth="1"/>
    <col min="2002" max="2002" width="3.28515625" style="3" customWidth="1"/>
    <col min="2003" max="2003" width="20.140625" style="3" customWidth="1"/>
    <col min="2004" max="2004" width="3.28515625" style="3" customWidth="1"/>
    <col min="2005" max="2009" width="11" style="3"/>
    <col min="2010" max="2022" width="4.7109375" style="3" customWidth="1"/>
    <col min="2023" max="2232" width="11" style="3"/>
    <col min="2233" max="2233" width="0.7109375" style="3" customWidth="1"/>
    <col min="2234" max="2234" width="6.5703125" style="3" customWidth="1"/>
    <col min="2235" max="2235" width="13.5703125" style="3" customWidth="1"/>
    <col min="2236" max="2236" width="13.42578125" style="3" customWidth="1"/>
    <col min="2237" max="2238" width="12.5703125" style="3" customWidth="1"/>
    <col min="2239" max="2239" width="14.85546875" style="3" customWidth="1"/>
    <col min="2240" max="2240" width="20.7109375" style="3" customWidth="1"/>
    <col min="2241" max="2241" width="12.5703125" style="3" customWidth="1"/>
    <col min="2242" max="2242" width="13" style="3" customWidth="1"/>
    <col min="2243" max="2243" width="16" style="3" customWidth="1"/>
    <col min="2244" max="2244" width="6.42578125" style="3" customWidth="1"/>
    <col min="2245" max="2245" width="16" style="3" customWidth="1"/>
    <col min="2246" max="2246" width="2.85546875" style="3" customWidth="1"/>
    <col min="2247" max="2247" width="0.85546875" style="3" customWidth="1"/>
    <col min="2248" max="2248" width="11" style="3"/>
    <col min="2249" max="2249" width="15.42578125" style="3" customWidth="1"/>
    <col min="2250" max="2252" width="14.85546875" style="3" customWidth="1"/>
    <col min="2253" max="2253" width="0.7109375" style="3" customWidth="1"/>
    <col min="2254" max="2254" width="11" style="3"/>
    <col min="2255" max="2255" width="15.7109375" style="3" customWidth="1"/>
    <col min="2256" max="2257" width="14.85546875" style="3" customWidth="1"/>
    <col min="2258" max="2258" width="3.28515625" style="3" customWidth="1"/>
    <col min="2259" max="2259" width="20.140625" style="3" customWidth="1"/>
    <col min="2260" max="2260" width="3.28515625" style="3" customWidth="1"/>
    <col min="2261" max="2265" width="11" style="3"/>
    <col min="2266" max="2278" width="4.7109375" style="3" customWidth="1"/>
    <col min="2279" max="2488" width="11" style="3"/>
    <col min="2489" max="2489" width="0.7109375" style="3" customWidth="1"/>
    <col min="2490" max="2490" width="6.5703125" style="3" customWidth="1"/>
    <col min="2491" max="2491" width="13.5703125" style="3" customWidth="1"/>
    <col min="2492" max="2492" width="13.42578125" style="3" customWidth="1"/>
    <col min="2493" max="2494" width="12.5703125" style="3" customWidth="1"/>
    <col min="2495" max="2495" width="14.85546875" style="3" customWidth="1"/>
    <col min="2496" max="2496" width="20.7109375" style="3" customWidth="1"/>
    <col min="2497" max="2497" width="12.5703125" style="3" customWidth="1"/>
    <col min="2498" max="2498" width="13" style="3" customWidth="1"/>
    <col min="2499" max="2499" width="16" style="3" customWidth="1"/>
    <col min="2500" max="2500" width="6.42578125" style="3" customWidth="1"/>
    <col min="2501" max="2501" width="16" style="3" customWidth="1"/>
    <col min="2502" max="2502" width="2.85546875" style="3" customWidth="1"/>
    <col min="2503" max="2503" width="0.85546875" style="3" customWidth="1"/>
    <col min="2504" max="2504" width="11" style="3"/>
    <col min="2505" max="2505" width="15.42578125" style="3" customWidth="1"/>
    <col min="2506" max="2508" width="14.85546875" style="3" customWidth="1"/>
    <col min="2509" max="2509" width="0.7109375" style="3" customWidth="1"/>
    <col min="2510" max="2510" width="11" style="3"/>
    <col min="2511" max="2511" width="15.7109375" style="3" customWidth="1"/>
    <col min="2512" max="2513" width="14.85546875" style="3" customWidth="1"/>
    <col min="2514" max="2514" width="3.28515625" style="3" customWidth="1"/>
    <col min="2515" max="2515" width="20.140625" style="3" customWidth="1"/>
    <col min="2516" max="2516" width="3.28515625" style="3" customWidth="1"/>
    <col min="2517" max="2521" width="11" style="3"/>
    <col min="2522" max="2534" width="4.7109375" style="3" customWidth="1"/>
    <col min="2535" max="2744" width="11" style="3"/>
    <col min="2745" max="2745" width="0.7109375" style="3" customWidth="1"/>
    <col min="2746" max="2746" width="6.5703125" style="3" customWidth="1"/>
    <col min="2747" max="2747" width="13.5703125" style="3" customWidth="1"/>
    <col min="2748" max="2748" width="13.42578125" style="3" customWidth="1"/>
    <col min="2749" max="2750" width="12.5703125" style="3" customWidth="1"/>
    <col min="2751" max="2751" width="14.85546875" style="3" customWidth="1"/>
    <col min="2752" max="2752" width="20.7109375" style="3" customWidth="1"/>
    <col min="2753" max="2753" width="12.5703125" style="3" customWidth="1"/>
    <col min="2754" max="2754" width="13" style="3" customWidth="1"/>
    <col min="2755" max="2755" width="16" style="3" customWidth="1"/>
    <col min="2756" max="2756" width="6.42578125" style="3" customWidth="1"/>
    <col min="2757" max="2757" width="16" style="3" customWidth="1"/>
    <col min="2758" max="2758" width="2.85546875" style="3" customWidth="1"/>
    <col min="2759" max="2759" width="0.85546875" style="3" customWidth="1"/>
    <col min="2760" max="2760" width="11" style="3"/>
    <col min="2761" max="2761" width="15.42578125" style="3" customWidth="1"/>
    <col min="2762" max="2764" width="14.85546875" style="3" customWidth="1"/>
    <col min="2765" max="2765" width="0.7109375" style="3" customWidth="1"/>
    <col min="2766" max="2766" width="11" style="3"/>
    <col min="2767" max="2767" width="15.7109375" style="3" customWidth="1"/>
    <col min="2768" max="2769" width="14.85546875" style="3" customWidth="1"/>
    <col min="2770" max="2770" width="3.28515625" style="3" customWidth="1"/>
    <col min="2771" max="2771" width="20.140625" style="3" customWidth="1"/>
    <col min="2772" max="2772" width="3.28515625" style="3" customWidth="1"/>
    <col min="2773" max="2777" width="11" style="3"/>
    <col min="2778" max="2790" width="4.7109375" style="3" customWidth="1"/>
    <col min="2791" max="3000" width="11" style="3"/>
    <col min="3001" max="3001" width="0.7109375" style="3" customWidth="1"/>
    <col min="3002" max="3002" width="6.5703125" style="3" customWidth="1"/>
    <col min="3003" max="3003" width="13.5703125" style="3" customWidth="1"/>
    <col min="3004" max="3004" width="13.42578125" style="3" customWidth="1"/>
    <col min="3005" max="3006" width="12.5703125" style="3" customWidth="1"/>
    <col min="3007" max="3007" width="14.85546875" style="3" customWidth="1"/>
    <col min="3008" max="3008" width="20.7109375" style="3" customWidth="1"/>
    <col min="3009" max="3009" width="12.5703125" style="3" customWidth="1"/>
    <col min="3010" max="3010" width="13" style="3" customWidth="1"/>
    <col min="3011" max="3011" width="16" style="3" customWidth="1"/>
    <col min="3012" max="3012" width="6.42578125" style="3" customWidth="1"/>
    <col min="3013" max="3013" width="16" style="3" customWidth="1"/>
    <col min="3014" max="3014" width="2.85546875" style="3" customWidth="1"/>
    <col min="3015" max="3015" width="0.85546875" style="3" customWidth="1"/>
    <col min="3016" max="3016" width="11" style="3"/>
    <col min="3017" max="3017" width="15.42578125" style="3" customWidth="1"/>
    <col min="3018" max="3020" width="14.85546875" style="3" customWidth="1"/>
    <col min="3021" max="3021" width="0.7109375" style="3" customWidth="1"/>
    <col min="3022" max="3022" width="11" style="3"/>
    <col min="3023" max="3023" width="15.7109375" style="3" customWidth="1"/>
    <col min="3024" max="3025" width="14.85546875" style="3" customWidth="1"/>
    <col min="3026" max="3026" width="3.28515625" style="3" customWidth="1"/>
    <col min="3027" max="3027" width="20.140625" style="3" customWidth="1"/>
    <col min="3028" max="3028" width="3.28515625" style="3" customWidth="1"/>
    <col min="3029" max="3033" width="11" style="3"/>
    <col min="3034" max="3046" width="4.7109375" style="3" customWidth="1"/>
    <col min="3047" max="3256" width="11" style="3"/>
    <col min="3257" max="3257" width="0.7109375" style="3" customWidth="1"/>
    <col min="3258" max="3258" width="6.5703125" style="3" customWidth="1"/>
    <col min="3259" max="3259" width="13.5703125" style="3" customWidth="1"/>
    <col min="3260" max="3260" width="13.42578125" style="3" customWidth="1"/>
    <col min="3261" max="3262" width="12.5703125" style="3" customWidth="1"/>
    <col min="3263" max="3263" width="14.85546875" style="3" customWidth="1"/>
    <col min="3264" max="3264" width="20.7109375" style="3" customWidth="1"/>
    <col min="3265" max="3265" width="12.5703125" style="3" customWidth="1"/>
    <col min="3266" max="3266" width="13" style="3" customWidth="1"/>
    <col min="3267" max="3267" width="16" style="3" customWidth="1"/>
    <col min="3268" max="3268" width="6.42578125" style="3" customWidth="1"/>
    <col min="3269" max="3269" width="16" style="3" customWidth="1"/>
    <col min="3270" max="3270" width="2.85546875" style="3" customWidth="1"/>
    <col min="3271" max="3271" width="0.85546875" style="3" customWidth="1"/>
    <col min="3272" max="3272" width="11" style="3"/>
    <col min="3273" max="3273" width="15.42578125" style="3" customWidth="1"/>
    <col min="3274" max="3276" width="14.85546875" style="3" customWidth="1"/>
    <col min="3277" max="3277" width="0.7109375" style="3" customWidth="1"/>
    <col min="3278" max="3278" width="11" style="3"/>
    <col min="3279" max="3279" width="15.7109375" style="3" customWidth="1"/>
    <col min="3280" max="3281" width="14.85546875" style="3" customWidth="1"/>
    <col min="3282" max="3282" width="3.28515625" style="3" customWidth="1"/>
    <col min="3283" max="3283" width="20.140625" style="3" customWidth="1"/>
    <col min="3284" max="3284" width="3.28515625" style="3" customWidth="1"/>
    <col min="3285" max="3289" width="11" style="3"/>
    <col min="3290" max="3302" width="4.7109375" style="3" customWidth="1"/>
    <col min="3303" max="3512" width="11" style="3"/>
    <col min="3513" max="3513" width="0.7109375" style="3" customWidth="1"/>
    <col min="3514" max="3514" width="6.5703125" style="3" customWidth="1"/>
    <col min="3515" max="3515" width="13.5703125" style="3" customWidth="1"/>
    <col min="3516" max="3516" width="13.42578125" style="3" customWidth="1"/>
    <col min="3517" max="3518" width="12.5703125" style="3" customWidth="1"/>
    <col min="3519" max="3519" width="14.85546875" style="3" customWidth="1"/>
    <col min="3520" max="3520" width="20.7109375" style="3" customWidth="1"/>
    <col min="3521" max="3521" width="12.5703125" style="3" customWidth="1"/>
    <col min="3522" max="3522" width="13" style="3" customWidth="1"/>
    <col min="3523" max="3523" width="16" style="3" customWidth="1"/>
    <col min="3524" max="3524" width="6.42578125" style="3" customWidth="1"/>
    <col min="3525" max="3525" width="16" style="3" customWidth="1"/>
    <col min="3526" max="3526" width="2.85546875" style="3" customWidth="1"/>
    <col min="3527" max="3527" width="0.85546875" style="3" customWidth="1"/>
    <col min="3528" max="3528" width="11" style="3"/>
    <col min="3529" max="3529" width="15.42578125" style="3" customWidth="1"/>
    <col min="3530" max="3532" width="14.85546875" style="3" customWidth="1"/>
    <col min="3533" max="3533" width="0.7109375" style="3" customWidth="1"/>
    <col min="3534" max="3534" width="11" style="3"/>
    <col min="3535" max="3535" width="15.7109375" style="3" customWidth="1"/>
    <col min="3536" max="3537" width="14.85546875" style="3" customWidth="1"/>
    <col min="3538" max="3538" width="3.28515625" style="3" customWidth="1"/>
    <col min="3539" max="3539" width="20.140625" style="3" customWidth="1"/>
    <col min="3540" max="3540" width="3.28515625" style="3" customWidth="1"/>
    <col min="3541" max="3545" width="11" style="3"/>
    <col min="3546" max="3558" width="4.7109375" style="3" customWidth="1"/>
    <col min="3559" max="3768" width="11" style="3"/>
    <col min="3769" max="3769" width="0.7109375" style="3" customWidth="1"/>
    <col min="3770" max="3770" width="6.5703125" style="3" customWidth="1"/>
    <col min="3771" max="3771" width="13.5703125" style="3" customWidth="1"/>
    <col min="3772" max="3772" width="13.42578125" style="3" customWidth="1"/>
    <col min="3773" max="3774" width="12.5703125" style="3" customWidth="1"/>
    <col min="3775" max="3775" width="14.85546875" style="3" customWidth="1"/>
    <col min="3776" max="3776" width="20.7109375" style="3" customWidth="1"/>
    <col min="3777" max="3777" width="12.5703125" style="3" customWidth="1"/>
    <col min="3778" max="3778" width="13" style="3" customWidth="1"/>
    <col min="3779" max="3779" width="16" style="3" customWidth="1"/>
    <col min="3780" max="3780" width="6.42578125" style="3" customWidth="1"/>
    <col min="3781" max="3781" width="16" style="3" customWidth="1"/>
    <col min="3782" max="3782" width="2.85546875" style="3" customWidth="1"/>
    <col min="3783" max="3783" width="0.85546875" style="3" customWidth="1"/>
    <col min="3784" max="3784" width="11" style="3"/>
    <col min="3785" max="3785" width="15.42578125" style="3" customWidth="1"/>
    <col min="3786" max="3788" width="14.85546875" style="3" customWidth="1"/>
    <col min="3789" max="3789" width="0.7109375" style="3" customWidth="1"/>
    <col min="3790" max="3790" width="11" style="3"/>
    <col min="3791" max="3791" width="15.7109375" style="3" customWidth="1"/>
    <col min="3792" max="3793" width="14.85546875" style="3" customWidth="1"/>
    <col min="3794" max="3794" width="3.28515625" style="3" customWidth="1"/>
    <col min="3795" max="3795" width="20.140625" style="3" customWidth="1"/>
    <col min="3796" max="3796" width="3.28515625" style="3" customWidth="1"/>
    <col min="3797" max="3801" width="11" style="3"/>
    <col min="3802" max="3814" width="4.7109375" style="3" customWidth="1"/>
    <col min="3815" max="4024" width="11" style="3"/>
    <col min="4025" max="4025" width="0.7109375" style="3" customWidth="1"/>
    <col min="4026" max="4026" width="6.5703125" style="3" customWidth="1"/>
    <col min="4027" max="4027" width="13.5703125" style="3" customWidth="1"/>
    <col min="4028" max="4028" width="13.42578125" style="3" customWidth="1"/>
    <col min="4029" max="4030" width="12.5703125" style="3" customWidth="1"/>
    <col min="4031" max="4031" width="14.85546875" style="3" customWidth="1"/>
    <col min="4032" max="4032" width="20.7109375" style="3" customWidth="1"/>
    <col min="4033" max="4033" width="12.5703125" style="3" customWidth="1"/>
    <col min="4034" max="4034" width="13" style="3" customWidth="1"/>
    <col min="4035" max="4035" width="16" style="3" customWidth="1"/>
    <col min="4036" max="4036" width="6.42578125" style="3" customWidth="1"/>
    <col min="4037" max="4037" width="16" style="3" customWidth="1"/>
    <col min="4038" max="4038" width="2.85546875" style="3" customWidth="1"/>
    <col min="4039" max="4039" width="0.85546875" style="3" customWidth="1"/>
    <col min="4040" max="4040" width="11" style="3"/>
    <col min="4041" max="4041" width="15.42578125" style="3" customWidth="1"/>
    <col min="4042" max="4044" width="14.85546875" style="3" customWidth="1"/>
    <col min="4045" max="4045" width="0.7109375" style="3" customWidth="1"/>
    <col min="4046" max="4046" width="11" style="3"/>
    <col min="4047" max="4047" width="15.7109375" style="3" customWidth="1"/>
    <col min="4048" max="4049" width="14.85546875" style="3" customWidth="1"/>
    <col min="4050" max="4050" width="3.28515625" style="3" customWidth="1"/>
    <col min="4051" max="4051" width="20.140625" style="3" customWidth="1"/>
    <col min="4052" max="4052" width="3.28515625" style="3" customWidth="1"/>
    <col min="4053" max="4057" width="11" style="3"/>
    <col min="4058" max="4070" width="4.7109375" style="3" customWidth="1"/>
    <col min="4071" max="4280" width="11" style="3"/>
    <col min="4281" max="4281" width="0.7109375" style="3" customWidth="1"/>
    <col min="4282" max="4282" width="6.5703125" style="3" customWidth="1"/>
    <col min="4283" max="4283" width="13.5703125" style="3" customWidth="1"/>
    <col min="4284" max="4284" width="13.42578125" style="3" customWidth="1"/>
    <col min="4285" max="4286" width="12.5703125" style="3" customWidth="1"/>
    <col min="4287" max="4287" width="14.85546875" style="3" customWidth="1"/>
    <col min="4288" max="4288" width="20.7109375" style="3" customWidth="1"/>
    <col min="4289" max="4289" width="12.5703125" style="3" customWidth="1"/>
    <col min="4290" max="4290" width="13" style="3" customWidth="1"/>
    <col min="4291" max="4291" width="16" style="3" customWidth="1"/>
    <col min="4292" max="4292" width="6.42578125" style="3" customWidth="1"/>
    <col min="4293" max="4293" width="16" style="3" customWidth="1"/>
    <col min="4294" max="4294" width="2.85546875" style="3" customWidth="1"/>
    <col min="4295" max="4295" width="0.85546875" style="3" customWidth="1"/>
    <col min="4296" max="4296" width="11" style="3"/>
    <col min="4297" max="4297" width="15.42578125" style="3" customWidth="1"/>
    <col min="4298" max="4300" width="14.85546875" style="3" customWidth="1"/>
    <col min="4301" max="4301" width="0.7109375" style="3" customWidth="1"/>
    <col min="4302" max="4302" width="11" style="3"/>
    <col min="4303" max="4303" width="15.7109375" style="3" customWidth="1"/>
    <col min="4304" max="4305" width="14.85546875" style="3" customWidth="1"/>
    <col min="4306" max="4306" width="3.28515625" style="3" customWidth="1"/>
    <col min="4307" max="4307" width="20.140625" style="3" customWidth="1"/>
    <col min="4308" max="4308" width="3.28515625" style="3" customWidth="1"/>
    <col min="4309" max="4313" width="11" style="3"/>
    <col min="4314" max="4326" width="4.7109375" style="3" customWidth="1"/>
    <col min="4327" max="4536" width="11" style="3"/>
    <col min="4537" max="4537" width="0.7109375" style="3" customWidth="1"/>
    <col min="4538" max="4538" width="6.5703125" style="3" customWidth="1"/>
    <col min="4539" max="4539" width="13.5703125" style="3" customWidth="1"/>
    <col min="4540" max="4540" width="13.42578125" style="3" customWidth="1"/>
    <col min="4541" max="4542" width="12.5703125" style="3" customWidth="1"/>
    <col min="4543" max="4543" width="14.85546875" style="3" customWidth="1"/>
    <col min="4544" max="4544" width="20.7109375" style="3" customWidth="1"/>
    <col min="4545" max="4545" width="12.5703125" style="3" customWidth="1"/>
    <col min="4546" max="4546" width="13" style="3" customWidth="1"/>
    <col min="4547" max="4547" width="16" style="3" customWidth="1"/>
    <col min="4548" max="4548" width="6.42578125" style="3" customWidth="1"/>
    <col min="4549" max="4549" width="16" style="3" customWidth="1"/>
    <col min="4550" max="4550" width="2.85546875" style="3" customWidth="1"/>
    <col min="4551" max="4551" width="0.85546875" style="3" customWidth="1"/>
    <col min="4552" max="4552" width="11" style="3"/>
    <col min="4553" max="4553" width="15.42578125" style="3" customWidth="1"/>
    <col min="4554" max="4556" width="14.85546875" style="3" customWidth="1"/>
    <col min="4557" max="4557" width="0.7109375" style="3" customWidth="1"/>
    <col min="4558" max="4558" width="11" style="3"/>
    <col min="4559" max="4559" width="15.7109375" style="3" customWidth="1"/>
    <col min="4560" max="4561" width="14.85546875" style="3" customWidth="1"/>
    <col min="4562" max="4562" width="3.28515625" style="3" customWidth="1"/>
    <col min="4563" max="4563" width="20.140625" style="3" customWidth="1"/>
    <col min="4564" max="4564" width="3.28515625" style="3" customWidth="1"/>
    <col min="4565" max="4569" width="11" style="3"/>
    <col min="4570" max="4582" width="4.7109375" style="3" customWidth="1"/>
    <col min="4583" max="4792" width="11" style="3"/>
    <col min="4793" max="4793" width="0.7109375" style="3" customWidth="1"/>
    <col min="4794" max="4794" width="6.5703125" style="3" customWidth="1"/>
    <col min="4795" max="4795" width="13.5703125" style="3" customWidth="1"/>
    <col min="4796" max="4796" width="13.42578125" style="3" customWidth="1"/>
    <col min="4797" max="4798" width="12.5703125" style="3" customWidth="1"/>
    <col min="4799" max="4799" width="14.85546875" style="3" customWidth="1"/>
    <col min="4800" max="4800" width="20.7109375" style="3" customWidth="1"/>
    <col min="4801" max="4801" width="12.5703125" style="3" customWidth="1"/>
    <col min="4802" max="4802" width="13" style="3" customWidth="1"/>
    <col min="4803" max="4803" width="16" style="3" customWidth="1"/>
    <col min="4804" max="4804" width="6.42578125" style="3" customWidth="1"/>
    <col min="4805" max="4805" width="16" style="3" customWidth="1"/>
    <col min="4806" max="4806" width="2.85546875" style="3" customWidth="1"/>
    <col min="4807" max="4807" width="0.85546875" style="3" customWidth="1"/>
    <col min="4808" max="4808" width="11" style="3"/>
    <col min="4809" max="4809" width="15.42578125" style="3" customWidth="1"/>
    <col min="4810" max="4812" width="14.85546875" style="3" customWidth="1"/>
    <col min="4813" max="4813" width="0.7109375" style="3" customWidth="1"/>
    <col min="4814" max="4814" width="11" style="3"/>
    <col min="4815" max="4815" width="15.7109375" style="3" customWidth="1"/>
    <col min="4816" max="4817" width="14.85546875" style="3" customWidth="1"/>
    <col min="4818" max="4818" width="3.28515625" style="3" customWidth="1"/>
    <col min="4819" max="4819" width="20.140625" style="3" customWidth="1"/>
    <col min="4820" max="4820" width="3.28515625" style="3" customWidth="1"/>
    <col min="4821" max="4825" width="11" style="3"/>
    <col min="4826" max="4838" width="4.7109375" style="3" customWidth="1"/>
    <col min="4839" max="5048" width="11" style="3"/>
    <col min="5049" max="5049" width="0.7109375" style="3" customWidth="1"/>
    <col min="5050" max="5050" width="6.5703125" style="3" customWidth="1"/>
    <col min="5051" max="5051" width="13.5703125" style="3" customWidth="1"/>
    <col min="5052" max="5052" width="13.42578125" style="3" customWidth="1"/>
    <col min="5053" max="5054" width="12.5703125" style="3" customWidth="1"/>
    <col min="5055" max="5055" width="14.85546875" style="3" customWidth="1"/>
    <col min="5056" max="5056" width="20.7109375" style="3" customWidth="1"/>
    <col min="5057" max="5057" width="12.5703125" style="3" customWidth="1"/>
    <col min="5058" max="5058" width="13" style="3" customWidth="1"/>
    <col min="5059" max="5059" width="16" style="3" customWidth="1"/>
    <col min="5060" max="5060" width="6.42578125" style="3" customWidth="1"/>
    <col min="5061" max="5061" width="16" style="3" customWidth="1"/>
    <col min="5062" max="5062" width="2.85546875" style="3" customWidth="1"/>
    <col min="5063" max="5063" width="0.85546875" style="3" customWidth="1"/>
    <col min="5064" max="5064" width="11" style="3"/>
    <col min="5065" max="5065" width="15.42578125" style="3" customWidth="1"/>
    <col min="5066" max="5068" width="14.85546875" style="3" customWidth="1"/>
    <col min="5069" max="5069" width="0.7109375" style="3" customWidth="1"/>
    <col min="5070" max="5070" width="11" style="3"/>
    <col min="5071" max="5071" width="15.7109375" style="3" customWidth="1"/>
    <col min="5072" max="5073" width="14.85546875" style="3" customWidth="1"/>
    <col min="5074" max="5074" width="3.28515625" style="3" customWidth="1"/>
    <col min="5075" max="5075" width="20.140625" style="3" customWidth="1"/>
    <col min="5076" max="5076" width="3.28515625" style="3" customWidth="1"/>
    <col min="5077" max="5081" width="11" style="3"/>
    <col min="5082" max="5094" width="4.7109375" style="3" customWidth="1"/>
    <col min="5095" max="5304" width="11" style="3"/>
    <col min="5305" max="5305" width="0.7109375" style="3" customWidth="1"/>
    <col min="5306" max="5306" width="6.5703125" style="3" customWidth="1"/>
    <col min="5307" max="5307" width="13.5703125" style="3" customWidth="1"/>
    <col min="5308" max="5308" width="13.42578125" style="3" customWidth="1"/>
    <col min="5309" max="5310" width="12.5703125" style="3" customWidth="1"/>
    <col min="5311" max="5311" width="14.85546875" style="3" customWidth="1"/>
    <col min="5312" max="5312" width="20.7109375" style="3" customWidth="1"/>
    <col min="5313" max="5313" width="12.5703125" style="3" customWidth="1"/>
    <col min="5314" max="5314" width="13" style="3" customWidth="1"/>
    <col min="5315" max="5315" width="16" style="3" customWidth="1"/>
    <col min="5316" max="5316" width="6.42578125" style="3" customWidth="1"/>
    <col min="5317" max="5317" width="16" style="3" customWidth="1"/>
    <col min="5318" max="5318" width="2.85546875" style="3" customWidth="1"/>
    <col min="5319" max="5319" width="0.85546875" style="3" customWidth="1"/>
    <col min="5320" max="5320" width="11" style="3"/>
    <col min="5321" max="5321" width="15.42578125" style="3" customWidth="1"/>
    <col min="5322" max="5324" width="14.85546875" style="3" customWidth="1"/>
    <col min="5325" max="5325" width="0.7109375" style="3" customWidth="1"/>
    <col min="5326" max="5326" width="11" style="3"/>
    <col min="5327" max="5327" width="15.7109375" style="3" customWidth="1"/>
    <col min="5328" max="5329" width="14.85546875" style="3" customWidth="1"/>
    <col min="5330" max="5330" width="3.28515625" style="3" customWidth="1"/>
    <col min="5331" max="5331" width="20.140625" style="3" customWidth="1"/>
    <col min="5332" max="5332" width="3.28515625" style="3" customWidth="1"/>
    <col min="5333" max="5337" width="11" style="3"/>
    <col min="5338" max="5350" width="4.7109375" style="3" customWidth="1"/>
    <col min="5351" max="5560" width="11" style="3"/>
    <col min="5561" max="5561" width="0.7109375" style="3" customWidth="1"/>
    <col min="5562" max="5562" width="6.5703125" style="3" customWidth="1"/>
    <col min="5563" max="5563" width="13.5703125" style="3" customWidth="1"/>
    <col min="5564" max="5564" width="13.42578125" style="3" customWidth="1"/>
    <col min="5565" max="5566" width="12.5703125" style="3" customWidth="1"/>
    <col min="5567" max="5567" width="14.85546875" style="3" customWidth="1"/>
    <col min="5568" max="5568" width="20.7109375" style="3" customWidth="1"/>
    <col min="5569" max="5569" width="12.5703125" style="3" customWidth="1"/>
    <col min="5570" max="5570" width="13" style="3" customWidth="1"/>
    <col min="5571" max="5571" width="16" style="3" customWidth="1"/>
    <col min="5572" max="5572" width="6.42578125" style="3" customWidth="1"/>
    <col min="5573" max="5573" width="16" style="3" customWidth="1"/>
    <col min="5574" max="5574" width="2.85546875" style="3" customWidth="1"/>
    <col min="5575" max="5575" width="0.85546875" style="3" customWidth="1"/>
    <col min="5576" max="5576" width="11" style="3"/>
    <col min="5577" max="5577" width="15.42578125" style="3" customWidth="1"/>
    <col min="5578" max="5580" width="14.85546875" style="3" customWidth="1"/>
    <col min="5581" max="5581" width="0.7109375" style="3" customWidth="1"/>
    <col min="5582" max="5582" width="11" style="3"/>
    <col min="5583" max="5583" width="15.7109375" style="3" customWidth="1"/>
    <col min="5584" max="5585" width="14.85546875" style="3" customWidth="1"/>
    <col min="5586" max="5586" width="3.28515625" style="3" customWidth="1"/>
    <col min="5587" max="5587" width="20.140625" style="3" customWidth="1"/>
    <col min="5588" max="5588" width="3.28515625" style="3" customWidth="1"/>
    <col min="5589" max="5593" width="11" style="3"/>
    <col min="5594" max="5606" width="4.7109375" style="3" customWidth="1"/>
    <col min="5607" max="5816" width="11" style="3"/>
    <col min="5817" max="5817" width="0.7109375" style="3" customWidth="1"/>
    <col min="5818" max="5818" width="6.5703125" style="3" customWidth="1"/>
    <col min="5819" max="5819" width="13.5703125" style="3" customWidth="1"/>
    <col min="5820" max="5820" width="13.42578125" style="3" customWidth="1"/>
    <col min="5821" max="5822" width="12.5703125" style="3" customWidth="1"/>
    <col min="5823" max="5823" width="14.85546875" style="3" customWidth="1"/>
    <col min="5824" max="5824" width="20.7109375" style="3" customWidth="1"/>
    <col min="5825" max="5825" width="12.5703125" style="3" customWidth="1"/>
    <col min="5826" max="5826" width="13" style="3" customWidth="1"/>
    <col min="5827" max="5827" width="16" style="3" customWidth="1"/>
    <col min="5828" max="5828" width="6.42578125" style="3" customWidth="1"/>
    <col min="5829" max="5829" width="16" style="3" customWidth="1"/>
    <col min="5830" max="5830" width="2.85546875" style="3" customWidth="1"/>
    <col min="5831" max="5831" width="0.85546875" style="3" customWidth="1"/>
    <col min="5832" max="5832" width="11" style="3"/>
    <col min="5833" max="5833" width="15.42578125" style="3" customWidth="1"/>
    <col min="5834" max="5836" width="14.85546875" style="3" customWidth="1"/>
    <col min="5837" max="5837" width="0.7109375" style="3" customWidth="1"/>
    <col min="5838" max="5838" width="11" style="3"/>
    <col min="5839" max="5839" width="15.7109375" style="3" customWidth="1"/>
    <col min="5840" max="5841" width="14.85546875" style="3" customWidth="1"/>
    <col min="5842" max="5842" width="3.28515625" style="3" customWidth="1"/>
    <col min="5843" max="5843" width="20.140625" style="3" customWidth="1"/>
    <col min="5844" max="5844" width="3.28515625" style="3" customWidth="1"/>
    <col min="5845" max="5849" width="11" style="3"/>
    <col min="5850" max="5862" width="4.7109375" style="3" customWidth="1"/>
    <col min="5863" max="6072" width="11" style="3"/>
    <col min="6073" max="6073" width="0.7109375" style="3" customWidth="1"/>
    <col min="6074" max="6074" width="6.5703125" style="3" customWidth="1"/>
    <col min="6075" max="6075" width="13.5703125" style="3" customWidth="1"/>
    <col min="6076" max="6076" width="13.42578125" style="3" customWidth="1"/>
    <col min="6077" max="6078" width="12.5703125" style="3" customWidth="1"/>
    <col min="6079" max="6079" width="14.85546875" style="3" customWidth="1"/>
    <col min="6080" max="6080" width="20.7109375" style="3" customWidth="1"/>
    <col min="6081" max="6081" width="12.5703125" style="3" customWidth="1"/>
    <col min="6082" max="6082" width="13" style="3" customWidth="1"/>
    <col min="6083" max="6083" width="16" style="3" customWidth="1"/>
    <col min="6084" max="6084" width="6.42578125" style="3" customWidth="1"/>
    <col min="6085" max="6085" width="16" style="3" customWidth="1"/>
    <col min="6086" max="6086" width="2.85546875" style="3" customWidth="1"/>
    <col min="6087" max="6087" width="0.85546875" style="3" customWidth="1"/>
    <col min="6088" max="6088" width="11" style="3"/>
    <col min="6089" max="6089" width="15.42578125" style="3" customWidth="1"/>
    <col min="6090" max="6092" width="14.85546875" style="3" customWidth="1"/>
    <col min="6093" max="6093" width="0.7109375" style="3" customWidth="1"/>
    <col min="6094" max="6094" width="11" style="3"/>
    <col min="6095" max="6095" width="15.7109375" style="3" customWidth="1"/>
    <col min="6096" max="6097" width="14.85546875" style="3" customWidth="1"/>
    <col min="6098" max="6098" width="3.28515625" style="3" customWidth="1"/>
    <col min="6099" max="6099" width="20.140625" style="3" customWidth="1"/>
    <col min="6100" max="6100" width="3.28515625" style="3" customWidth="1"/>
    <col min="6101" max="6105" width="11" style="3"/>
    <col min="6106" max="6118" width="4.7109375" style="3" customWidth="1"/>
    <col min="6119" max="6328" width="11" style="3"/>
    <col min="6329" max="6329" width="0.7109375" style="3" customWidth="1"/>
    <col min="6330" max="6330" width="6.5703125" style="3" customWidth="1"/>
    <col min="6331" max="6331" width="13.5703125" style="3" customWidth="1"/>
    <col min="6332" max="6332" width="13.42578125" style="3" customWidth="1"/>
    <col min="6333" max="6334" width="12.5703125" style="3" customWidth="1"/>
    <col min="6335" max="6335" width="14.85546875" style="3" customWidth="1"/>
    <col min="6336" max="6336" width="20.7109375" style="3" customWidth="1"/>
    <col min="6337" max="6337" width="12.5703125" style="3" customWidth="1"/>
    <col min="6338" max="6338" width="13" style="3" customWidth="1"/>
    <col min="6339" max="6339" width="16" style="3" customWidth="1"/>
    <col min="6340" max="6340" width="6.42578125" style="3" customWidth="1"/>
    <col min="6341" max="6341" width="16" style="3" customWidth="1"/>
    <col min="6342" max="6342" width="2.85546875" style="3" customWidth="1"/>
    <col min="6343" max="6343" width="0.85546875" style="3" customWidth="1"/>
    <col min="6344" max="6344" width="11" style="3"/>
    <col min="6345" max="6345" width="15.42578125" style="3" customWidth="1"/>
    <col min="6346" max="6348" width="14.85546875" style="3" customWidth="1"/>
    <col min="6349" max="6349" width="0.7109375" style="3" customWidth="1"/>
    <col min="6350" max="6350" width="11" style="3"/>
    <col min="6351" max="6351" width="15.7109375" style="3" customWidth="1"/>
    <col min="6352" max="6353" width="14.85546875" style="3" customWidth="1"/>
    <col min="6354" max="6354" width="3.28515625" style="3" customWidth="1"/>
    <col min="6355" max="6355" width="20.140625" style="3" customWidth="1"/>
    <col min="6356" max="6356" width="3.28515625" style="3" customWidth="1"/>
    <col min="6357" max="6361" width="11" style="3"/>
    <col min="6362" max="6374" width="4.7109375" style="3" customWidth="1"/>
    <col min="6375" max="6584" width="11" style="3"/>
    <col min="6585" max="6585" width="0.7109375" style="3" customWidth="1"/>
    <col min="6586" max="6586" width="6.5703125" style="3" customWidth="1"/>
    <col min="6587" max="6587" width="13.5703125" style="3" customWidth="1"/>
    <col min="6588" max="6588" width="13.42578125" style="3" customWidth="1"/>
    <col min="6589" max="6590" width="12.5703125" style="3" customWidth="1"/>
    <col min="6591" max="6591" width="14.85546875" style="3" customWidth="1"/>
    <col min="6592" max="6592" width="20.7109375" style="3" customWidth="1"/>
    <col min="6593" max="6593" width="12.5703125" style="3" customWidth="1"/>
    <col min="6594" max="6594" width="13" style="3" customWidth="1"/>
    <col min="6595" max="6595" width="16" style="3" customWidth="1"/>
    <col min="6596" max="6596" width="6.42578125" style="3" customWidth="1"/>
    <col min="6597" max="6597" width="16" style="3" customWidth="1"/>
    <col min="6598" max="6598" width="2.85546875" style="3" customWidth="1"/>
    <col min="6599" max="6599" width="0.85546875" style="3" customWidth="1"/>
    <col min="6600" max="6600" width="11" style="3"/>
    <col min="6601" max="6601" width="15.42578125" style="3" customWidth="1"/>
    <col min="6602" max="6604" width="14.85546875" style="3" customWidth="1"/>
    <col min="6605" max="6605" width="0.7109375" style="3" customWidth="1"/>
    <col min="6606" max="6606" width="11" style="3"/>
    <col min="6607" max="6607" width="15.7109375" style="3" customWidth="1"/>
    <col min="6608" max="6609" width="14.85546875" style="3" customWidth="1"/>
    <col min="6610" max="6610" width="3.28515625" style="3" customWidth="1"/>
    <col min="6611" max="6611" width="20.140625" style="3" customWidth="1"/>
    <col min="6612" max="6612" width="3.28515625" style="3" customWidth="1"/>
    <col min="6613" max="6617" width="11" style="3"/>
    <col min="6618" max="6630" width="4.7109375" style="3" customWidth="1"/>
    <col min="6631" max="6840" width="11" style="3"/>
    <col min="6841" max="6841" width="0.7109375" style="3" customWidth="1"/>
    <col min="6842" max="6842" width="6.5703125" style="3" customWidth="1"/>
    <col min="6843" max="6843" width="13.5703125" style="3" customWidth="1"/>
    <col min="6844" max="6844" width="13.42578125" style="3" customWidth="1"/>
    <col min="6845" max="6846" width="12.5703125" style="3" customWidth="1"/>
    <col min="6847" max="6847" width="14.85546875" style="3" customWidth="1"/>
    <col min="6848" max="6848" width="20.7109375" style="3" customWidth="1"/>
    <col min="6849" max="6849" width="12.5703125" style="3" customWidth="1"/>
    <col min="6850" max="6850" width="13" style="3" customWidth="1"/>
    <col min="6851" max="6851" width="16" style="3" customWidth="1"/>
    <col min="6852" max="6852" width="6.42578125" style="3" customWidth="1"/>
    <col min="6853" max="6853" width="16" style="3" customWidth="1"/>
    <col min="6854" max="6854" width="2.85546875" style="3" customWidth="1"/>
    <col min="6855" max="6855" width="0.85546875" style="3" customWidth="1"/>
    <col min="6856" max="6856" width="11" style="3"/>
    <col min="6857" max="6857" width="15.42578125" style="3" customWidth="1"/>
    <col min="6858" max="6860" width="14.85546875" style="3" customWidth="1"/>
    <col min="6861" max="6861" width="0.7109375" style="3" customWidth="1"/>
    <col min="6862" max="6862" width="11" style="3"/>
    <col min="6863" max="6863" width="15.7109375" style="3" customWidth="1"/>
    <col min="6864" max="6865" width="14.85546875" style="3" customWidth="1"/>
    <col min="6866" max="6866" width="3.28515625" style="3" customWidth="1"/>
    <col min="6867" max="6867" width="20.140625" style="3" customWidth="1"/>
    <col min="6868" max="6868" width="3.28515625" style="3" customWidth="1"/>
    <col min="6869" max="6873" width="11" style="3"/>
    <col min="6874" max="6886" width="4.7109375" style="3" customWidth="1"/>
    <col min="6887" max="7096" width="11" style="3"/>
    <col min="7097" max="7097" width="0.7109375" style="3" customWidth="1"/>
    <col min="7098" max="7098" width="6.5703125" style="3" customWidth="1"/>
    <col min="7099" max="7099" width="13.5703125" style="3" customWidth="1"/>
    <col min="7100" max="7100" width="13.42578125" style="3" customWidth="1"/>
    <col min="7101" max="7102" width="12.5703125" style="3" customWidth="1"/>
    <col min="7103" max="7103" width="14.85546875" style="3" customWidth="1"/>
    <col min="7104" max="7104" width="20.7109375" style="3" customWidth="1"/>
    <col min="7105" max="7105" width="12.5703125" style="3" customWidth="1"/>
    <col min="7106" max="7106" width="13" style="3" customWidth="1"/>
    <col min="7107" max="7107" width="16" style="3" customWidth="1"/>
    <col min="7108" max="7108" width="6.42578125" style="3" customWidth="1"/>
    <col min="7109" max="7109" width="16" style="3" customWidth="1"/>
    <col min="7110" max="7110" width="2.85546875" style="3" customWidth="1"/>
    <col min="7111" max="7111" width="0.85546875" style="3" customWidth="1"/>
    <col min="7112" max="7112" width="11" style="3"/>
    <col min="7113" max="7113" width="15.42578125" style="3" customWidth="1"/>
    <col min="7114" max="7116" width="14.85546875" style="3" customWidth="1"/>
    <col min="7117" max="7117" width="0.7109375" style="3" customWidth="1"/>
    <col min="7118" max="7118" width="11" style="3"/>
    <col min="7119" max="7119" width="15.7109375" style="3" customWidth="1"/>
    <col min="7120" max="7121" width="14.85546875" style="3" customWidth="1"/>
    <col min="7122" max="7122" width="3.28515625" style="3" customWidth="1"/>
    <col min="7123" max="7123" width="20.140625" style="3" customWidth="1"/>
    <col min="7124" max="7124" width="3.28515625" style="3" customWidth="1"/>
    <col min="7125" max="7129" width="11" style="3"/>
    <col min="7130" max="7142" width="4.7109375" style="3" customWidth="1"/>
    <col min="7143" max="7352" width="11" style="3"/>
    <col min="7353" max="7353" width="0.7109375" style="3" customWidth="1"/>
    <col min="7354" max="7354" width="6.5703125" style="3" customWidth="1"/>
    <col min="7355" max="7355" width="13.5703125" style="3" customWidth="1"/>
    <col min="7356" max="7356" width="13.42578125" style="3" customWidth="1"/>
    <col min="7357" max="7358" width="12.5703125" style="3" customWidth="1"/>
    <col min="7359" max="7359" width="14.85546875" style="3" customWidth="1"/>
    <col min="7360" max="7360" width="20.7109375" style="3" customWidth="1"/>
    <col min="7361" max="7361" width="12.5703125" style="3" customWidth="1"/>
    <col min="7362" max="7362" width="13" style="3" customWidth="1"/>
    <col min="7363" max="7363" width="16" style="3" customWidth="1"/>
    <col min="7364" max="7364" width="6.42578125" style="3" customWidth="1"/>
    <col min="7365" max="7365" width="16" style="3" customWidth="1"/>
    <col min="7366" max="7366" width="2.85546875" style="3" customWidth="1"/>
    <col min="7367" max="7367" width="0.85546875" style="3" customWidth="1"/>
    <col min="7368" max="7368" width="11" style="3"/>
    <col min="7369" max="7369" width="15.42578125" style="3" customWidth="1"/>
    <col min="7370" max="7372" width="14.85546875" style="3" customWidth="1"/>
    <col min="7373" max="7373" width="0.7109375" style="3" customWidth="1"/>
    <col min="7374" max="7374" width="11" style="3"/>
    <col min="7375" max="7375" width="15.7109375" style="3" customWidth="1"/>
    <col min="7376" max="7377" width="14.85546875" style="3" customWidth="1"/>
    <col min="7378" max="7378" width="3.28515625" style="3" customWidth="1"/>
    <col min="7379" max="7379" width="20.140625" style="3" customWidth="1"/>
    <col min="7380" max="7380" width="3.28515625" style="3" customWidth="1"/>
    <col min="7381" max="7385" width="11" style="3"/>
    <col min="7386" max="7398" width="4.7109375" style="3" customWidth="1"/>
    <col min="7399" max="7608" width="11" style="3"/>
    <col min="7609" max="7609" width="0.7109375" style="3" customWidth="1"/>
    <col min="7610" max="7610" width="6.5703125" style="3" customWidth="1"/>
    <col min="7611" max="7611" width="13.5703125" style="3" customWidth="1"/>
    <col min="7612" max="7612" width="13.42578125" style="3" customWidth="1"/>
    <col min="7613" max="7614" width="12.5703125" style="3" customWidth="1"/>
    <col min="7615" max="7615" width="14.85546875" style="3" customWidth="1"/>
    <col min="7616" max="7616" width="20.7109375" style="3" customWidth="1"/>
    <col min="7617" max="7617" width="12.5703125" style="3" customWidth="1"/>
    <col min="7618" max="7618" width="13" style="3" customWidth="1"/>
    <col min="7619" max="7619" width="16" style="3" customWidth="1"/>
    <col min="7620" max="7620" width="6.42578125" style="3" customWidth="1"/>
    <col min="7621" max="7621" width="16" style="3" customWidth="1"/>
    <col min="7622" max="7622" width="2.85546875" style="3" customWidth="1"/>
    <col min="7623" max="7623" width="0.85546875" style="3" customWidth="1"/>
    <col min="7624" max="7624" width="11" style="3"/>
    <col min="7625" max="7625" width="15.42578125" style="3" customWidth="1"/>
    <col min="7626" max="7628" width="14.85546875" style="3" customWidth="1"/>
    <col min="7629" max="7629" width="0.7109375" style="3" customWidth="1"/>
    <col min="7630" max="7630" width="11" style="3"/>
    <col min="7631" max="7631" width="15.7109375" style="3" customWidth="1"/>
    <col min="7632" max="7633" width="14.85546875" style="3" customWidth="1"/>
    <col min="7634" max="7634" width="3.28515625" style="3" customWidth="1"/>
    <col min="7635" max="7635" width="20.140625" style="3" customWidth="1"/>
    <col min="7636" max="7636" width="3.28515625" style="3" customWidth="1"/>
    <col min="7637" max="7641" width="11" style="3"/>
    <col min="7642" max="7654" width="4.7109375" style="3" customWidth="1"/>
    <col min="7655" max="7864" width="11" style="3"/>
    <col min="7865" max="7865" width="0.7109375" style="3" customWidth="1"/>
    <col min="7866" max="7866" width="6.5703125" style="3" customWidth="1"/>
    <col min="7867" max="7867" width="13.5703125" style="3" customWidth="1"/>
    <col min="7868" max="7868" width="13.42578125" style="3" customWidth="1"/>
    <col min="7869" max="7870" width="12.5703125" style="3" customWidth="1"/>
    <col min="7871" max="7871" width="14.85546875" style="3" customWidth="1"/>
    <col min="7872" max="7872" width="20.7109375" style="3" customWidth="1"/>
    <col min="7873" max="7873" width="12.5703125" style="3" customWidth="1"/>
    <col min="7874" max="7874" width="13" style="3" customWidth="1"/>
    <col min="7875" max="7875" width="16" style="3" customWidth="1"/>
    <col min="7876" max="7876" width="6.42578125" style="3" customWidth="1"/>
    <col min="7877" max="7877" width="16" style="3" customWidth="1"/>
    <col min="7878" max="7878" width="2.85546875" style="3" customWidth="1"/>
    <col min="7879" max="7879" width="0.85546875" style="3" customWidth="1"/>
    <col min="7880" max="7880" width="11" style="3"/>
    <col min="7881" max="7881" width="15.42578125" style="3" customWidth="1"/>
    <col min="7882" max="7884" width="14.85546875" style="3" customWidth="1"/>
    <col min="7885" max="7885" width="0.7109375" style="3" customWidth="1"/>
    <col min="7886" max="7886" width="11" style="3"/>
    <col min="7887" max="7887" width="15.7109375" style="3" customWidth="1"/>
    <col min="7888" max="7889" width="14.85546875" style="3" customWidth="1"/>
    <col min="7890" max="7890" width="3.28515625" style="3" customWidth="1"/>
    <col min="7891" max="7891" width="20.140625" style="3" customWidth="1"/>
    <col min="7892" max="7892" width="3.28515625" style="3" customWidth="1"/>
    <col min="7893" max="7897" width="11" style="3"/>
    <col min="7898" max="7910" width="4.7109375" style="3" customWidth="1"/>
    <col min="7911" max="8120" width="11" style="3"/>
    <col min="8121" max="8121" width="0.7109375" style="3" customWidth="1"/>
    <col min="8122" max="8122" width="6.5703125" style="3" customWidth="1"/>
    <col min="8123" max="8123" width="13.5703125" style="3" customWidth="1"/>
    <col min="8124" max="8124" width="13.42578125" style="3" customWidth="1"/>
    <col min="8125" max="8126" width="12.5703125" style="3" customWidth="1"/>
    <col min="8127" max="8127" width="14.85546875" style="3" customWidth="1"/>
    <col min="8128" max="8128" width="20.7109375" style="3" customWidth="1"/>
    <col min="8129" max="8129" width="12.5703125" style="3" customWidth="1"/>
    <col min="8130" max="8130" width="13" style="3" customWidth="1"/>
    <col min="8131" max="8131" width="16" style="3" customWidth="1"/>
    <col min="8132" max="8132" width="6.42578125" style="3" customWidth="1"/>
    <col min="8133" max="8133" width="16" style="3" customWidth="1"/>
    <col min="8134" max="8134" width="2.85546875" style="3" customWidth="1"/>
    <col min="8135" max="8135" width="0.85546875" style="3" customWidth="1"/>
    <col min="8136" max="8136" width="11" style="3"/>
    <col min="8137" max="8137" width="15.42578125" style="3" customWidth="1"/>
    <col min="8138" max="8140" width="14.85546875" style="3" customWidth="1"/>
    <col min="8141" max="8141" width="0.7109375" style="3" customWidth="1"/>
    <col min="8142" max="8142" width="11" style="3"/>
    <col min="8143" max="8143" width="15.7109375" style="3" customWidth="1"/>
    <col min="8144" max="8145" width="14.85546875" style="3" customWidth="1"/>
    <col min="8146" max="8146" width="3.28515625" style="3" customWidth="1"/>
    <col min="8147" max="8147" width="20.140625" style="3" customWidth="1"/>
    <col min="8148" max="8148" width="3.28515625" style="3" customWidth="1"/>
    <col min="8149" max="8153" width="11" style="3"/>
    <col min="8154" max="8166" width="4.7109375" style="3" customWidth="1"/>
    <col min="8167" max="8376" width="11" style="3"/>
    <col min="8377" max="8377" width="0.7109375" style="3" customWidth="1"/>
    <col min="8378" max="8378" width="6.5703125" style="3" customWidth="1"/>
    <col min="8379" max="8379" width="13.5703125" style="3" customWidth="1"/>
    <col min="8380" max="8380" width="13.42578125" style="3" customWidth="1"/>
    <col min="8381" max="8382" width="12.5703125" style="3" customWidth="1"/>
    <col min="8383" max="8383" width="14.85546875" style="3" customWidth="1"/>
    <col min="8384" max="8384" width="20.7109375" style="3" customWidth="1"/>
    <col min="8385" max="8385" width="12.5703125" style="3" customWidth="1"/>
    <col min="8386" max="8386" width="13" style="3" customWidth="1"/>
    <col min="8387" max="8387" width="16" style="3" customWidth="1"/>
    <col min="8388" max="8388" width="6.42578125" style="3" customWidth="1"/>
    <col min="8389" max="8389" width="16" style="3" customWidth="1"/>
    <col min="8390" max="8390" width="2.85546875" style="3" customWidth="1"/>
    <col min="8391" max="8391" width="0.85546875" style="3" customWidth="1"/>
    <col min="8392" max="8392" width="11" style="3"/>
    <col min="8393" max="8393" width="15.42578125" style="3" customWidth="1"/>
    <col min="8394" max="8396" width="14.85546875" style="3" customWidth="1"/>
    <col min="8397" max="8397" width="0.7109375" style="3" customWidth="1"/>
    <col min="8398" max="8398" width="11" style="3"/>
    <col min="8399" max="8399" width="15.7109375" style="3" customWidth="1"/>
    <col min="8400" max="8401" width="14.85546875" style="3" customWidth="1"/>
    <col min="8402" max="8402" width="3.28515625" style="3" customWidth="1"/>
    <col min="8403" max="8403" width="20.140625" style="3" customWidth="1"/>
    <col min="8404" max="8404" width="3.28515625" style="3" customWidth="1"/>
    <col min="8405" max="8409" width="11" style="3"/>
    <col min="8410" max="8422" width="4.7109375" style="3" customWidth="1"/>
    <col min="8423" max="8632" width="11" style="3"/>
    <col min="8633" max="8633" width="0.7109375" style="3" customWidth="1"/>
    <col min="8634" max="8634" width="6.5703125" style="3" customWidth="1"/>
    <col min="8635" max="8635" width="13.5703125" style="3" customWidth="1"/>
    <col min="8636" max="8636" width="13.42578125" style="3" customWidth="1"/>
    <col min="8637" max="8638" width="12.5703125" style="3" customWidth="1"/>
    <col min="8639" max="8639" width="14.85546875" style="3" customWidth="1"/>
    <col min="8640" max="8640" width="20.7109375" style="3" customWidth="1"/>
    <col min="8641" max="8641" width="12.5703125" style="3" customWidth="1"/>
    <col min="8642" max="8642" width="13" style="3" customWidth="1"/>
    <col min="8643" max="8643" width="16" style="3" customWidth="1"/>
    <col min="8644" max="8644" width="6.42578125" style="3" customWidth="1"/>
    <col min="8645" max="8645" width="16" style="3" customWidth="1"/>
    <col min="8646" max="8646" width="2.85546875" style="3" customWidth="1"/>
    <col min="8647" max="8647" width="0.85546875" style="3" customWidth="1"/>
    <col min="8648" max="8648" width="11" style="3"/>
    <col min="8649" max="8649" width="15.42578125" style="3" customWidth="1"/>
    <col min="8650" max="8652" width="14.85546875" style="3" customWidth="1"/>
    <col min="8653" max="8653" width="0.7109375" style="3" customWidth="1"/>
    <col min="8654" max="8654" width="11" style="3"/>
    <col min="8655" max="8655" width="15.7109375" style="3" customWidth="1"/>
    <col min="8656" max="8657" width="14.85546875" style="3" customWidth="1"/>
    <col min="8658" max="8658" width="3.28515625" style="3" customWidth="1"/>
    <col min="8659" max="8659" width="20.140625" style="3" customWidth="1"/>
    <col min="8660" max="8660" width="3.28515625" style="3" customWidth="1"/>
    <col min="8661" max="8665" width="11" style="3"/>
    <col min="8666" max="8678" width="4.7109375" style="3" customWidth="1"/>
    <col min="8679" max="8888" width="11" style="3"/>
    <col min="8889" max="8889" width="0.7109375" style="3" customWidth="1"/>
    <col min="8890" max="8890" width="6.5703125" style="3" customWidth="1"/>
    <col min="8891" max="8891" width="13.5703125" style="3" customWidth="1"/>
    <col min="8892" max="8892" width="13.42578125" style="3" customWidth="1"/>
    <col min="8893" max="8894" width="12.5703125" style="3" customWidth="1"/>
    <col min="8895" max="8895" width="14.85546875" style="3" customWidth="1"/>
    <col min="8896" max="8896" width="20.7109375" style="3" customWidth="1"/>
    <col min="8897" max="8897" width="12.5703125" style="3" customWidth="1"/>
    <col min="8898" max="8898" width="13" style="3" customWidth="1"/>
    <col min="8899" max="8899" width="16" style="3" customWidth="1"/>
    <col min="8900" max="8900" width="6.42578125" style="3" customWidth="1"/>
    <col min="8901" max="8901" width="16" style="3" customWidth="1"/>
    <col min="8902" max="8902" width="2.85546875" style="3" customWidth="1"/>
    <col min="8903" max="8903" width="0.85546875" style="3" customWidth="1"/>
    <col min="8904" max="8904" width="11" style="3"/>
    <col min="8905" max="8905" width="15.42578125" style="3" customWidth="1"/>
    <col min="8906" max="8908" width="14.85546875" style="3" customWidth="1"/>
    <col min="8909" max="8909" width="0.7109375" style="3" customWidth="1"/>
    <col min="8910" max="8910" width="11" style="3"/>
    <col min="8911" max="8911" width="15.7109375" style="3" customWidth="1"/>
    <col min="8912" max="8913" width="14.85546875" style="3" customWidth="1"/>
    <col min="8914" max="8914" width="3.28515625" style="3" customWidth="1"/>
    <col min="8915" max="8915" width="20.140625" style="3" customWidth="1"/>
    <col min="8916" max="8916" width="3.28515625" style="3" customWidth="1"/>
    <col min="8917" max="8921" width="11" style="3"/>
    <col min="8922" max="8934" width="4.7109375" style="3" customWidth="1"/>
    <col min="8935" max="9144" width="11" style="3"/>
    <col min="9145" max="9145" width="0.7109375" style="3" customWidth="1"/>
    <col min="9146" max="9146" width="6.5703125" style="3" customWidth="1"/>
    <col min="9147" max="9147" width="13.5703125" style="3" customWidth="1"/>
    <col min="9148" max="9148" width="13.42578125" style="3" customWidth="1"/>
    <col min="9149" max="9150" width="12.5703125" style="3" customWidth="1"/>
    <col min="9151" max="9151" width="14.85546875" style="3" customWidth="1"/>
    <col min="9152" max="9152" width="20.7109375" style="3" customWidth="1"/>
    <col min="9153" max="9153" width="12.5703125" style="3" customWidth="1"/>
    <col min="9154" max="9154" width="13" style="3" customWidth="1"/>
    <col min="9155" max="9155" width="16" style="3" customWidth="1"/>
    <col min="9156" max="9156" width="6.42578125" style="3" customWidth="1"/>
    <col min="9157" max="9157" width="16" style="3" customWidth="1"/>
    <col min="9158" max="9158" width="2.85546875" style="3" customWidth="1"/>
    <col min="9159" max="9159" width="0.85546875" style="3" customWidth="1"/>
    <col min="9160" max="9160" width="11" style="3"/>
    <col min="9161" max="9161" width="15.42578125" style="3" customWidth="1"/>
    <col min="9162" max="9164" width="14.85546875" style="3" customWidth="1"/>
    <col min="9165" max="9165" width="0.7109375" style="3" customWidth="1"/>
    <col min="9166" max="9166" width="11" style="3"/>
    <col min="9167" max="9167" width="15.7109375" style="3" customWidth="1"/>
    <col min="9168" max="9169" width="14.85546875" style="3" customWidth="1"/>
    <col min="9170" max="9170" width="3.28515625" style="3" customWidth="1"/>
    <col min="9171" max="9171" width="20.140625" style="3" customWidth="1"/>
    <col min="9172" max="9172" width="3.28515625" style="3" customWidth="1"/>
    <col min="9173" max="9177" width="11" style="3"/>
    <col min="9178" max="9190" width="4.7109375" style="3" customWidth="1"/>
    <col min="9191" max="9400" width="11" style="3"/>
    <col min="9401" max="9401" width="0.7109375" style="3" customWidth="1"/>
    <col min="9402" max="9402" width="6.5703125" style="3" customWidth="1"/>
    <col min="9403" max="9403" width="13.5703125" style="3" customWidth="1"/>
    <col min="9404" max="9404" width="13.42578125" style="3" customWidth="1"/>
    <col min="9405" max="9406" width="12.5703125" style="3" customWidth="1"/>
    <col min="9407" max="9407" width="14.85546875" style="3" customWidth="1"/>
    <col min="9408" max="9408" width="20.7109375" style="3" customWidth="1"/>
    <col min="9409" max="9409" width="12.5703125" style="3" customWidth="1"/>
    <col min="9410" max="9410" width="13" style="3" customWidth="1"/>
    <col min="9411" max="9411" width="16" style="3" customWidth="1"/>
    <col min="9412" max="9412" width="6.42578125" style="3" customWidth="1"/>
    <col min="9413" max="9413" width="16" style="3" customWidth="1"/>
    <col min="9414" max="9414" width="2.85546875" style="3" customWidth="1"/>
    <col min="9415" max="9415" width="0.85546875" style="3" customWidth="1"/>
    <col min="9416" max="9416" width="11" style="3"/>
    <col min="9417" max="9417" width="15.42578125" style="3" customWidth="1"/>
    <col min="9418" max="9420" width="14.85546875" style="3" customWidth="1"/>
    <col min="9421" max="9421" width="0.7109375" style="3" customWidth="1"/>
    <col min="9422" max="9422" width="11" style="3"/>
    <col min="9423" max="9423" width="15.7109375" style="3" customWidth="1"/>
    <col min="9424" max="9425" width="14.85546875" style="3" customWidth="1"/>
    <col min="9426" max="9426" width="3.28515625" style="3" customWidth="1"/>
    <col min="9427" max="9427" width="20.140625" style="3" customWidth="1"/>
    <col min="9428" max="9428" width="3.28515625" style="3" customWidth="1"/>
    <col min="9429" max="9433" width="11" style="3"/>
    <col min="9434" max="9446" width="4.7109375" style="3" customWidth="1"/>
    <col min="9447" max="9656" width="11" style="3"/>
    <col min="9657" max="9657" width="0.7109375" style="3" customWidth="1"/>
    <col min="9658" max="9658" width="6.5703125" style="3" customWidth="1"/>
    <col min="9659" max="9659" width="13.5703125" style="3" customWidth="1"/>
    <col min="9660" max="9660" width="13.42578125" style="3" customWidth="1"/>
    <col min="9661" max="9662" width="12.5703125" style="3" customWidth="1"/>
    <col min="9663" max="9663" width="14.85546875" style="3" customWidth="1"/>
    <col min="9664" max="9664" width="20.7109375" style="3" customWidth="1"/>
    <col min="9665" max="9665" width="12.5703125" style="3" customWidth="1"/>
    <col min="9666" max="9666" width="13" style="3" customWidth="1"/>
    <col min="9667" max="9667" width="16" style="3" customWidth="1"/>
    <col min="9668" max="9668" width="6.42578125" style="3" customWidth="1"/>
    <col min="9669" max="9669" width="16" style="3" customWidth="1"/>
    <col min="9670" max="9670" width="2.85546875" style="3" customWidth="1"/>
    <col min="9671" max="9671" width="0.85546875" style="3" customWidth="1"/>
    <col min="9672" max="9672" width="11" style="3"/>
    <col min="9673" max="9673" width="15.42578125" style="3" customWidth="1"/>
    <col min="9674" max="9676" width="14.85546875" style="3" customWidth="1"/>
    <col min="9677" max="9677" width="0.7109375" style="3" customWidth="1"/>
    <col min="9678" max="9678" width="11" style="3"/>
    <col min="9679" max="9679" width="15.7109375" style="3" customWidth="1"/>
    <col min="9680" max="9681" width="14.85546875" style="3" customWidth="1"/>
    <col min="9682" max="9682" width="3.28515625" style="3" customWidth="1"/>
    <col min="9683" max="9683" width="20.140625" style="3" customWidth="1"/>
    <col min="9684" max="9684" width="3.28515625" style="3" customWidth="1"/>
    <col min="9685" max="9689" width="11" style="3"/>
    <col min="9690" max="9702" width="4.7109375" style="3" customWidth="1"/>
    <col min="9703" max="9912" width="11" style="3"/>
    <col min="9913" max="9913" width="0.7109375" style="3" customWidth="1"/>
    <col min="9914" max="9914" width="6.5703125" style="3" customWidth="1"/>
    <col min="9915" max="9915" width="13.5703125" style="3" customWidth="1"/>
    <col min="9916" max="9916" width="13.42578125" style="3" customWidth="1"/>
    <col min="9917" max="9918" width="12.5703125" style="3" customWidth="1"/>
    <col min="9919" max="9919" width="14.85546875" style="3" customWidth="1"/>
    <col min="9920" max="9920" width="20.7109375" style="3" customWidth="1"/>
    <col min="9921" max="9921" width="12.5703125" style="3" customWidth="1"/>
    <col min="9922" max="9922" width="13" style="3" customWidth="1"/>
    <col min="9923" max="9923" width="16" style="3" customWidth="1"/>
    <col min="9924" max="9924" width="6.42578125" style="3" customWidth="1"/>
    <col min="9925" max="9925" width="16" style="3" customWidth="1"/>
    <col min="9926" max="9926" width="2.85546875" style="3" customWidth="1"/>
    <col min="9927" max="9927" width="0.85546875" style="3" customWidth="1"/>
    <col min="9928" max="9928" width="11" style="3"/>
    <col min="9929" max="9929" width="15.42578125" style="3" customWidth="1"/>
    <col min="9930" max="9932" width="14.85546875" style="3" customWidth="1"/>
    <col min="9933" max="9933" width="0.7109375" style="3" customWidth="1"/>
    <col min="9934" max="9934" width="11" style="3"/>
    <col min="9935" max="9935" width="15.7109375" style="3" customWidth="1"/>
    <col min="9936" max="9937" width="14.85546875" style="3" customWidth="1"/>
    <col min="9938" max="9938" width="3.28515625" style="3" customWidth="1"/>
    <col min="9939" max="9939" width="20.140625" style="3" customWidth="1"/>
    <col min="9940" max="9940" width="3.28515625" style="3" customWidth="1"/>
    <col min="9941" max="9945" width="11" style="3"/>
    <col min="9946" max="9958" width="4.7109375" style="3" customWidth="1"/>
    <col min="9959" max="10168" width="11" style="3"/>
    <col min="10169" max="10169" width="0.7109375" style="3" customWidth="1"/>
    <col min="10170" max="10170" width="6.5703125" style="3" customWidth="1"/>
    <col min="10171" max="10171" width="13.5703125" style="3" customWidth="1"/>
    <col min="10172" max="10172" width="13.42578125" style="3" customWidth="1"/>
    <col min="10173" max="10174" width="12.5703125" style="3" customWidth="1"/>
    <col min="10175" max="10175" width="14.85546875" style="3" customWidth="1"/>
    <col min="10176" max="10176" width="20.7109375" style="3" customWidth="1"/>
    <col min="10177" max="10177" width="12.5703125" style="3" customWidth="1"/>
    <col min="10178" max="10178" width="13" style="3" customWidth="1"/>
    <col min="10179" max="10179" width="16" style="3" customWidth="1"/>
    <col min="10180" max="10180" width="6.42578125" style="3" customWidth="1"/>
    <col min="10181" max="10181" width="16" style="3" customWidth="1"/>
    <col min="10182" max="10182" width="2.85546875" style="3" customWidth="1"/>
    <col min="10183" max="10183" width="0.85546875" style="3" customWidth="1"/>
    <col min="10184" max="10184" width="11" style="3"/>
    <col min="10185" max="10185" width="15.42578125" style="3" customWidth="1"/>
    <col min="10186" max="10188" width="14.85546875" style="3" customWidth="1"/>
    <col min="10189" max="10189" width="0.7109375" style="3" customWidth="1"/>
    <col min="10190" max="10190" width="11" style="3"/>
    <col min="10191" max="10191" width="15.7109375" style="3" customWidth="1"/>
    <col min="10192" max="10193" width="14.85546875" style="3" customWidth="1"/>
    <col min="10194" max="10194" width="3.28515625" style="3" customWidth="1"/>
    <col min="10195" max="10195" width="20.140625" style="3" customWidth="1"/>
    <col min="10196" max="10196" width="3.28515625" style="3" customWidth="1"/>
    <col min="10197" max="10201" width="11" style="3"/>
    <col min="10202" max="10214" width="4.7109375" style="3" customWidth="1"/>
    <col min="10215" max="10424" width="11" style="3"/>
    <col min="10425" max="10425" width="0.7109375" style="3" customWidth="1"/>
    <col min="10426" max="10426" width="6.5703125" style="3" customWidth="1"/>
    <col min="10427" max="10427" width="13.5703125" style="3" customWidth="1"/>
    <col min="10428" max="10428" width="13.42578125" style="3" customWidth="1"/>
    <col min="10429" max="10430" width="12.5703125" style="3" customWidth="1"/>
    <col min="10431" max="10431" width="14.85546875" style="3" customWidth="1"/>
    <col min="10432" max="10432" width="20.7109375" style="3" customWidth="1"/>
    <col min="10433" max="10433" width="12.5703125" style="3" customWidth="1"/>
    <col min="10434" max="10434" width="13" style="3" customWidth="1"/>
    <col min="10435" max="10435" width="16" style="3" customWidth="1"/>
    <col min="10436" max="10436" width="6.42578125" style="3" customWidth="1"/>
    <col min="10437" max="10437" width="16" style="3" customWidth="1"/>
    <col min="10438" max="10438" width="2.85546875" style="3" customWidth="1"/>
    <col min="10439" max="10439" width="0.85546875" style="3" customWidth="1"/>
    <col min="10440" max="10440" width="11" style="3"/>
    <col min="10441" max="10441" width="15.42578125" style="3" customWidth="1"/>
    <col min="10442" max="10444" width="14.85546875" style="3" customWidth="1"/>
    <col min="10445" max="10445" width="0.7109375" style="3" customWidth="1"/>
    <col min="10446" max="10446" width="11" style="3"/>
    <col min="10447" max="10447" width="15.7109375" style="3" customWidth="1"/>
    <col min="10448" max="10449" width="14.85546875" style="3" customWidth="1"/>
    <col min="10450" max="10450" width="3.28515625" style="3" customWidth="1"/>
    <col min="10451" max="10451" width="20.140625" style="3" customWidth="1"/>
    <col min="10452" max="10452" width="3.28515625" style="3" customWidth="1"/>
    <col min="10453" max="10457" width="11" style="3"/>
    <col min="10458" max="10470" width="4.7109375" style="3" customWidth="1"/>
    <col min="10471" max="10680" width="11" style="3"/>
    <col min="10681" max="10681" width="0.7109375" style="3" customWidth="1"/>
    <col min="10682" max="10682" width="6.5703125" style="3" customWidth="1"/>
    <col min="10683" max="10683" width="13.5703125" style="3" customWidth="1"/>
    <col min="10684" max="10684" width="13.42578125" style="3" customWidth="1"/>
    <col min="10685" max="10686" width="12.5703125" style="3" customWidth="1"/>
    <col min="10687" max="10687" width="14.85546875" style="3" customWidth="1"/>
    <col min="10688" max="10688" width="20.7109375" style="3" customWidth="1"/>
    <col min="10689" max="10689" width="12.5703125" style="3" customWidth="1"/>
    <col min="10690" max="10690" width="13" style="3" customWidth="1"/>
    <col min="10691" max="10691" width="16" style="3" customWidth="1"/>
    <col min="10692" max="10692" width="6.42578125" style="3" customWidth="1"/>
    <col min="10693" max="10693" width="16" style="3" customWidth="1"/>
    <col min="10694" max="10694" width="2.85546875" style="3" customWidth="1"/>
    <col min="10695" max="10695" width="0.85546875" style="3" customWidth="1"/>
    <col min="10696" max="10696" width="11" style="3"/>
    <col min="10697" max="10697" width="15.42578125" style="3" customWidth="1"/>
    <col min="10698" max="10700" width="14.85546875" style="3" customWidth="1"/>
    <col min="10701" max="10701" width="0.7109375" style="3" customWidth="1"/>
    <col min="10702" max="10702" width="11" style="3"/>
    <col min="10703" max="10703" width="15.7109375" style="3" customWidth="1"/>
    <col min="10704" max="10705" width="14.85546875" style="3" customWidth="1"/>
    <col min="10706" max="10706" width="3.28515625" style="3" customWidth="1"/>
    <col min="10707" max="10707" width="20.140625" style="3" customWidth="1"/>
    <col min="10708" max="10708" width="3.28515625" style="3" customWidth="1"/>
    <col min="10709" max="10713" width="11" style="3"/>
    <col min="10714" max="10726" width="4.7109375" style="3" customWidth="1"/>
    <col min="10727" max="10936" width="11" style="3"/>
    <col min="10937" max="10937" width="0.7109375" style="3" customWidth="1"/>
    <col min="10938" max="10938" width="6.5703125" style="3" customWidth="1"/>
    <col min="10939" max="10939" width="13.5703125" style="3" customWidth="1"/>
    <col min="10940" max="10940" width="13.42578125" style="3" customWidth="1"/>
    <col min="10941" max="10942" width="12.5703125" style="3" customWidth="1"/>
    <col min="10943" max="10943" width="14.85546875" style="3" customWidth="1"/>
    <col min="10944" max="10944" width="20.7109375" style="3" customWidth="1"/>
    <col min="10945" max="10945" width="12.5703125" style="3" customWidth="1"/>
    <col min="10946" max="10946" width="13" style="3" customWidth="1"/>
    <col min="10947" max="10947" width="16" style="3" customWidth="1"/>
    <col min="10948" max="10948" width="6.42578125" style="3" customWidth="1"/>
    <col min="10949" max="10949" width="16" style="3" customWidth="1"/>
    <col min="10950" max="10950" width="2.85546875" style="3" customWidth="1"/>
    <col min="10951" max="10951" width="0.85546875" style="3" customWidth="1"/>
    <col min="10952" max="10952" width="11" style="3"/>
    <col min="10953" max="10953" width="15.42578125" style="3" customWidth="1"/>
    <col min="10954" max="10956" width="14.85546875" style="3" customWidth="1"/>
    <col min="10957" max="10957" width="0.7109375" style="3" customWidth="1"/>
    <col min="10958" max="10958" width="11" style="3"/>
    <col min="10959" max="10959" width="15.7109375" style="3" customWidth="1"/>
    <col min="10960" max="10961" width="14.85546875" style="3" customWidth="1"/>
    <col min="10962" max="10962" width="3.28515625" style="3" customWidth="1"/>
    <col min="10963" max="10963" width="20.140625" style="3" customWidth="1"/>
    <col min="10964" max="10964" width="3.28515625" style="3" customWidth="1"/>
    <col min="10965" max="10969" width="11" style="3"/>
    <col min="10970" max="10982" width="4.7109375" style="3" customWidth="1"/>
    <col min="10983" max="11192" width="11" style="3"/>
    <col min="11193" max="11193" width="0.7109375" style="3" customWidth="1"/>
    <col min="11194" max="11194" width="6.5703125" style="3" customWidth="1"/>
    <col min="11195" max="11195" width="13.5703125" style="3" customWidth="1"/>
    <col min="11196" max="11196" width="13.42578125" style="3" customWidth="1"/>
    <col min="11197" max="11198" width="12.5703125" style="3" customWidth="1"/>
    <col min="11199" max="11199" width="14.85546875" style="3" customWidth="1"/>
    <col min="11200" max="11200" width="20.7109375" style="3" customWidth="1"/>
    <col min="11201" max="11201" width="12.5703125" style="3" customWidth="1"/>
    <col min="11202" max="11202" width="13" style="3" customWidth="1"/>
    <col min="11203" max="11203" width="16" style="3" customWidth="1"/>
    <col min="11204" max="11204" width="6.42578125" style="3" customWidth="1"/>
    <col min="11205" max="11205" width="16" style="3" customWidth="1"/>
    <col min="11206" max="11206" width="2.85546875" style="3" customWidth="1"/>
    <col min="11207" max="11207" width="0.85546875" style="3" customWidth="1"/>
    <col min="11208" max="11208" width="11" style="3"/>
    <col min="11209" max="11209" width="15.42578125" style="3" customWidth="1"/>
    <col min="11210" max="11212" width="14.85546875" style="3" customWidth="1"/>
    <col min="11213" max="11213" width="0.7109375" style="3" customWidth="1"/>
    <col min="11214" max="11214" width="11" style="3"/>
    <col min="11215" max="11215" width="15.7109375" style="3" customWidth="1"/>
    <col min="11216" max="11217" width="14.85546875" style="3" customWidth="1"/>
    <col min="11218" max="11218" width="3.28515625" style="3" customWidth="1"/>
    <col min="11219" max="11219" width="20.140625" style="3" customWidth="1"/>
    <col min="11220" max="11220" width="3.28515625" style="3" customWidth="1"/>
    <col min="11221" max="11225" width="11" style="3"/>
    <col min="11226" max="11238" width="4.7109375" style="3" customWidth="1"/>
    <col min="11239" max="11448" width="11" style="3"/>
    <col min="11449" max="11449" width="0.7109375" style="3" customWidth="1"/>
    <col min="11450" max="11450" width="6.5703125" style="3" customWidth="1"/>
    <col min="11451" max="11451" width="13.5703125" style="3" customWidth="1"/>
    <col min="11452" max="11452" width="13.42578125" style="3" customWidth="1"/>
    <col min="11453" max="11454" width="12.5703125" style="3" customWidth="1"/>
    <col min="11455" max="11455" width="14.85546875" style="3" customWidth="1"/>
    <col min="11456" max="11456" width="20.7109375" style="3" customWidth="1"/>
    <col min="11457" max="11457" width="12.5703125" style="3" customWidth="1"/>
    <col min="11458" max="11458" width="13" style="3" customWidth="1"/>
    <col min="11459" max="11459" width="16" style="3" customWidth="1"/>
    <col min="11460" max="11460" width="6.42578125" style="3" customWidth="1"/>
    <col min="11461" max="11461" width="16" style="3" customWidth="1"/>
    <col min="11462" max="11462" width="2.85546875" style="3" customWidth="1"/>
    <col min="11463" max="11463" width="0.85546875" style="3" customWidth="1"/>
    <col min="11464" max="11464" width="11" style="3"/>
    <col min="11465" max="11465" width="15.42578125" style="3" customWidth="1"/>
    <col min="11466" max="11468" width="14.85546875" style="3" customWidth="1"/>
    <col min="11469" max="11469" width="0.7109375" style="3" customWidth="1"/>
    <col min="11470" max="11470" width="11" style="3"/>
    <col min="11471" max="11471" width="15.7109375" style="3" customWidth="1"/>
    <col min="11472" max="11473" width="14.85546875" style="3" customWidth="1"/>
    <col min="11474" max="11474" width="3.28515625" style="3" customWidth="1"/>
    <col min="11475" max="11475" width="20.140625" style="3" customWidth="1"/>
    <col min="11476" max="11476" width="3.28515625" style="3" customWidth="1"/>
    <col min="11477" max="11481" width="11" style="3"/>
    <col min="11482" max="11494" width="4.7109375" style="3" customWidth="1"/>
    <col min="11495" max="11704" width="11" style="3"/>
    <col min="11705" max="11705" width="0.7109375" style="3" customWidth="1"/>
    <col min="11706" max="11706" width="6.5703125" style="3" customWidth="1"/>
    <col min="11707" max="11707" width="13.5703125" style="3" customWidth="1"/>
    <col min="11708" max="11708" width="13.42578125" style="3" customWidth="1"/>
    <col min="11709" max="11710" width="12.5703125" style="3" customWidth="1"/>
    <col min="11711" max="11711" width="14.85546875" style="3" customWidth="1"/>
    <col min="11712" max="11712" width="20.7109375" style="3" customWidth="1"/>
    <col min="11713" max="11713" width="12.5703125" style="3" customWidth="1"/>
    <col min="11714" max="11714" width="13" style="3" customWidth="1"/>
    <col min="11715" max="11715" width="16" style="3" customWidth="1"/>
    <col min="11716" max="11716" width="6.42578125" style="3" customWidth="1"/>
    <col min="11717" max="11717" width="16" style="3" customWidth="1"/>
    <col min="11718" max="11718" width="2.85546875" style="3" customWidth="1"/>
    <col min="11719" max="11719" width="0.85546875" style="3" customWidth="1"/>
    <col min="11720" max="11720" width="11" style="3"/>
    <col min="11721" max="11721" width="15.42578125" style="3" customWidth="1"/>
    <col min="11722" max="11724" width="14.85546875" style="3" customWidth="1"/>
    <col min="11725" max="11725" width="0.7109375" style="3" customWidth="1"/>
    <col min="11726" max="11726" width="11" style="3"/>
    <col min="11727" max="11727" width="15.7109375" style="3" customWidth="1"/>
    <col min="11728" max="11729" width="14.85546875" style="3" customWidth="1"/>
    <col min="11730" max="11730" width="3.28515625" style="3" customWidth="1"/>
    <col min="11731" max="11731" width="20.140625" style="3" customWidth="1"/>
    <col min="11732" max="11732" width="3.28515625" style="3" customWidth="1"/>
    <col min="11733" max="11737" width="11" style="3"/>
    <col min="11738" max="11750" width="4.7109375" style="3" customWidth="1"/>
    <col min="11751" max="11960" width="11" style="3"/>
    <col min="11961" max="11961" width="0.7109375" style="3" customWidth="1"/>
    <col min="11962" max="11962" width="6.5703125" style="3" customWidth="1"/>
    <col min="11963" max="11963" width="13.5703125" style="3" customWidth="1"/>
    <col min="11964" max="11964" width="13.42578125" style="3" customWidth="1"/>
    <col min="11965" max="11966" width="12.5703125" style="3" customWidth="1"/>
    <col min="11967" max="11967" width="14.85546875" style="3" customWidth="1"/>
    <col min="11968" max="11968" width="20.7109375" style="3" customWidth="1"/>
    <col min="11969" max="11969" width="12.5703125" style="3" customWidth="1"/>
    <col min="11970" max="11970" width="13" style="3" customWidth="1"/>
    <col min="11971" max="11971" width="16" style="3" customWidth="1"/>
    <col min="11972" max="11972" width="6.42578125" style="3" customWidth="1"/>
    <col min="11973" max="11973" width="16" style="3" customWidth="1"/>
    <col min="11974" max="11974" width="2.85546875" style="3" customWidth="1"/>
    <col min="11975" max="11975" width="0.85546875" style="3" customWidth="1"/>
    <col min="11976" max="11976" width="11" style="3"/>
    <col min="11977" max="11977" width="15.42578125" style="3" customWidth="1"/>
    <col min="11978" max="11980" width="14.85546875" style="3" customWidth="1"/>
    <col min="11981" max="11981" width="0.7109375" style="3" customWidth="1"/>
    <col min="11982" max="11982" width="11" style="3"/>
    <col min="11983" max="11983" width="15.7109375" style="3" customWidth="1"/>
    <col min="11984" max="11985" width="14.85546875" style="3" customWidth="1"/>
    <col min="11986" max="11986" width="3.28515625" style="3" customWidth="1"/>
    <col min="11987" max="11987" width="20.140625" style="3" customWidth="1"/>
    <col min="11988" max="11988" width="3.28515625" style="3" customWidth="1"/>
    <col min="11989" max="11993" width="11" style="3"/>
    <col min="11994" max="12006" width="4.7109375" style="3" customWidth="1"/>
    <col min="12007" max="12216" width="11" style="3"/>
    <col min="12217" max="12217" width="0.7109375" style="3" customWidth="1"/>
    <col min="12218" max="12218" width="6.5703125" style="3" customWidth="1"/>
    <col min="12219" max="12219" width="13.5703125" style="3" customWidth="1"/>
    <col min="12220" max="12220" width="13.42578125" style="3" customWidth="1"/>
    <col min="12221" max="12222" width="12.5703125" style="3" customWidth="1"/>
    <col min="12223" max="12223" width="14.85546875" style="3" customWidth="1"/>
    <col min="12224" max="12224" width="20.7109375" style="3" customWidth="1"/>
    <col min="12225" max="12225" width="12.5703125" style="3" customWidth="1"/>
    <col min="12226" max="12226" width="13" style="3" customWidth="1"/>
    <col min="12227" max="12227" width="16" style="3" customWidth="1"/>
    <col min="12228" max="12228" width="6.42578125" style="3" customWidth="1"/>
    <col min="12229" max="12229" width="16" style="3" customWidth="1"/>
    <col min="12230" max="12230" width="2.85546875" style="3" customWidth="1"/>
    <col min="12231" max="12231" width="0.85546875" style="3" customWidth="1"/>
    <col min="12232" max="12232" width="11" style="3"/>
    <col min="12233" max="12233" width="15.42578125" style="3" customWidth="1"/>
    <col min="12234" max="12236" width="14.85546875" style="3" customWidth="1"/>
    <col min="12237" max="12237" width="0.7109375" style="3" customWidth="1"/>
    <col min="12238" max="12238" width="11" style="3"/>
    <col min="12239" max="12239" width="15.7109375" style="3" customWidth="1"/>
    <col min="12240" max="12241" width="14.85546875" style="3" customWidth="1"/>
    <col min="12242" max="12242" width="3.28515625" style="3" customWidth="1"/>
    <col min="12243" max="12243" width="20.140625" style="3" customWidth="1"/>
    <col min="12244" max="12244" width="3.28515625" style="3" customWidth="1"/>
    <col min="12245" max="12249" width="11" style="3"/>
    <col min="12250" max="12262" width="4.7109375" style="3" customWidth="1"/>
    <col min="12263" max="12472" width="11" style="3"/>
    <col min="12473" max="12473" width="0.7109375" style="3" customWidth="1"/>
    <col min="12474" max="12474" width="6.5703125" style="3" customWidth="1"/>
    <col min="12475" max="12475" width="13.5703125" style="3" customWidth="1"/>
    <col min="12476" max="12476" width="13.42578125" style="3" customWidth="1"/>
    <col min="12477" max="12478" width="12.5703125" style="3" customWidth="1"/>
    <col min="12479" max="12479" width="14.85546875" style="3" customWidth="1"/>
    <col min="12480" max="12480" width="20.7109375" style="3" customWidth="1"/>
    <col min="12481" max="12481" width="12.5703125" style="3" customWidth="1"/>
    <col min="12482" max="12482" width="13" style="3" customWidth="1"/>
    <col min="12483" max="12483" width="16" style="3" customWidth="1"/>
    <col min="12484" max="12484" width="6.42578125" style="3" customWidth="1"/>
    <col min="12485" max="12485" width="16" style="3" customWidth="1"/>
    <col min="12486" max="12486" width="2.85546875" style="3" customWidth="1"/>
    <col min="12487" max="12487" width="0.85546875" style="3" customWidth="1"/>
    <col min="12488" max="12488" width="11" style="3"/>
    <col min="12489" max="12489" width="15.42578125" style="3" customWidth="1"/>
    <col min="12490" max="12492" width="14.85546875" style="3" customWidth="1"/>
    <col min="12493" max="12493" width="0.7109375" style="3" customWidth="1"/>
    <col min="12494" max="12494" width="11" style="3"/>
    <col min="12495" max="12495" width="15.7109375" style="3" customWidth="1"/>
    <col min="12496" max="12497" width="14.85546875" style="3" customWidth="1"/>
    <col min="12498" max="12498" width="3.28515625" style="3" customWidth="1"/>
    <col min="12499" max="12499" width="20.140625" style="3" customWidth="1"/>
    <col min="12500" max="12500" width="3.28515625" style="3" customWidth="1"/>
    <col min="12501" max="12505" width="11" style="3"/>
    <col min="12506" max="12518" width="4.7109375" style="3" customWidth="1"/>
    <col min="12519" max="12728" width="11" style="3"/>
    <col min="12729" max="12729" width="0.7109375" style="3" customWidth="1"/>
    <col min="12730" max="12730" width="6.5703125" style="3" customWidth="1"/>
    <col min="12731" max="12731" width="13.5703125" style="3" customWidth="1"/>
    <col min="12732" max="12732" width="13.42578125" style="3" customWidth="1"/>
    <col min="12733" max="12734" width="12.5703125" style="3" customWidth="1"/>
    <col min="12735" max="12735" width="14.85546875" style="3" customWidth="1"/>
    <col min="12736" max="12736" width="20.7109375" style="3" customWidth="1"/>
    <col min="12737" max="12737" width="12.5703125" style="3" customWidth="1"/>
    <col min="12738" max="12738" width="13" style="3" customWidth="1"/>
    <col min="12739" max="12739" width="16" style="3" customWidth="1"/>
    <col min="12740" max="12740" width="6.42578125" style="3" customWidth="1"/>
    <col min="12741" max="12741" width="16" style="3" customWidth="1"/>
    <col min="12742" max="12742" width="2.85546875" style="3" customWidth="1"/>
    <col min="12743" max="12743" width="0.85546875" style="3" customWidth="1"/>
    <col min="12744" max="12744" width="11" style="3"/>
    <col min="12745" max="12745" width="15.42578125" style="3" customWidth="1"/>
    <col min="12746" max="12748" width="14.85546875" style="3" customWidth="1"/>
    <col min="12749" max="12749" width="0.7109375" style="3" customWidth="1"/>
    <col min="12750" max="12750" width="11" style="3"/>
    <col min="12751" max="12751" width="15.7109375" style="3" customWidth="1"/>
    <col min="12752" max="12753" width="14.85546875" style="3" customWidth="1"/>
    <col min="12754" max="12754" width="3.28515625" style="3" customWidth="1"/>
    <col min="12755" max="12755" width="20.140625" style="3" customWidth="1"/>
    <col min="12756" max="12756" width="3.28515625" style="3" customWidth="1"/>
    <col min="12757" max="12761" width="11" style="3"/>
    <col min="12762" max="12774" width="4.7109375" style="3" customWidth="1"/>
    <col min="12775" max="12984" width="11" style="3"/>
    <col min="12985" max="12985" width="0.7109375" style="3" customWidth="1"/>
    <col min="12986" max="12986" width="6.5703125" style="3" customWidth="1"/>
    <col min="12987" max="12987" width="13.5703125" style="3" customWidth="1"/>
    <col min="12988" max="12988" width="13.42578125" style="3" customWidth="1"/>
    <col min="12989" max="12990" width="12.5703125" style="3" customWidth="1"/>
    <col min="12991" max="12991" width="14.85546875" style="3" customWidth="1"/>
    <col min="12992" max="12992" width="20.7109375" style="3" customWidth="1"/>
    <col min="12993" max="12993" width="12.5703125" style="3" customWidth="1"/>
    <col min="12994" max="12994" width="13" style="3" customWidth="1"/>
    <col min="12995" max="12995" width="16" style="3" customWidth="1"/>
    <col min="12996" max="12996" width="6.42578125" style="3" customWidth="1"/>
    <col min="12997" max="12997" width="16" style="3" customWidth="1"/>
    <col min="12998" max="12998" width="2.85546875" style="3" customWidth="1"/>
    <col min="12999" max="12999" width="0.85546875" style="3" customWidth="1"/>
    <col min="13000" max="13000" width="11" style="3"/>
    <col min="13001" max="13001" width="15.42578125" style="3" customWidth="1"/>
    <col min="13002" max="13004" width="14.85546875" style="3" customWidth="1"/>
    <col min="13005" max="13005" width="0.7109375" style="3" customWidth="1"/>
    <col min="13006" max="13006" width="11" style="3"/>
    <col min="13007" max="13007" width="15.7109375" style="3" customWidth="1"/>
    <col min="13008" max="13009" width="14.85546875" style="3" customWidth="1"/>
    <col min="13010" max="13010" width="3.28515625" style="3" customWidth="1"/>
    <col min="13011" max="13011" width="20.140625" style="3" customWidth="1"/>
    <col min="13012" max="13012" width="3.28515625" style="3" customWidth="1"/>
    <col min="13013" max="13017" width="11" style="3"/>
    <col min="13018" max="13030" width="4.7109375" style="3" customWidth="1"/>
    <col min="13031" max="13240" width="11" style="3"/>
    <col min="13241" max="13241" width="0.7109375" style="3" customWidth="1"/>
    <col min="13242" max="13242" width="6.5703125" style="3" customWidth="1"/>
    <col min="13243" max="13243" width="13.5703125" style="3" customWidth="1"/>
    <col min="13244" max="13244" width="13.42578125" style="3" customWidth="1"/>
    <col min="13245" max="13246" width="12.5703125" style="3" customWidth="1"/>
    <col min="13247" max="13247" width="14.85546875" style="3" customWidth="1"/>
    <col min="13248" max="13248" width="20.7109375" style="3" customWidth="1"/>
    <col min="13249" max="13249" width="12.5703125" style="3" customWidth="1"/>
    <col min="13250" max="13250" width="13" style="3" customWidth="1"/>
    <col min="13251" max="13251" width="16" style="3" customWidth="1"/>
    <col min="13252" max="13252" width="6.42578125" style="3" customWidth="1"/>
    <col min="13253" max="13253" width="16" style="3" customWidth="1"/>
    <col min="13254" max="13254" width="2.85546875" style="3" customWidth="1"/>
    <col min="13255" max="13255" width="0.85546875" style="3" customWidth="1"/>
    <col min="13256" max="13256" width="11" style="3"/>
    <col min="13257" max="13257" width="15.42578125" style="3" customWidth="1"/>
    <col min="13258" max="13260" width="14.85546875" style="3" customWidth="1"/>
    <col min="13261" max="13261" width="0.7109375" style="3" customWidth="1"/>
    <col min="13262" max="13262" width="11" style="3"/>
    <col min="13263" max="13263" width="15.7109375" style="3" customWidth="1"/>
    <col min="13264" max="13265" width="14.85546875" style="3" customWidth="1"/>
    <col min="13266" max="13266" width="3.28515625" style="3" customWidth="1"/>
    <col min="13267" max="13267" width="20.140625" style="3" customWidth="1"/>
    <col min="13268" max="13268" width="3.28515625" style="3" customWidth="1"/>
    <col min="13269" max="13273" width="11" style="3"/>
    <col min="13274" max="13286" width="4.7109375" style="3" customWidth="1"/>
    <col min="13287" max="13496" width="11" style="3"/>
    <col min="13497" max="13497" width="0.7109375" style="3" customWidth="1"/>
    <col min="13498" max="13498" width="6.5703125" style="3" customWidth="1"/>
    <col min="13499" max="13499" width="13.5703125" style="3" customWidth="1"/>
    <col min="13500" max="13500" width="13.42578125" style="3" customWidth="1"/>
    <col min="13501" max="13502" width="12.5703125" style="3" customWidth="1"/>
    <col min="13503" max="13503" width="14.85546875" style="3" customWidth="1"/>
    <col min="13504" max="13504" width="20.7109375" style="3" customWidth="1"/>
    <col min="13505" max="13505" width="12.5703125" style="3" customWidth="1"/>
    <col min="13506" max="13506" width="13" style="3" customWidth="1"/>
    <col min="13507" max="13507" width="16" style="3" customWidth="1"/>
    <col min="13508" max="13508" width="6.42578125" style="3" customWidth="1"/>
    <col min="13509" max="13509" width="16" style="3" customWidth="1"/>
    <col min="13510" max="13510" width="2.85546875" style="3" customWidth="1"/>
    <col min="13511" max="13511" width="0.85546875" style="3" customWidth="1"/>
    <col min="13512" max="13512" width="11" style="3"/>
    <col min="13513" max="13513" width="15.42578125" style="3" customWidth="1"/>
    <col min="13514" max="13516" width="14.85546875" style="3" customWidth="1"/>
    <col min="13517" max="13517" width="0.7109375" style="3" customWidth="1"/>
    <col min="13518" max="13518" width="11" style="3"/>
    <col min="13519" max="13519" width="15.7109375" style="3" customWidth="1"/>
    <col min="13520" max="13521" width="14.85546875" style="3" customWidth="1"/>
    <col min="13522" max="13522" width="3.28515625" style="3" customWidth="1"/>
    <col min="13523" max="13523" width="20.140625" style="3" customWidth="1"/>
    <col min="13524" max="13524" width="3.28515625" style="3" customWidth="1"/>
    <col min="13525" max="13529" width="11" style="3"/>
    <col min="13530" max="13542" width="4.7109375" style="3" customWidth="1"/>
    <col min="13543" max="13752" width="11" style="3"/>
    <col min="13753" max="13753" width="0.7109375" style="3" customWidth="1"/>
    <col min="13754" max="13754" width="6.5703125" style="3" customWidth="1"/>
    <col min="13755" max="13755" width="13.5703125" style="3" customWidth="1"/>
    <col min="13756" max="13756" width="13.42578125" style="3" customWidth="1"/>
    <col min="13757" max="13758" width="12.5703125" style="3" customWidth="1"/>
    <col min="13759" max="13759" width="14.85546875" style="3" customWidth="1"/>
    <col min="13760" max="13760" width="20.7109375" style="3" customWidth="1"/>
    <col min="13761" max="13761" width="12.5703125" style="3" customWidth="1"/>
    <col min="13762" max="13762" width="13" style="3" customWidth="1"/>
    <col min="13763" max="13763" width="16" style="3" customWidth="1"/>
    <col min="13764" max="13764" width="6.42578125" style="3" customWidth="1"/>
    <col min="13765" max="13765" width="16" style="3" customWidth="1"/>
    <col min="13766" max="13766" width="2.85546875" style="3" customWidth="1"/>
    <col min="13767" max="13767" width="0.85546875" style="3" customWidth="1"/>
    <col min="13768" max="13768" width="11" style="3"/>
    <col min="13769" max="13769" width="15.42578125" style="3" customWidth="1"/>
    <col min="13770" max="13772" width="14.85546875" style="3" customWidth="1"/>
    <col min="13773" max="13773" width="0.7109375" style="3" customWidth="1"/>
    <col min="13774" max="13774" width="11" style="3"/>
    <col min="13775" max="13775" width="15.7109375" style="3" customWidth="1"/>
    <col min="13776" max="13777" width="14.85546875" style="3" customWidth="1"/>
    <col min="13778" max="13778" width="3.28515625" style="3" customWidth="1"/>
    <col min="13779" max="13779" width="20.140625" style="3" customWidth="1"/>
    <col min="13780" max="13780" width="3.28515625" style="3" customWidth="1"/>
    <col min="13781" max="13785" width="11" style="3"/>
    <col min="13786" max="13798" width="4.7109375" style="3" customWidth="1"/>
    <col min="13799" max="14008" width="11" style="3"/>
    <col min="14009" max="14009" width="0.7109375" style="3" customWidth="1"/>
    <col min="14010" max="14010" width="6.5703125" style="3" customWidth="1"/>
    <col min="14011" max="14011" width="13.5703125" style="3" customWidth="1"/>
    <col min="14012" max="14012" width="13.42578125" style="3" customWidth="1"/>
    <col min="14013" max="14014" width="12.5703125" style="3" customWidth="1"/>
    <col min="14015" max="14015" width="14.85546875" style="3" customWidth="1"/>
    <col min="14016" max="14016" width="20.7109375" style="3" customWidth="1"/>
    <col min="14017" max="14017" width="12.5703125" style="3" customWidth="1"/>
    <col min="14018" max="14018" width="13" style="3" customWidth="1"/>
    <col min="14019" max="14019" width="16" style="3" customWidth="1"/>
    <col min="14020" max="14020" width="6.42578125" style="3" customWidth="1"/>
    <col min="14021" max="14021" width="16" style="3" customWidth="1"/>
    <col min="14022" max="14022" width="2.85546875" style="3" customWidth="1"/>
    <col min="14023" max="14023" width="0.85546875" style="3" customWidth="1"/>
    <col min="14024" max="14024" width="11" style="3"/>
    <col min="14025" max="14025" width="15.42578125" style="3" customWidth="1"/>
    <col min="14026" max="14028" width="14.85546875" style="3" customWidth="1"/>
    <col min="14029" max="14029" width="0.7109375" style="3" customWidth="1"/>
    <col min="14030" max="14030" width="11" style="3"/>
    <col min="14031" max="14031" width="15.7109375" style="3" customWidth="1"/>
    <col min="14032" max="14033" width="14.85546875" style="3" customWidth="1"/>
    <col min="14034" max="14034" width="3.28515625" style="3" customWidth="1"/>
    <col min="14035" max="14035" width="20.140625" style="3" customWidth="1"/>
    <col min="14036" max="14036" width="3.28515625" style="3" customWidth="1"/>
    <col min="14037" max="14041" width="11" style="3"/>
    <col min="14042" max="14054" width="4.7109375" style="3" customWidth="1"/>
    <col min="14055" max="14264" width="11" style="3"/>
    <col min="14265" max="14265" width="0.7109375" style="3" customWidth="1"/>
    <col min="14266" max="14266" width="6.5703125" style="3" customWidth="1"/>
    <col min="14267" max="14267" width="13.5703125" style="3" customWidth="1"/>
    <col min="14268" max="14268" width="13.42578125" style="3" customWidth="1"/>
    <col min="14269" max="14270" width="12.5703125" style="3" customWidth="1"/>
    <col min="14271" max="14271" width="14.85546875" style="3" customWidth="1"/>
    <col min="14272" max="14272" width="20.7109375" style="3" customWidth="1"/>
    <col min="14273" max="14273" width="12.5703125" style="3" customWidth="1"/>
    <col min="14274" max="14274" width="13" style="3" customWidth="1"/>
    <col min="14275" max="14275" width="16" style="3" customWidth="1"/>
    <col min="14276" max="14276" width="6.42578125" style="3" customWidth="1"/>
    <col min="14277" max="14277" width="16" style="3" customWidth="1"/>
    <col min="14278" max="14278" width="2.85546875" style="3" customWidth="1"/>
    <col min="14279" max="14279" width="0.85546875" style="3" customWidth="1"/>
    <col min="14280" max="14280" width="11" style="3"/>
    <col min="14281" max="14281" width="15.42578125" style="3" customWidth="1"/>
    <col min="14282" max="14284" width="14.85546875" style="3" customWidth="1"/>
    <col min="14285" max="14285" width="0.7109375" style="3" customWidth="1"/>
    <col min="14286" max="14286" width="11" style="3"/>
    <col min="14287" max="14287" width="15.7109375" style="3" customWidth="1"/>
    <col min="14288" max="14289" width="14.85546875" style="3" customWidth="1"/>
    <col min="14290" max="14290" width="3.28515625" style="3" customWidth="1"/>
    <col min="14291" max="14291" width="20.140625" style="3" customWidth="1"/>
    <col min="14292" max="14292" width="3.28515625" style="3" customWidth="1"/>
    <col min="14293" max="14297" width="11" style="3"/>
    <col min="14298" max="14310" width="4.7109375" style="3" customWidth="1"/>
    <col min="14311" max="14520" width="11" style="3"/>
    <col min="14521" max="14521" width="0.7109375" style="3" customWidth="1"/>
    <col min="14522" max="14522" width="6.5703125" style="3" customWidth="1"/>
    <col min="14523" max="14523" width="13.5703125" style="3" customWidth="1"/>
    <col min="14524" max="14524" width="13.42578125" style="3" customWidth="1"/>
    <col min="14525" max="14526" width="12.5703125" style="3" customWidth="1"/>
    <col min="14527" max="14527" width="14.85546875" style="3" customWidth="1"/>
    <col min="14528" max="14528" width="20.7109375" style="3" customWidth="1"/>
    <col min="14529" max="14529" width="12.5703125" style="3" customWidth="1"/>
    <col min="14530" max="14530" width="13" style="3" customWidth="1"/>
    <col min="14531" max="14531" width="16" style="3" customWidth="1"/>
    <col min="14532" max="14532" width="6.42578125" style="3" customWidth="1"/>
    <col min="14533" max="14533" width="16" style="3" customWidth="1"/>
    <col min="14534" max="14534" width="2.85546875" style="3" customWidth="1"/>
    <col min="14535" max="14535" width="0.85546875" style="3" customWidth="1"/>
    <col min="14536" max="14536" width="11" style="3"/>
    <col min="14537" max="14537" width="15.42578125" style="3" customWidth="1"/>
    <col min="14538" max="14540" width="14.85546875" style="3" customWidth="1"/>
    <col min="14541" max="14541" width="0.7109375" style="3" customWidth="1"/>
    <col min="14542" max="14542" width="11" style="3"/>
    <col min="14543" max="14543" width="15.7109375" style="3" customWidth="1"/>
    <col min="14544" max="14545" width="14.85546875" style="3" customWidth="1"/>
    <col min="14546" max="14546" width="3.28515625" style="3" customWidth="1"/>
    <col min="14547" max="14547" width="20.140625" style="3" customWidth="1"/>
    <col min="14548" max="14548" width="3.28515625" style="3" customWidth="1"/>
    <col min="14549" max="14553" width="11" style="3"/>
    <col min="14554" max="14566" width="4.7109375" style="3" customWidth="1"/>
    <col min="14567" max="14776" width="11" style="3"/>
    <col min="14777" max="14777" width="0.7109375" style="3" customWidth="1"/>
    <col min="14778" max="14778" width="6.5703125" style="3" customWidth="1"/>
    <col min="14779" max="14779" width="13.5703125" style="3" customWidth="1"/>
    <col min="14780" max="14780" width="13.42578125" style="3" customWidth="1"/>
    <col min="14781" max="14782" width="12.5703125" style="3" customWidth="1"/>
    <col min="14783" max="14783" width="14.85546875" style="3" customWidth="1"/>
    <col min="14784" max="14784" width="20.7109375" style="3" customWidth="1"/>
    <col min="14785" max="14785" width="12.5703125" style="3" customWidth="1"/>
    <col min="14786" max="14786" width="13" style="3" customWidth="1"/>
    <col min="14787" max="14787" width="16" style="3" customWidth="1"/>
    <col min="14788" max="14788" width="6.42578125" style="3" customWidth="1"/>
    <col min="14789" max="14789" width="16" style="3" customWidth="1"/>
    <col min="14790" max="14790" width="2.85546875" style="3" customWidth="1"/>
    <col min="14791" max="14791" width="0.85546875" style="3" customWidth="1"/>
    <col min="14792" max="14792" width="11" style="3"/>
    <col min="14793" max="14793" width="15.42578125" style="3" customWidth="1"/>
    <col min="14794" max="14796" width="14.85546875" style="3" customWidth="1"/>
    <col min="14797" max="14797" width="0.7109375" style="3" customWidth="1"/>
    <col min="14798" max="14798" width="11" style="3"/>
    <col min="14799" max="14799" width="15.7109375" style="3" customWidth="1"/>
    <col min="14800" max="14801" width="14.85546875" style="3" customWidth="1"/>
    <col min="14802" max="14802" width="3.28515625" style="3" customWidth="1"/>
    <col min="14803" max="14803" width="20.140625" style="3" customWidth="1"/>
    <col min="14804" max="14804" width="3.28515625" style="3" customWidth="1"/>
    <col min="14805" max="14809" width="11" style="3"/>
    <col min="14810" max="14822" width="4.7109375" style="3" customWidth="1"/>
    <col min="14823" max="15032" width="11" style="3"/>
    <col min="15033" max="15033" width="0.7109375" style="3" customWidth="1"/>
    <col min="15034" max="15034" width="6.5703125" style="3" customWidth="1"/>
    <col min="15035" max="15035" width="13.5703125" style="3" customWidth="1"/>
    <col min="15036" max="15036" width="13.42578125" style="3" customWidth="1"/>
    <col min="15037" max="15038" width="12.5703125" style="3" customWidth="1"/>
    <col min="15039" max="15039" width="14.85546875" style="3" customWidth="1"/>
    <col min="15040" max="15040" width="20.7109375" style="3" customWidth="1"/>
    <col min="15041" max="15041" width="12.5703125" style="3" customWidth="1"/>
    <col min="15042" max="15042" width="13" style="3" customWidth="1"/>
    <col min="15043" max="15043" width="16" style="3" customWidth="1"/>
    <col min="15044" max="15044" width="6.42578125" style="3" customWidth="1"/>
    <col min="15045" max="15045" width="16" style="3" customWidth="1"/>
    <col min="15046" max="15046" width="2.85546875" style="3" customWidth="1"/>
    <col min="15047" max="15047" width="0.85546875" style="3" customWidth="1"/>
    <col min="15048" max="15048" width="11" style="3"/>
    <col min="15049" max="15049" width="15.42578125" style="3" customWidth="1"/>
    <col min="15050" max="15052" width="14.85546875" style="3" customWidth="1"/>
    <col min="15053" max="15053" width="0.7109375" style="3" customWidth="1"/>
    <col min="15054" max="15054" width="11" style="3"/>
    <col min="15055" max="15055" width="15.7109375" style="3" customWidth="1"/>
    <col min="15056" max="15057" width="14.85546875" style="3" customWidth="1"/>
    <col min="15058" max="15058" width="3.28515625" style="3" customWidth="1"/>
    <col min="15059" max="15059" width="20.140625" style="3" customWidth="1"/>
    <col min="15060" max="15060" width="3.28515625" style="3" customWidth="1"/>
    <col min="15061" max="15065" width="11" style="3"/>
    <col min="15066" max="15078" width="4.7109375" style="3" customWidth="1"/>
    <col min="15079" max="15288" width="11" style="3"/>
    <col min="15289" max="15289" width="0.7109375" style="3" customWidth="1"/>
    <col min="15290" max="15290" width="6.5703125" style="3" customWidth="1"/>
    <col min="15291" max="15291" width="13.5703125" style="3" customWidth="1"/>
    <col min="15292" max="15292" width="13.42578125" style="3" customWidth="1"/>
    <col min="15293" max="15294" width="12.5703125" style="3" customWidth="1"/>
    <col min="15295" max="15295" width="14.85546875" style="3" customWidth="1"/>
    <col min="15296" max="15296" width="20.7109375" style="3" customWidth="1"/>
    <col min="15297" max="15297" width="12.5703125" style="3" customWidth="1"/>
    <col min="15298" max="15298" width="13" style="3" customWidth="1"/>
    <col min="15299" max="15299" width="16" style="3" customWidth="1"/>
    <col min="15300" max="15300" width="6.42578125" style="3" customWidth="1"/>
    <col min="15301" max="15301" width="16" style="3" customWidth="1"/>
    <col min="15302" max="15302" width="2.85546875" style="3" customWidth="1"/>
    <col min="15303" max="15303" width="0.85546875" style="3" customWidth="1"/>
    <col min="15304" max="15304" width="11" style="3"/>
    <col min="15305" max="15305" width="15.42578125" style="3" customWidth="1"/>
    <col min="15306" max="15308" width="14.85546875" style="3" customWidth="1"/>
    <col min="15309" max="15309" width="0.7109375" style="3" customWidth="1"/>
    <col min="15310" max="15310" width="11" style="3"/>
    <col min="15311" max="15311" width="15.7109375" style="3" customWidth="1"/>
    <col min="15312" max="15313" width="14.85546875" style="3" customWidth="1"/>
    <col min="15314" max="15314" width="3.28515625" style="3" customWidth="1"/>
    <col min="15315" max="15315" width="20.140625" style="3" customWidth="1"/>
    <col min="15316" max="15316" width="3.28515625" style="3" customWidth="1"/>
    <col min="15317" max="15321" width="11" style="3"/>
    <col min="15322" max="15334" width="4.7109375" style="3" customWidth="1"/>
    <col min="15335" max="15544" width="11" style="3"/>
    <col min="15545" max="15545" width="0.7109375" style="3" customWidth="1"/>
    <col min="15546" max="15546" width="6.5703125" style="3" customWidth="1"/>
    <col min="15547" max="15547" width="13.5703125" style="3" customWidth="1"/>
    <col min="15548" max="15548" width="13.42578125" style="3" customWidth="1"/>
    <col min="15549" max="15550" width="12.5703125" style="3" customWidth="1"/>
    <col min="15551" max="15551" width="14.85546875" style="3" customWidth="1"/>
    <col min="15552" max="15552" width="20.7109375" style="3" customWidth="1"/>
    <col min="15553" max="15553" width="12.5703125" style="3" customWidth="1"/>
    <col min="15554" max="15554" width="13" style="3" customWidth="1"/>
    <col min="15555" max="15555" width="16" style="3" customWidth="1"/>
    <col min="15556" max="15556" width="6.42578125" style="3" customWidth="1"/>
    <col min="15557" max="15557" width="16" style="3" customWidth="1"/>
    <col min="15558" max="15558" width="2.85546875" style="3" customWidth="1"/>
    <col min="15559" max="15559" width="0.85546875" style="3" customWidth="1"/>
    <col min="15560" max="15560" width="11" style="3"/>
    <col min="15561" max="15561" width="15.42578125" style="3" customWidth="1"/>
    <col min="15562" max="15564" width="14.85546875" style="3" customWidth="1"/>
    <col min="15565" max="15565" width="0.7109375" style="3" customWidth="1"/>
    <col min="15566" max="15566" width="11" style="3"/>
    <col min="15567" max="15567" width="15.7109375" style="3" customWidth="1"/>
    <col min="15568" max="15569" width="14.85546875" style="3" customWidth="1"/>
    <col min="15570" max="15570" width="3.28515625" style="3" customWidth="1"/>
    <col min="15571" max="15571" width="20.140625" style="3" customWidth="1"/>
    <col min="15572" max="15572" width="3.28515625" style="3" customWidth="1"/>
    <col min="15573" max="15577" width="11" style="3"/>
    <col min="15578" max="15590" width="4.7109375" style="3" customWidth="1"/>
    <col min="15591" max="15800" width="11" style="3"/>
    <col min="15801" max="15801" width="0.7109375" style="3" customWidth="1"/>
    <col min="15802" max="15802" width="6.5703125" style="3" customWidth="1"/>
    <col min="15803" max="15803" width="13.5703125" style="3" customWidth="1"/>
    <col min="15804" max="15804" width="13.42578125" style="3" customWidth="1"/>
    <col min="15805" max="15806" width="12.5703125" style="3" customWidth="1"/>
    <col min="15807" max="15807" width="14.85546875" style="3" customWidth="1"/>
    <col min="15808" max="15808" width="20.7109375" style="3" customWidth="1"/>
    <col min="15809" max="15809" width="12.5703125" style="3" customWidth="1"/>
    <col min="15810" max="15810" width="13" style="3" customWidth="1"/>
    <col min="15811" max="15811" width="16" style="3" customWidth="1"/>
    <col min="15812" max="15812" width="6.42578125" style="3" customWidth="1"/>
    <col min="15813" max="15813" width="16" style="3" customWidth="1"/>
    <col min="15814" max="15814" width="2.85546875" style="3" customWidth="1"/>
    <col min="15815" max="15815" width="0.85546875" style="3" customWidth="1"/>
    <col min="15816" max="15816" width="11" style="3"/>
    <col min="15817" max="15817" width="15.42578125" style="3" customWidth="1"/>
    <col min="15818" max="15820" width="14.85546875" style="3" customWidth="1"/>
    <col min="15821" max="15821" width="0.7109375" style="3" customWidth="1"/>
    <col min="15822" max="15822" width="11" style="3"/>
    <col min="15823" max="15823" width="15.7109375" style="3" customWidth="1"/>
    <col min="15824" max="15825" width="14.85546875" style="3" customWidth="1"/>
    <col min="15826" max="15826" width="3.28515625" style="3" customWidth="1"/>
    <col min="15827" max="15827" width="20.140625" style="3" customWidth="1"/>
    <col min="15828" max="15828" width="3.28515625" style="3" customWidth="1"/>
    <col min="15829" max="15833" width="11" style="3"/>
    <col min="15834" max="15846" width="4.7109375" style="3" customWidth="1"/>
    <col min="15847" max="16056" width="11" style="3"/>
    <col min="16057" max="16057" width="0.7109375" style="3" customWidth="1"/>
    <col min="16058" max="16058" width="6.5703125" style="3" customWidth="1"/>
    <col min="16059" max="16059" width="13.5703125" style="3" customWidth="1"/>
    <col min="16060" max="16060" width="13.42578125" style="3" customWidth="1"/>
    <col min="16061" max="16062" width="12.5703125" style="3" customWidth="1"/>
    <col min="16063" max="16063" width="14.85546875" style="3" customWidth="1"/>
    <col min="16064" max="16064" width="20.7109375" style="3" customWidth="1"/>
    <col min="16065" max="16065" width="12.5703125" style="3" customWidth="1"/>
    <col min="16066" max="16066" width="13" style="3" customWidth="1"/>
    <col min="16067" max="16067" width="16" style="3" customWidth="1"/>
    <col min="16068" max="16068" width="6.42578125" style="3" customWidth="1"/>
    <col min="16069" max="16069" width="16" style="3" customWidth="1"/>
    <col min="16070" max="16070" width="2.85546875" style="3" customWidth="1"/>
    <col min="16071" max="16071" width="0.85546875" style="3" customWidth="1"/>
    <col min="16072" max="16072" width="11" style="3"/>
    <col min="16073" max="16073" width="15.42578125" style="3" customWidth="1"/>
    <col min="16074" max="16076" width="14.85546875" style="3" customWidth="1"/>
    <col min="16077" max="16077" width="0.7109375" style="3" customWidth="1"/>
    <col min="16078" max="16078" width="11" style="3"/>
    <col min="16079" max="16079" width="15.7109375" style="3" customWidth="1"/>
    <col min="16080" max="16081" width="14.85546875" style="3" customWidth="1"/>
    <col min="16082" max="16082" width="3.28515625" style="3" customWidth="1"/>
    <col min="16083" max="16083" width="20.140625" style="3" customWidth="1"/>
    <col min="16084" max="16084" width="3.28515625" style="3" customWidth="1"/>
    <col min="16085" max="16089" width="11" style="3"/>
    <col min="16090" max="16102" width="4.7109375" style="3" customWidth="1"/>
    <col min="16103" max="16384" width="11" style="3"/>
  </cols>
  <sheetData>
    <row r="1" spans="1:28" s="1" customFormat="1" ht="19.5" customHeight="1">
      <c r="A1" s="236"/>
      <c r="B1" s="237"/>
      <c r="C1" s="179" t="s">
        <v>0</v>
      </c>
      <c r="D1" s="179"/>
      <c r="E1" s="179"/>
      <c r="F1" s="179"/>
      <c r="G1" s="179"/>
      <c r="H1" s="179"/>
      <c r="I1" s="179"/>
      <c r="J1" s="179"/>
      <c r="K1" s="180" t="s">
        <v>1</v>
      </c>
      <c r="L1" s="181"/>
      <c r="O1" s="80"/>
      <c r="P1" s="80"/>
      <c r="Q1" s="80"/>
      <c r="R1" s="80"/>
      <c r="S1" s="80"/>
      <c r="T1" s="80"/>
      <c r="U1" s="80"/>
      <c r="V1" s="80"/>
      <c r="W1" s="80"/>
      <c r="X1" s="80"/>
      <c r="Y1" s="80"/>
      <c r="Z1" s="80"/>
      <c r="AA1" s="80"/>
    </row>
    <row r="2" spans="1:28" s="1" customFormat="1" ht="19.5" customHeight="1">
      <c r="A2" s="238"/>
      <c r="B2" s="186"/>
      <c r="C2" s="241" t="s">
        <v>2</v>
      </c>
      <c r="D2" s="241"/>
      <c r="E2" s="241"/>
      <c r="F2" s="241"/>
      <c r="G2" s="241"/>
      <c r="H2" s="241"/>
      <c r="I2" s="241"/>
      <c r="J2" s="241"/>
      <c r="K2" s="182" t="s">
        <v>89</v>
      </c>
      <c r="L2" s="183"/>
      <c r="O2" s="80"/>
      <c r="P2" s="80"/>
      <c r="Q2" s="80"/>
      <c r="R2" s="80"/>
      <c r="S2" s="80"/>
      <c r="T2" s="80"/>
      <c r="U2" s="80"/>
      <c r="V2" s="80"/>
      <c r="W2" s="80"/>
      <c r="X2" s="80"/>
      <c r="Y2" s="80"/>
      <c r="Z2" s="80"/>
      <c r="AA2" s="80"/>
    </row>
    <row r="3" spans="1:28" s="1" customFormat="1" ht="19.5" customHeight="1">
      <c r="A3" s="238"/>
      <c r="B3" s="186"/>
      <c r="C3" s="241"/>
      <c r="D3" s="241"/>
      <c r="E3" s="241"/>
      <c r="F3" s="241"/>
      <c r="G3" s="241"/>
      <c r="H3" s="241"/>
      <c r="I3" s="241"/>
      <c r="J3" s="241"/>
      <c r="K3" s="182" t="s">
        <v>3</v>
      </c>
      <c r="L3" s="183"/>
      <c r="Q3" s="132"/>
      <c r="R3" s="80"/>
      <c r="T3" s="132" t="s">
        <v>4</v>
      </c>
      <c r="U3" s="132"/>
      <c r="V3" s="80"/>
      <c r="W3" s="80"/>
      <c r="X3" s="80"/>
      <c r="Y3" s="80"/>
      <c r="Z3" s="80"/>
      <c r="AA3" s="80"/>
    </row>
    <row r="4" spans="1:28" s="1" customFormat="1" ht="19.5" customHeight="1" thickBot="1">
      <c r="A4" s="239"/>
      <c r="B4" s="240"/>
      <c r="C4" s="242"/>
      <c r="D4" s="242"/>
      <c r="E4" s="242"/>
      <c r="F4" s="242"/>
      <c r="G4" s="242"/>
      <c r="H4" s="242"/>
      <c r="I4" s="242"/>
      <c r="J4" s="242"/>
      <c r="K4" s="184" t="s">
        <v>88</v>
      </c>
      <c r="L4" s="185"/>
      <c r="Q4" s="132"/>
      <c r="R4" s="80"/>
      <c r="S4" s="132"/>
      <c r="T4" s="132"/>
      <c r="U4" s="132"/>
      <c r="V4" s="80"/>
      <c r="W4" s="80"/>
      <c r="X4" s="80"/>
      <c r="Y4" s="80"/>
      <c r="Z4" s="80"/>
      <c r="AA4" s="80"/>
    </row>
    <row r="5" spans="1:28" s="1" customFormat="1" ht="3.95" customHeight="1" thickBot="1">
      <c r="A5" s="5"/>
      <c r="B5" s="186"/>
      <c r="C5" s="186"/>
      <c r="D5" s="186"/>
      <c r="E5" s="186"/>
      <c r="F5" s="186"/>
      <c r="G5" s="186"/>
      <c r="H5" s="186"/>
      <c r="I5" s="186"/>
      <c r="J5" s="186"/>
      <c r="K5" s="186"/>
      <c r="L5" s="81"/>
      <c r="Q5" s="132"/>
      <c r="R5" s="132"/>
      <c r="T5" s="132"/>
      <c r="U5" s="132"/>
      <c r="V5" s="80"/>
      <c r="W5" s="80"/>
      <c r="X5" s="80"/>
      <c r="Y5" s="80"/>
      <c r="Z5" s="80"/>
      <c r="AA5" s="80"/>
      <c r="AB5" s="80"/>
    </row>
    <row r="6" spans="1:28" s="1" customFormat="1" ht="22.5" customHeight="1">
      <c r="A6" s="6"/>
      <c r="B6" s="7" t="s">
        <v>5</v>
      </c>
      <c r="C6" s="273" t="s">
        <v>91</v>
      </c>
      <c r="D6" s="273"/>
      <c r="E6" s="273"/>
      <c r="F6" s="273"/>
      <c r="G6" s="273"/>
      <c r="H6" s="188" t="s">
        <v>6</v>
      </c>
      <c r="I6" s="188"/>
      <c r="J6" s="189">
        <v>45884</v>
      </c>
      <c r="K6" s="189"/>
      <c r="L6" s="190"/>
      <c r="Q6" s="80"/>
      <c r="R6" s="80"/>
      <c r="T6" s="133" t="s">
        <v>7</v>
      </c>
      <c r="U6" s="80"/>
      <c r="V6" s="80"/>
      <c r="W6" s="80"/>
      <c r="X6" s="80"/>
      <c r="Y6" s="80"/>
      <c r="Z6" s="80"/>
      <c r="AA6" s="80"/>
      <c r="AB6" s="80"/>
    </row>
    <row r="7" spans="1:28" s="1" customFormat="1" ht="24.75" customHeight="1">
      <c r="A7" s="5"/>
      <c r="B7" s="9" t="s">
        <v>8</v>
      </c>
      <c r="C7" s="274" t="s">
        <v>92</v>
      </c>
      <c r="D7" s="274"/>
      <c r="E7" s="274"/>
      <c r="F7" s="274"/>
      <c r="G7" s="274"/>
      <c r="H7" s="192" t="s">
        <v>9</v>
      </c>
      <c r="I7" s="192"/>
      <c r="J7" s="193">
        <v>45894</v>
      </c>
      <c r="K7" s="193"/>
      <c r="L7" s="194"/>
      <c r="Q7" s="80"/>
      <c r="R7" s="80"/>
      <c r="T7" s="133" t="s">
        <v>10</v>
      </c>
      <c r="U7" s="80"/>
      <c r="V7" s="80"/>
      <c r="W7" s="80"/>
      <c r="X7" s="80"/>
      <c r="Y7" s="80"/>
      <c r="Z7" s="80"/>
      <c r="AA7" s="80"/>
      <c r="AB7" s="80"/>
    </row>
    <row r="8" spans="1:28" s="1" customFormat="1" ht="22.5" customHeight="1">
      <c r="A8" s="5"/>
      <c r="B8" s="9" t="s">
        <v>11</v>
      </c>
      <c r="C8" s="271" t="s">
        <v>12</v>
      </c>
      <c r="D8" s="272"/>
      <c r="E8" s="272"/>
      <c r="F8" s="272"/>
      <c r="G8" s="272"/>
      <c r="H8" s="192" t="s">
        <v>13</v>
      </c>
      <c r="I8" s="192"/>
      <c r="J8" s="193">
        <v>45922</v>
      </c>
      <c r="K8" s="193"/>
      <c r="L8" s="194"/>
      <c r="Q8" s="80"/>
      <c r="R8" s="80"/>
      <c r="S8" s="1">
        <f>17-2.57</f>
        <v>14.43</v>
      </c>
      <c r="T8" s="133" t="s">
        <v>14</v>
      </c>
      <c r="U8" s="80"/>
      <c r="V8" s="80"/>
      <c r="W8" s="80"/>
      <c r="X8" s="80"/>
      <c r="Y8" s="80"/>
      <c r="Z8" s="80"/>
      <c r="AA8" s="80"/>
      <c r="AB8" s="80"/>
    </row>
    <row r="9" spans="1:28" s="1" customFormat="1" ht="22.5" customHeight="1">
      <c r="A9" s="5"/>
      <c r="B9" s="9" t="s">
        <v>15</v>
      </c>
      <c r="C9" s="202" t="s">
        <v>93</v>
      </c>
      <c r="D9" s="202"/>
      <c r="E9" s="202"/>
      <c r="F9" s="202"/>
      <c r="G9" s="202"/>
      <c r="H9" s="192" t="s">
        <v>16</v>
      </c>
      <c r="I9" s="192"/>
      <c r="J9" s="82" t="s">
        <v>17</v>
      </c>
      <c r="K9" s="83" t="s">
        <v>90</v>
      </c>
      <c r="L9" s="84" t="s">
        <v>85</v>
      </c>
      <c r="Q9" s="80"/>
      <c r="R9" s="80"/>
      <c r="T9" s="133" t="s">
        <v>18</v>
      </c>
      <c r="U9" s="80"/>
      <c r="V9" s="80"/>
      <c r="W9" s="80"/>
      <c r="X9" s="80"/>
      <c r="Y9" s="80"/>
      <c r="Z9" s="80"/>
      <c r="AA9" s="80"/>
      <c r="AB9" s="80"/>
    </row>
    <row r="10" spans="1:28" s="1" customFormat="1" ht="22.5" customHeight="1">
      <c r="A10" s="5"/>
      <c r="B10" s="10" t="s">
        <v>19</v>
      </c>
      <c r="C10" s="202" t="s">
        <v>20</v>
      </c>
      <c r="D10" s="202"/>
      <c r="E10" s="202"/>
      <c r="F10" s="202"/>
      <c r="G10" s="202"/>
      <c r="H10" s="196" t="s">
        <v>21</v>
      </c>
      <c r="I10" s="196"/>
      <c r="J10" s="197" t="str">
        <f>CONCATENATE(K9,," ",L9,"-",D12,"-",F12)</f>
        <v>056 25-CAV-S1-AP2-2</v>
      </c>
      <c r="K10" s="197"/>
      <c r="L10" s="198"/>
      <c r="Q10" s="80"/>
      <c r="R10" s="80"/>
      <c r="T10" s="133" t="s">
        <v>22</v>
      </c>
      <c r="U10" s="80"/>
      <c r="V10" s="80"/>
      <c r="W10" s="80"/>
      <c r="X10" s="80"/>
      <c r="Y10" s="80"/>
      <c r="Z10" s="80"/>
      <c r="AA10" s="80"/>
      <c r="AB10" s="80"/>
    </row>
    <row r="11" spans="1:28" s="1" customFormat="1" ht="3.95" customHeight="1" thickBot="1">
      <c r="A11" s="11"/>
      <c r="B11" s="199"/>
      <c r="C11" s="199"/>
      <c r="D11" s="199"/>
      <c r="E11" s="199"/>
      <c r="F11" s="199"/>
      <c r="G11" s="199"/>
      <c r="H11" s="199"/>
      <c r="I11" s="199"/>
      <c r="J11" s="199"/>
      <c r="K11" s="199"/>
      <c r="L11" s="85"/>
      <c r="Q11" s="80"/>
      <c r="R11" s="80"/>
      <c r="T11" s="133"/>
      <c r="U11" s="80"/>
      <c r="V11" s="80"/>
      <c r="W11" s="80"/>
      <c r="X11" s="80"/>
      <c r="Y11" s="80"/>
      <c r="Z11" s="80"/>
      <c r="AA11" s="80"/>
      <c r="AB11" s="80"/>
    </row>
    <row r="12" spans="1:28" s="1" customFormat="1" ht="22.5" customHeight="1">
      <c r="A12" s="6"/>
      <c r="B12" s="7" t="s">
        <v>23</v>
      </c>
      <c r="C12" s="12" t="s">
        <v>10</v>
      </c>
      <c r="D12" s="13" t="s">
        <v>94</v>
      </c>
      <c r="E12" s="14" t="s">
        <v>24</v>
      </c>
      <c r="F12" s="200">
        <v>2</v>
      </c>
      <c r="G12" s="200"/>
      <c r="H12" s="201" t="s">
        <v>25</v>
      </c>
      <c r="I12" s="201"/>
      <c r="J12" s="86">
        <v>1.5</v>
      </c>
      <c r="K12" s="87" t="s">
        <v>26</v>
      </c>
      <c r="L12" s="88">
        <v>1.7</v>
      </c>
      <c r="Q12" s="80"/>
      <c r="R12" s="80"/>
      <c r="T12" s="133"/>
      <c r="U12" s="80"/>
      <c r="V12" s="80"/>
      <c r="W12" s="80"/>
      <c r="X12" s="80"/>
      <c r="Y12" s="80"/>
      <c r="Z12" s="80"/>
      <c r="AA12" s="80"/>
      <c r="AB12" s="80"/>
    </row>
    <row r="13" spans="1:28" s="1" customFormat="1" ht="22.5" customHeight="1">
      <c r="A13" s="5"/>
      <c r="B13" s="9" t="s">
        <v>27</v>
      </c>
      <c r="C13" s="202" t="s">
        <v>96</v>
      </c>
      <c r="D13" s="202"/>
      <c r="E13" s="202"/>
      <c r="F13" s="202"/>
      <c r="G13" s="202"/>
      <c r="H13" s="202"/>
      <c r="I13" s="202"/>
      <c r="J13" s="202"/>
      <c r="K13" s="202"/>
      <c r="L13" s="203"/>
      <c r="O13" s="1">
        <f>-MOD1</f>
        <v>0</v>
      </c>
      <c r="Q13" s="80"/>
      <c r="R13" s="80"/>
      <c r="T13" s="133"/>
      <c r="U13" s="80"/>
      <c r="V13" s="80"/>
      <c r="W13" s="80"/>
      <c r="X13" s="80"/>
      <c r="Y13" s="80"/>
      <c r="Z13" s="80"/>
      <c r="AA13" s="80"/>
      <c r="AB13" s="80"/>
    </row>
    <row r="14" spans="1:28" s="1" customFormat="1" ht="6.95" customHeight="1" thickBot="1">
      <c r="A14" s="11"/>
      <c r="B14" s="15"/>
      <c r="C14" s="16"/>
      <c r="D14" s="16"/>
      <c r="E14" s="16"/>
      <c r="F14" s="16"/>
      <c r="G14" s="16"/>
      <c r="H14" s="16"/>
      <c r="I14" s="16"/>
      <c r="J14" s="16"/>
      <c r="K14" s="16"/>
      <c r="L14" s="89"/>
      <c r="P14" s="80"/>
      <c r="Q14" s="80"/>
      <c r="R14" s="80"/>
      <c r="S14" s="80"/>
      <c r="T14" s="80"/>
      <c r="U14" s="80"/>
      <c r="V14" s="80"/>
      <c r="W14" s="80"/>
      <c r="X14" s="80"/>
      <c r="Y14" s="80"/>
      <c r="Z14" s="80"/>
      <c r="AA14" s="80"/>
      <c r="AB14" s="80"/>
    </row>
    <row r="15" spans="1:28" ht="14.25" customHeight="1" thickBot="1">
      <c r="A15" s="17"/>
      <c r="B15" s="18"/>
      <c r="C15" s="18"/>
      <c r="D15" s="18"/>
      <c r="E15" s="18"/>
      <c r="F15" s="18"/>
      <c r="G15" s="18"/>
      <c r="H15" s="18"/>
      <c r="I15" s="18"/>
      <c r="J15" s="18"/>
      <c r="K15" s="18"/>
      <c r="L15" s="90"/>
    </row>
    <row r="16" spans="1:28" ht="22.5" customHeight="1" thickBot="1">
      <c r="A16" s="204"/>
      <c r="B16" s="205"/>
      <c r="C16" s="205"/>
      <c r="D16" s="205"/>
      <c r="E16" s="205"/>
      <c r="F16" s="205"/>
      <c r="G16" s="205"/>
      <c r="H16" s="205"/>
      <c r="I16" s="205"/>
      <c r="J16" s="205"/>
      <c r="K16" s="205"/>
      <c r="L16" s="206"/>
    </row>
    <row r="17" spans="1:16" ht="22.5" customHeight="1" thickBot="1">
      <c r="A17" s="17"/>
      <c r="B17" s="18"/>
      <c r="C17" s="18"/>
      <c r="D17" s="18"/>
      <c r="E17" s="18"/>
      <c r="F17" s="18"/>
      <c r="G17" s="19"/>
      <c r="H17" s="19"/>
      <c r="I17" s="19"/>
      <c r="J17" s="19"/>
      <c r="K17" s="19"/>
      <c r="L17" s="91"/>
    </row>
    <row r="18" spans="1:16" s="2" customFormat="1" ht="22.5" customHeight="1" thickBot="1">
      <c r="A18" s="207" t="s">
        <v>28</v>
      </c>
      <c r="B18" s="208"/>
      <c r="C18" s="208"/>
      <c r="D18" s="208"/>
      <c r="E18" s="209"/>
      <c r="F18" s="20"/>
      <c r="G18" s="207" t="s">
        <v>28</v>
      </c>
      <c r="H18" s="208"/>
      <c r="I18" s="208"/>
      <c r="J18" s="208"/>
      <c r="K18" s="208"/>
      <c r="L18" s="209"/>
      <c r="O18" s="92"/>
    </row>
    <row r="19" spans="1:16" s="2" customFormat="1" ht="27.75" customHeight="1" thickBot="1">
      <c r="A19" s="210"/>
      <c r="B19" s="211"/>
      <c r="C19" s="211"/>
      <c r="D19" s="22" t="s">
        <v>29</v>
      </c>
      <c r="E19" s="23" t="s">
        <v>30</v>
      </c>
      <c r="F19" s="24"/>
      <c r="G19" s="243" t="s">
        <v>31</v>
      </c>
      <c r="H19" s="244"/>
      <c r="I19" s="212" t="s">
        <v>32</v>
      </c>
      <c r="J19" s="213"/>
      <c r="K19" s="214" t="s">
        <v>33</v>
      </c>
      <c r="L19" s="215"/>
    </row>
    <row r="20" spans="1:16" s="2" customFormat="1" ht="22.5" customHeight="1">
      <c r="A20" s="216" t="s">
        <v>34</v>
      </c>
      <c r="B20" s="217"/>
      <c r="C20" s="25"/>
      <c r="D20" s="26">
        <v>312</v>
      </c>
      <c r="E20" s="27">
        <v>312</v>
      </c>
      <c r="F20" s="28"/>
      <c r="G20" s="245"/>
      <c r="H20" s="246"/>
      <c r="I20" s="93" t="s">
        <v>35</v>
      </c>
      <c r="J20" s="94" t="s">
        <v>36</v>
      </c>
      <c r="K20" s="95" t="s">
        <v>37</v>
      </c>
      <c r="L20" s="150" t="s">
        <v>36</v>
      </c>
      <c r="N20" s="92"/>
    </row>
    <row r="21" spans="1:16" s="2" customFormat="1" ht="22.5" customHeight="1">
      <c r="A21" s="216" t="s">
        <v>38</v>
      </c>
      <c r="B21" s="217"/>
      <c r="C21" s="25" t="s">
        <v>39</v>
      </c>
      <c r="D21" s="29">
        <v>15.59</v>
      </c>
      <c r="E21" s="30">
        <f>D21</f>
        <v>15.59</v>
      </c>
      <c r="F21" s="31"/>
      <c r="G21" s="96" t="s">
        <v>40</v>
      </c>
      <c r="H21" s="32" t="s">
        <v>41</v>
      </c>
      <c r="I21" s="96" t="s">
        <v>42</v>
      </c>
      <c r="J21" s="32" t="s">
        <v>43</v>
      </c>
      <c r="K21" s="96" t="s">
        <v>42</v>
      </c>
      <c r="L21" s="151" t="s">
        <v>43</v>
      </c>
      <c r="N21" s="97"/>
    </row>
    <row r="22" spans="1:16" s="2" customFormat="1" ht="22.5" customHeight="1">
      <c r="A22" s="216" t="s">
        <v>44</v>
      </c>
      <c r="B22" s="217"/>
      <c r="C22" s="25" t="s">
        <v>39</v>
      </c>
      <c r="D22" s="29">
        <v>13.28</v>
      </c>
      <c r="E22" s="30">
        <f>D22+E39</f>
        <v>13.28</v>
      </c>
      <c r="F22" s="31"/>
      <c r="G22" s="145">
        <v>0</v>
      </c>
      <c r="H22" s="33">
        <v>0</v>
      </c>
      <c r="I22" s="144">
        <v>0</v>
      </c>
      <c r="J22" s="143">
        <v>0</v>
      </c>
      <c r="K22" s="144">
        <v>0</v>
      </c>
      <c r="L22" s="152">
        <v>0</v>
      </c>
      <c r="N22" s="97"/>
      <c r="O22" s="2">
        <v>3.7999999999999999E-2</v>
      </c>
      <c r="P22" s="2">
        <v>2.7E-2</v>
      </c>
    </row>
    <row r="23" spans="1:16" s="2" customFormat="1" ht="22.5" customHeight="1">
      <c r="A23" s="216" t="s">
        <v>45</v>
      </c>
      <c r="B23" s="217"/>
      <c r="C23" s="34" t="s">
        <v>46</v>
      </c>
      <c r="D23" s="35">
        <v>8612</v>
      </c>
      <c r="E23" s="36">
        <v>8754</v>
      </c>
      <c r="F23" s="31"/>
      <c r="G23" s="145">
        <v>5.0000000000000001E-3</v>
      </c>
      <c r="H23" s="33">
        <v>0.127</v>
      </c>
      <c r="I23" s="144">
        <v>3.7999999999999999E-2</v>
      </c>
      <c r="J23" s="33">
        <f t="shared" ref="J23:J34" si="0">((I23/19.32)*10)</f>
        <v>1.9668737060041408E-2</v>
      </c>
      <c r="K23" s="98">
        <v>2.7E-2</v>
      </c>
      <c r="L23" s="153">
        <f t="shared" ref="L23:L34" si="1">((K23/19.32)*10)</f>
        <v>1.3975155279503104E-2</v>
      </c>
      <c r="N23" s="97"/>
      <c r="O23" s="2">
        <v>9.5000000000000001E-2</v>
      </c>
      <c r="P23" s="2">
        <v>7.3999999999999996E-2</v>
      </c>
    </row>
    <row r="24" spans="1:16" s="2" customFormat="1" ht="22.5" customHeight="1">
      <c r="A24" s="216" t="s">
        <v>47</v>
      </c>
      <c r="B24" s="217"/>
      <c r="C24" s="34" t="s">
        <v>46</v>
      </c>
      <c r="D24" s="35">
        <v>4077</v>
      </c>
      <c r="E24" s="37">
        <f>D24</f>
        <v>4077</v>
      </c>
      <c r="F24" s="38"/>
      <c r="G24" s="145">
        <v>2.5000000000000001E-2</v>
      </c>
      <c r="H24" s="33">
        <v>0.63500000000000001</v>
      </c>
      <c r="I24" s="144">
        <v>9.5000000000000001E-2</v>
      </c>
      <c r="J24" s="33">
        <f t="shared" si="0"/>
        <v>4.917184265010352E-2</v>
      </c>
      <c r="K24" s="98">
        <v>7.3999999999999996E-2</v>
      </c>
      <c r="L24" s="153">
        <f t="shared" si="1"/>
        <v>3.8302277432712216E-2</v>
      </c>
      <c r="N24" s="97"/>
      <c r="O24" s="2">
        <v>0.191</v>
      </c>
      <c r="P24" s="2">
        <v>0.105</v>
      </c>
    </row>
    <row r="25" spans="1:16" s="2" customFormat="1" ht="22.5" customHeight="1">
      <c r="A25" s="216" t="s">
        <v>48</v>
      </c>
      <c r="B25" s="217"/>
      <c r="C25" s="34" t="s">
        <v>46</v>
      </c>
      <c r="D25" s="39">
        <f>+D23-D24</f>
        <v>4535</v>
      </c>
      <c r="E25" s="40">
        <f>E23-E24</f>
        <v>4677</v>
      </c>
      <c r="F25" s="41"/>
      <c r="G25" s="145">
        <v>0.05</v>
      </c>
      <c r="H25" s="33">
        <v>1.27</v>
      </c>
      <c r="I25" s="144">
        <v>0.191</v>
      </c>
      <c r="J25" s="33">
        <f t="shared" si="0"/>
        <v>9.8861283643892336E-2</v>
      </c>
      <c r="K25" s="98">
        <v>0.105</v>
      </c>
      <c r="L25" s="153">
        <f t="shared" si="1"/>
        <v>5.434782608695652E-2</v>
      </c>
      <c r="N25" s="97"/>
      <c r="O25" s="2">
        <v>0.32500000000000001</v>
      </c>
      <c r="P25" s="2">
        <v>0.126</v>
      </c>
    </row>
    <row r="26" spans="1:16" s="2" customFormat="1" ht="22.5" customHeight="1">
      <c r="A26" s="216" t="s">
        <v>49</v>
      </c>
      <c r="B26" s="217"/>
      <c r="C26" s="34" t="s">
        <v>50</v>
      </c>
      <c r="D26" s="39">
        <f>((PI()*(D21*D21))/4)*D22</f>
        <v>2535.0129764241383</v>
      </c>
      <c r="E26" s="40">
        <f>((PI()*(E21*E21))/4)*E22</f>
        <v>2535.0129764241383</v>
      </c>
      <c r="F26" s="41"/>
      <c r="G26" s="145">
        <v>7.4999999999999997E-2</v>
      </c>
      <c r="H26" s="33">
        <v>1.905</v>
      </c>
      <c r="I26" s="144">
        <v>0.32500000000000001</v>
      </c>
      <c r="J26" s="33">
        <f t="shared" si="0"/>
        <v>0.16821946169772256</v>
      </c>
      <c r="K26" s="98">
        <v>0.126</v>
      </c>
      <c r="L26" s="153">
        <f t="shared" si="1"/>
        <v>6.5217391304347824E-2</v>
      </c>
      <c r="N26" s="97"/>
      <c r="O26" s="2">
        <v>0.47399999999999998</v>
      </c>
      <c r="P26" s="2">
        <v>0.14000000000000001</v>
      </c>
    </row>
    <row r="27" spans="1:16" s="2" customFormat="1" ht="22.5" customHeight="1">
      <c r="A27" s="216" t="s">
        <v>51</v>
      </c>
      <c r="B27" s="217"/>
      <c r="C27" s="34" t="s">
        <v>52</v>
      </c>
      <c r="D27" s="42">
        <f>D25/D26</f>
        <v>1.7889454776665568</v>
      </c>
      <c r="E27" s="43">
        <f>E25/E26</f>
        <v>1.8449609700212759</v>
      </c>
      <c r="F27" s="44"/>
      <c r="G27" s="146">
        <v>0.1</v>
      </c>
      <c r="H27" s="45">
        <v>2.54</v>
      </c>
      <c r="I27" s="154">
        <v>0.47399999999999998</v>
      </c>
      <c r="J27" s="45">
        <f t="shared" si="0"/>
        <v>0.24534161490683229</v>
      </c>
      <c r="K27" s="158">
        <v>0.14000000000000001</v>
      </c>
      <c r="L27" s="155">
        <f t="shared" si="1"/>
        <v>7.2463768115942045E-2</v>
      </c>
      <c r="N27" s="97"/>
      <c r="O27" s="2">
        <v>0.625</v>
      </c>
      <c r="P27" s="2">
        <v>0.154</v>
      </c>
    </row>
    <row r="28" spans="1:16" s="2" customFormat="1" ht="22.5" customHeight="1" thickBot="1">
      <c r="A28" s="218" t="s">
        <v>53</v>
      </c>
      <c r="B28" s="219"/>
      <c r="C28" s="46" t="s">
        <v>52</v>
      </c>
      <c r="D28" s="47">
        <f>D27/(1+D34/100)</f>
        <v>1.603179857058755</v>
      </c>
      <c r="E28" s="48">
        <f>E27/(1+E34/100)</f>
        <v>1.453624018461513</v>
      </c>
      <c r="F28" s="49"/>
      <c r="G28" s="145">
        <v>0.125</v>
      </c>
      <c r="H28" s="33">
        <v>3.1749999999999998</v>
      </c>
      <c r="I28" s="144">
        <v>0.625</v>
      </c>
      <c r="J28" s="33">
        <f t="shared" si="0"/>
        <v>0.32349896480331264</v>
      </c>
      <c r="K28" s="98">
        <v>0.154</v>
      </c>
      <c r="L28" s="153">
        <f t="shared" si="1"/>
        <v>7.9710144927536225E-2</v>
      </c>
      <c r="N28" s="97"/>
      <c r="O28" s="2">
        <v>0.75900000000000001</v>
      </c>
      <c r="P28" s="2">
        <v>0.17</v>
      </c>
    </row>
    <row r="29" spans="1:16" s="2" customFormat="1" ht="22.5" customHeight="1" thickBot="1">
      <c r="A29" s="207" t="s">
        <v>54</v>
      </c>
      <c r="B29" s="208" t="s">
        <v>54</v>
      </c>
      <c r="C29" s="208"/>
      <c r="D29" s="208"/>
      <c r="E29" s="209"/>
      <c r="F29" s="49"/>
      <c r="G29" s="147">
        <v>0.15</v>
      </c>
      <c r="H29" s="33">
        <v>3.81</v>
      </c>
      <c r="I29" s="144">
        <v>0.75900000000000001</v>
      </c>
      <c r="J29" s="33">
        <f t="shared" si="0"/>
        <v>0.39285714285714285</v>
      </c>
      <c r="K29" s="98">
        <v>0.17</v>
      </c>
      <c r="L29" s="153">
        <f>((K29/19.32)*10)</f>
        <v>8.7991718426501039E-2</v>
      </c>
      <c r="N29" s="97"/>
      <c r="O29" s="2">
        <v>0.90400000000000003</v>
      </c>
      <c r="P29" s="2">
        <v>0.184</v>
      </c>
    </row>
    <row r="30" spans="1:16" s="2" customFormat="1" ht="22.5" customHeight="1">
      <c r="A30" s="258" t="s">
        <v>55</v>
      </c>
      <c r="B30" s="259"/>
      <c r="C30" s="50"/>
      <c r="D30" s="51">
        <v>616</v>
      </c>
      <c r="E30" s="52">
        <v>706</v>
      </c>
      <c r="F30" s="44"/>
      <c r="G30" s="145">
        <v>0.17499999999999999</v>
      </c>
      <c r="H30" s="33">
        <v>4.4450000000000003</v>
      </c>
      <c r="I30" s="144">
        <v>0.90400000000000003</v>
      </c>
      <c r="J30" s="33">
        <f t="shared" si="0"/>
        <v>0.46790890269151142</v>
      </c>
      <c r="K30" s="98">
        <v>0.184</v>
      </c>
      <c r="L30" s="153">
        <f t="shared" si="1"/>
        <v>9.5238095238095233E-2</v>
      </c>
      <c r="N30" s="97"/>
      <c r="O30" s="2">
        <v>1.042</v>
      </c>
      <c r="P30" s="2">
        <v>0.19500000000000001</v>
      </c>
    </row>
    <row r="31" spans="1:16" s="2" customFormat="1" ht="22.5" customHeight="1">
      <c r="A31" s="216" t="s">
        <v>56</v>
      </c>
      <c r="B31" s="217"/>
      <c r="C31" s="25" t="s">
        <v>46</v>
      </c>
      <c r="D31" s="53">
        <v>298.68</v>
      </c>
      <c r="E31" s="54">
        <v>572.23</v>
      </c>
      <c r="F31" s="41"/>
      <c r="G31" s="146">
        <v>0.2</v>
      </c>
      <c r="H31" s="45">
        <v>5.08</v>
      </c>
      <c r="I31" s="154">
        <v>1.042</v>
      </c>
      <c r="J31" s="45">
        <f t="shared" si="0"/>
        <v>0.53933747412008282</v>
      </c>
      <c r="K31" s="158">
        <v>0.19500000000000001</v>
      </c>
      <c r="L31" s="155">
        <f t="shared" si="1"/>
        <v>0.10093167701863354</v>
      </c>
      <c r="N31" s="97"/>
      <c r="O31" s="2">
        <v>1.4419999999999999</v>
      </c>
      <c r="P31" s="2">
        <v>0.22700000000000001</v>
      </c>
    </row>
    <row r="32" spans="1:16" s="2" customFormat="1" ht="22.5" customHeight="1">
      <c r="A32" s="216" t="s">
        <v>57</v>
      </c>
      <c r="B32" s="217"/>
      <c r="C32" s="25" t="s">
        <v>46</v>
      </c>
      <c r="D32" s="53">
        <v>272.32</v>
      </c>
      <c r="E32" s="54">
        <v>462.7</v>
      </c>
      <c r="F32" s="49"/>
      <c r="G32" s="145">
        <v>0.3</v>
      </c>
      <c r="H32" s="33">
        <v>7.62</v>
      </c>
      <c r="I32" s="144">
        <v>1.4419999999999999</v>
      </c>
      <c r="J32" s="33">
        <f t="shared" si="0"/>
        <v>0.74637681159420277</v>
      </c>
      <c r="K32" s="98">
        <v>0.22700000000000001</v>
      </c>
      <c r="L32" s="153">
        <f t="shared" si="1"/>
        <v>0.11749482401656314</v>
      </c>
      <c r="N32" s="97"/>
      <c r="O32" s="2">
        <v>1.7549999999999999</v>
      </c>
      <c r="P32" s="2">
        <v>0.25600000000000001</v>
      </c>
    </row>
    <row r="33" spans="1:18" s="2" customFormat="1" ht="22.5" customHeight="1">
      <c r="A33" s="216" t="s">
        <v>58</v>
      </c>
      <c r="B33" s="217"/>
      <c r="C33" s="25" t="s">
        <v>46</v>
      </c>
      <c r="D33" s="53">
        <v>44.83</v>
      </c>
      <c r="E33" s="54">
        <v>55.85</v>
      </c>
      <c r="F33" s="49"/>
      <c r="G33" s="145">
        <v>0.4</v>
      </c>
      <c r="H33" s="33">
        <v>10.16</v>
      </c>
      <c r="I33" s="144">
        <v>1.7549999999999999</v>
      </c>
      <c r="J33" s="33">
        <f t="shared" si="0"/>
        <v>0.90838509316770177</v>
      </c>
      <c r="K33" s="98">
        <v>0.25600000000000001</v>
      </c>
      <c r="L33" s="153">
        <f t="shared" si="1"/>
        <v>0.13250517598343686</v>
      </c>
      <c r="N33" s="97"/>
      <c r="O33" s="2">
        <v>1.996</v>
      </c>
      <c r="P33" s="2">
        <v>0.27600000000000002</v>
      </c>
    </row>
    <row r="34" spans="1:18" s="2" customFormat="1" ht="22.5" customHeight="1" thickBot="1">
      <c r="A34" s="218" t="s">
        <v>59</v>
      </c>
      <c r="B34" s="219"/>
      <c r="C34" s="46" t="s">
        <v>60</v>
      </c>
      <c r="D34" s="48">
        <f>((D31-D32)/(D32-D33))*100</f>
        <v>11.587322519671201</v>
      </c>
      <c r="E34" s="48">
        <f>((E31-E32)/(E32-E33))*100</f>
        <v>26.921469829175383</v>
      </c>
      <c r="F34" s="49"/>
      <c r="G34" s="148">
        <v>0.5</v>
      </c>
      <c r="H34" s="149">
        <v>12.7</v>
      </c>
      <c r="I34" s="156">
        <v>1.996</v>
      </c>
      <c r="J34" s="149">
        <f t="shared" si="0"/>
        <v>1.0331262939958592</v>
      </c>
      <c r="K34" s="159">
        <v>0.27600000000000002</v>
      </c>
      <c r="L34" s="157">
        <f t="shared" si="1"/>
        <v>0.14285714285714288</v>
      </c>
      <c r="N34" s="97"/>
    </row>
    <row r="35" spans="1:18" s="2" customFormat="1" ht="11.25" customHeight="1" thickBot="1">
      <c r="A35" s="55"/>
      <c r="B35" s="56"/>
      <c r="C35" s="57"/>
      <c r="D35" s="58"/>
      <c r="E35" s="58"/>
      <c r="F35" s="59"/>
      <c r="G35" s="58"/>
      <c r="H35" s="58"/>
      <c r="I35" s="58"/>
      <c r="J35" s="58"/>
      <c r="K35" s="58"/>
      <c r="L35" s="99"/>
      <c r="N35" s="97"/>
    </row>
    <row r="36" spans="1:18" s="2" customFormat="1" ht="22.5" customHeight="1" thickBot="1">
      <c r="A36" s="247" t="s">
        <v>61</v>
      </c>
      <c r="B36" s="248"/>
      <c r="C36" s="248"/>
      <c r="D36" s="248"/>
      <c r="E36" s="249"/>
      <c r="F36" s="60"/>
      <c r="G36" s="60"/>
      <c r="H36" s="207" t="s">
        <v>62</v>
      </c>
      <c r="I36" s="208"/>
      <c r="J36" s="208"/>
      <c r="K36" s="209"/>
      <c r="L36" s="100"/>
    </row>
    <row r="37" spans="1:18" s="2" customFormat="1" ht="22.5" customHeight="1" thickBot="1">
      <c r="A37" s="250" t="s">
        <v>63</v>
      </c>
      <c r="B37" s="251"/>
      <c r="C37" s="61" t="s">
        <v>64</v>
      </c>
      <c r="D37" s="252">
        <v>8.4000000000000005E-2</v>
      </c>
      <c r="E37" s="253"/>
      <c r="F37" s="62"/>
      <c r="G37" s="62"/>
      <c r="H37" s="63" t="s">
        <v>65</v>
      </c>
      <c r="I37" s="101" t="s">
        <v>86</v>
      </c>
      <c r="J37" s="63" t="s">
        <v>66</v>
      </c>
      <c r="K37" s="102" t="s">
        <v>67</v>
      </c>
      <c r="L37" s="99"/>
    </row>
    <row r="38" spans="1:18" s="2" customFormat="1" ht="22.5" customHeight="1" thickBot="1">
      <c r="A38" s="224" t="s">
        <v>68</v>
      </c>
      <c r="B38" s="225"/>
      <c r="C38" s="64" t="s">
        <v>64</v>
      </c>
      <c r="D38" s="254">
        <v>9.2999999999999999E-2</v>
      </c>
      <c r="E38" s="255"/>
      <c r="F38" s="62"/>
      <c r="G38" s="62"/>
      <c r="H38" s="256" t="s">
        <v>69</v>
      </c>
      <c r="I38" s="257"/>
      <c r="J38" s="256" t="s">
        <v>70</v>
      </c>
      <c r="K38" s="257"/>
      <c r="L38" s="99"/>
    </row>
    <row r="39" spans="1:18" s="2" customFormat="1" ht="22.5" customHeight="1" thickBot="1">
      <c r="A39" s="224" t="s">
        <v>71</v>
      </c>
      <c r="B39" s="225"/>
      <c r="C39" s="65" t="s">
        <v>39</v>
      </c>
      <c r="D39" s="226">
        <f>(D38-D37)*2.54</f>
        <v>2.2859999999999984E-2</v>
      </c>
      <c r="E39" s="227"/>
      <c r="F39" s="31"/>
      <c r="G39" s="31"/>
      <c r="H39" s="66" t="s">
        <v>72</v>
      </c>
      <c r="I39" s="103">
        <v>4554</v>
      </c>
      <c r="J39" s="228">
        <v>4</v>
      </c>
      <c r="K39" s="229"/>
      <c r="L39" s="99"/>
    </row>
    <row r="40" spans="1:18" s="2" customFormat="1" ht="22.5" customHeight="1" thickBot="1">
      <c r="A40" s="230" t="s">
        <v>73</v>
      </c>
      <c r="B40" s="231"/>
      <c r="C40" s="67" t="s">
        <v>60</v>
      </c>
      <c r="D40" s="232">
        <f>IF(D39&lt;&gt;"",IF(D22&lt;&gt;"",D39/D22*100,""),"")</f>
        <v>0.17213855421686736</v>
      </c>
      <c r="E40" s="233"/>
      <c r="F40" s="68"/>
      <c r="G40" s="68"/>
      <c r="H40" s="69" t="s">
        <v>33</v>
      </c>
      <c r="I40" s="103">
        <v>4554</v>
      </c>
      <c r="J40" s="234">
        <v>4</v>
      </c>
      <c r="K40" s="235"/>
      <c r="L40" s="99"/>
      <c r="P40" s="105"/>
      <c r="Q40" s="105"/>
      <c r="R40" s="134"/>
    </row>
    <row r="41" spans="1:18" s="2" customFormat="1" ht="33" customHeight="1" thickBot="1">
      <c r="A41" s="70"/>
      <c r="B41" s="58"/>
      <c r="C41" s="58"/>
      <c r="D41" s="58"/>
      <c r="E41" s="58"/>
      <c r="F41" s="71"/>
      <c r="G41" s="58"/>
      <c r="H41" s="72"/>
      <c r="I41" s="106"/>
      <c r="J41" s="107" t="str">
        <f>I19</f>
        <v>ANTES DE INMERSIÓN</v>
      </c>
      <c r="K41" s="107" t="str">
        <f>K19</f>
        <v xml:space="preserve">DESPUÉS DE INMERSIÓN </v>
      </c>
      <c r="L41" s="108"/>
      <c r="M41" s="20"/>
      <c r="P41" s="109"/>
      <c r="Q41" s="135"/>
      <c r="R41" s="136"/>
    </row>
    <row r="42" spans="1:18" s="2" customFormat="1" ht="22.5" customHeight="1">
      <c r="A42" s="70"/>
      <c r="B42" s="58"/>
      <c r="C42" s="58"/>
      <c r="D42" s="58"/>
      <c r="E42" s="58"/>
      <c r="F42" s="58"/>
      <c r="G42" s="58"/>
      <c r="H42" s="21" t="s">
        <v>74</v>
      </c>
      <c r="I42" s="110" t="s">
        <v>60</v>
      </c>
      <c r="J42" s="111">
        <f>(J27/6.9)*100</f>
        <v>3.5556755783598883</v>
      </c>
      <c r="K42" s="112">
        <f>(L27/6.9)*100</f>
        <v>1.0501995379122033</v>
      </c>
      <c r="L42" s="99"/>
      <c r="P42" s="113"/>
      <c r="Q42" s="137"/>
      <c r="R42" s="136"/>
    </row>
    <row r="43" spans="1:18" s="2" customFormat="1" ht="22.5" customHeight="1" thickBot="1">
      <c r="A43" s="70"/>
      <c r="B43" s="73"/>
      <c r="C43" s="58"/>
      <c r="D43" s="58"/>
      <c r="E43" s="58"/>
      <c r="F43" s="58"/>
      <c r="G43" s="58"/>
      <c r="H43" s="74" t="s">
        <v>75</v>
      </c>
      <c r="I43" s="114" t="s">
        <v>60</v>
      </c>
      <c r="J43" s="115">
        <f>(J31/10.3)*100</f>
        <v>5.236286156505658</v>
      </c>
      <c r="K43" s="116">
        <f>(L31/10.3)*100</f>
        <v>0.97991919435566532</v>
      </c>
      <c r="L43" s="99"/>
      <c r="P43" s="117"/>
      <c r="Q43" s="138"/>
      <c r="R43" s="139"/>
    </row>
    <row r="44" spans="1:18" s="2" customFormat="1" ht="22.5" customHeight="1" thickBot="1">
      <c r="A44" s="70"/>
      <c r="B44" s="73"/>
      <c r="C44" s="73"/>
      <c r="D44" s="73"/>
      <c r="E44" s="58"/>
      <c r="F44" s="58"/>
      <c r="G44" s="58"/>
      <c r="H44" s="74" t="s">
        <v>76</v>
      </c>
      <c r="I44" s="114"/>
      <c r="J44" s="118">
        <f>IF(J42&lt;J43,J42,J43)</f>
        <v>3.5556755783598883</v>
      </c>
      <c r="K44" s="119">
        <f>IF(K42&lt;K43,K42,K43)</f>
        <v>0.97991919435566532</v>
      </c>
      <c r="L44" s="120"/>
      <c r="M44" s="121"/>
    </row>
    <row r="45" spans="1:18" s="2" customFormat="1" ht="22.5" customHeight="1">
      <c r="A45" s="70"/>
      <c r="B45" s="58"/>
      <c r="C45" s="58"/>
      <c r="D45" s="59"/>
      <c r="E45" s="59"/>
      <c r="F45" s="59"/>
      <c r="G45" s="58"/>
      <c r="H45" s="4"/>
      <c r="I45" s="122"/>
      <c r="J45" s="122"/>
      <c r="K45" s="122"/>
      <c r="L45" s="99"/>
    </row>
    <row r="46" spans="1:18" s="2" customFormat="1" ht="22.5" customHeight="1">
      <c r="A46" s="70"/>
      <c r="B46" s="58"/>
      <c r="C46" s="58"/>
      <c r="D46" s="59"/>
      <c r="E46" s="59"/>
      <c r="F46" s="59"/>
      <c r="G46" s="58"/>
      <c r="H46" s="222" t="s">
        <v>77</v>
      </c>
      <c r="I46" s="222"/>
      <c r="J46" s="222" t="s">
        <v>78</v>
      </c>
      <c r="K46" s="222"/>
      <c r="L46" s="223"/>
    </row>
    <row r="47" spans="1:18" s="2" customFormat="1" ht="22.5" customHeight="1">
      <c r="A47" s="70"/>
      <c r="B47" s="56"/>
      <c r="C47" s="75"/>
      <c r="D47" s="76"/>
      <c r="E47" s="59"/>
      <c r="F47" s="59"/>
      <c r="G47" s="59"/>
      <c r="H47" s="77"/>
      <c r="I47" s="123"/>
      <c r="J47" s="77"/>
      <c r="K47" s="123"/>
      <c r="L47" s="124"/>
    </row>
    <row r="48" spans="1:18" s="2" customFormat="1" ht="22.5" customHeight="1">
      <c r="A48" s="70"/>
      <c r="B48" s="56"/>
      <c r="C48" s="75"/>
      <c r="D48" s="76"/>
      <c r="E48" s="59"/>
      <c r="F48" s="59"/>
      <c r="G48" s="59"/>
      <c r="H48" s="77"/>
      <c r="I48" s="123"/>
      <c r="J48" s="77"/>
      <c r="K48" s="123"/>
      <c r="L48" s="124"/>
    </row>
    <row r="49" spans="1:15" s="2" customFormat="1" ht="22.5" customHeight="1">
      <c r="A49" s="70"/>
      <c r="B49" s="56"/>
      <c r="C49" s="75"/>
      <c r="D49" s="76"/>
      <c r="E49" s="59"/>
      <c r="F49" s="59"/>
      <c r="G49" s="59"/>
      <c r="H49" s="77"/>
      <c r="I49" s="123"/>
      <c r="J49" s="77"/>
      <c r="K49"/>
      <c r="L49" s="124"/>
    </row>
    <row r="50" spans="1:15" s="2" customFormat="1" ht="22.5" customHeight="1">
      <c r="A50" s="70"/>
      <c r="B50" s="56"/>
      <c r="C50" s="75"/>
      <c r="D50" s="76"/>
      <c r="E50" s="59"/>
      <c r="F50" s="59"/>
      <c r="G50" s="59"/>
      <c r="H50" s="78"/>
      <c r="I50" s="78"/>
      <c r="J50" s="77"/>
      <c r="K50" s="123"/>
      <c r="L50" s="124"/>
    </row>
    <row r="51" spans="1:15" s="2" customFormat="1" ht="22.5" customHeight="1">
      <c r="A51" s="70"/>
      <c r="B51" s="56"/>
      <c r="C51" s="75"/>
      <c r="D51" s="76"/>
      <c r="E51" s="59"/>
      <c r="F51" s="59"/>
      <c r="G51" s="59"/>
      <c r="H51" s="220" t="s">
        <v>79</v>
      </c>
      <c r="I51" s="220"/>
      <c r="J51" s="220" t="s">
        <v>87</v>
      </c>
      <c r="K51" s="220"/>
      <c r="L51" s="221"/>
    </row>
    <row r="52" spans="1:15" s="2" customFormat="1" ht="22.5" customHeight="1">
      <c r="A52" s="70"/>
      <c r="B52" s="56"/>
      <c r="C52" s="75"/>
      <c r="D52" s="76"/>
      <c r="E52" s="59"/>
      <c r="F52" s="59"/>
      <c r="G52" s="59"/>
      <c r="H52" s="222" t="s">
        <v>80</v>
      </c>
      <c r="I52" s="222"/>
      <c r="J52" s="222" t="s">
        <v>81</v>
      </c>
      <c r="K52" s="222"/>
      <c r="L52" s="223"/>
    </row>
    <row r="53" spans="1:15" s="2" customFormat="1" ht="22.5" customHeight="1">
      <c r="A53" s="70"/>
      <c r="B53" s="56"/>
      <c r="C53" s="75"/>
      <c r="D53" s="76"/>
      <c r="E53" s="59"/>
      <c r="F53" s="59"/>
      <c r="G53" s="59"/>
      <c r="H53" s="186"/>
      <c r="I53" s="186"/>
      <c r="J53" s="186"/>
      <c r="K53" s="186"/>
      <c r="L53" s="99"/>
    </row>
    <row r="54" spans="1:15" s="2" customFormat="1" ht="22.5" customHeight="1">
      <c r="A54" s="70"/>
      <c r="B54" s="56"/>
      <c r="C54" s="75"/>
      <c r="D54" s="76"/>
      <c r="E54" s="59"/>
      <c r="F54" s="59"/>
      <c r="G54" s="59"/>
      <c r="H54" s="58"/>
      <c r="I54" s="58"/>
      <c r="J54" s="125"/>
      <c r="K54" s="58"/>
      <c r="L54" s="99"/>
      <c r="M54" s="126"/>
      <c r="N54" s="3"/>
    </row>
    <row r="55" spans="1:15" s="2" customFormat="1" ht="22.5" customHeight="1">
      <c r="A55" s="70"/>
      <c r="B55" s="56"/>
      <c r="C55" s="75"/>
      <c r="D55" s="76"/>
      <c r="E55" s="59"/>
      <c r="F55" s="59"/>
      <c r="G55" s="59"/>
      <c r="H55" s="58"/>
      <c r="I55" s="58"/>
      <c r="J55" s="127"/>
      <c r="K55" s="125"/>
      <c r="L55" s="128"/>
      <c r="M55" s="129"/>
      <c r="N55" s="3"/>
    </row>
    <row r="56" spans="1:15" s="2" customFormat="1" ht="22.5" customHeight="1">
      <c r="A56" s="264" t="s">
        <v>82</v>
      </c>
      <c r="B56" s="265"/>
      <c r="C56" s="265"/>
      <c r="D56" s="265"/>
      <c r="E56" s="265"/>
      <c r="F56" s="265"/>
      <c r="G56" s="265"/>
      <c r="H56" s="265"/>
      <c r="I56" s="265"/>
      <c r="J56" s="265"/>
      <c r="K56" s="265"/>
      <c r="L56" s="266"/>
      <c r="M56" s="130"/>
      <c r="N56" s="3"/>
      <c r="O56" s="3"/>
    </row>
    <row r="57" spans="1:15" s="2" customFormat="1" ht="22.5" customHeight="1">
      <c r="A57" s="261" t="s">
        <v>83</v>
      </c>
      <c r="B57" s="262"/>
      <c r="C57" s="262"/>
      <c r="D57" s="262"/>
      <c r="E57" s="262"/>
      <c r="F57" s="262"/>
      <c r="G57" s="262"/>
      <c r="H57" s="262"/>
      <c r="I57" s="262"/>
      <c r="J57" s="262"/>
      <c r="K57" s="262"/>
      <c r="L57" s="263"/>
      <c r="M57" s="3"/>
      <c r="N57" s="3"/>
      <c r="O57" s="3"/>
    </row>
    <row r="58" spans="1:15" s="2" customFormat="1" ht="22.5" customHeight="1">
      <c r="A58" s="261"/>
      <c r="B58" s="262"/>
      <c r="C58" s="262"/>
      <c r="D58" s="262"/>
      <c r="E58" s="262"/>
      <c r="F58" s="262"/>
      <c r="G58" s="262"/>
      <c r="H58" s="262"/>
      <c r="I58" s="262"/>
      <c r="J58" s="262"/>
      <c r="K58" s="262"/>
      <c r="L58" s="263"/>
      <c r="M58" s="3"/>
      <c r="N58" s="3"/>
      <c r="O58" s="3"/>
    </row>
    <row r="59" spans="1:15" ht="15" thickBot="1">
      <c r="A59" s="267" t="s">
        <v>84</v>
      </c>
      <c r="B59" s="268"/>
      <c r="C59" s="268"/>
      <c r="D59" s="268"/>
      <c r="E59" s="268"/>
      <c r="F59" s="268"/>
      <c r="G59" s="268"/>
      <c r="H59" s="268"/>
      <c r="I59" s="268"/>
      <c r="J59" s="268"/>
      <c r="K59" s="268"/>
      <c r="L59" s="269"/>
    </row>
    <row r="63" spans="1:15">
      <c r="I63" s="79"/>
      <c r="J63" s="79"/>
      <c r="K63" s="79"/>
      <c r="L63" s="79"/>
      <c r="M63" s="79"/>
      <c r="N63" s="79"/>
    </row>
    <row r="64" spans="1:15" ht="15" customHeight="1">
      <c r="E64" s="79"/>
      <c r="F64" s="79"/>
      <c r="G64" s="79"/>
      <c r="H64" s="79"/>
      <c r="I64" s="131"/>
      <c r="J64" s="131"/>
      <c r="K64" s="131"/>
      <c r="L64" s="131"/>
      <c r="M64" s="131"/>
      <c r="N64" s="131"/>
    </row>
    <row r="65" spans="2:18" ht="15" customHeight="1">
      <c r="E65" s="131"/>
      <c r="F65" s="131"/>
      <c r="G65" s="131"/>
      <c r="H65" s="131"/>
      <c r="I65" s="131"/>
      <c r="J65" s="131"/>
      <c r="K65" s="131"/>
      <c r="L65" s="131"/>
      <c r="M65" s="131"/>
      <c r="N65" s="131"/>
    </row>
    <row r="66" spans="2:18" ht="15" customHeight="1">
      <c r="E66" s="131"/>
      <c r="F66" s="131"/>
      <c r="G66" s="131"/>
      <c r="H66" s="131"/>
      <c r="I66" s="131"/>
      <c r="J66" s="131"/>
      <c r="K66" s="131"/>
      <c r="L66" s="131"/>
      <c r="M66" s="131"/>
      <c r="N66" s="131"/>
    </row>
    <row r="67" spans="2:18" ht="30.75" customHeight="1">
      <c r="E67" s="131"/>
      <c r="F67" s="131"/>
      <c r="G67" s="131"/>
      <c r="H67" s="131"/>
      <c r="I67" s="140"/>
      <c r="J67" s="140"/>
      <c r="K67" s="140"/>
      <c r="L67" s="140"/>
      <c r="M67" s="140"/>
      <c r="N67" s="140"/>
    </row>
    <row r="68" spans="2:18" ht="15" customHeight="1">
      <c r="E68" s="140"/>
      <c r="F68" s="140"/>
      <c r="G68" s="140"/>
      <c r="H68" s="140"/>
      <c r="I68" s="140"/>
      <c r="J68" s="140"/>
      <c r="K68" s="140"/>
      <c r="L68" s="140"/>
      <c r="M68" s="140"/>
      <c r="N68" s="140"/>
    </row>
    <row r="69" spans="2:18" ht="15" customHeight="1">
      <c r="E69" s="140"/>
      <c r="F69" s="140"/>
      <c r="G69" s="140"/>
      <c r="H69" s="140"/>
    </row>
    <row r="70" spans="2:18" ht="31.5" customHeight="1">
      <c r="E70" s="270"/>
      <c r="F70" s="270"/>
      <c r="G70" s="270"/>
      <c r="H70" s="270"/>
      <c r="I70" s="270"/>
      <c r="J70" s="270"/>
      <c r="K70" s="270"/>
      <c r="L70" s="270"/>
      <c r="M70" s="270"/>
      <c r="N70" s="270"/>
      <c r="O70" s="270"/>
      <c r="P70" s="270"/>
    </row>
    <row r="71" spans="2:18" ht="24" customHeight="1">
      <c r="B71" s="141"/>
      <c r="C71" s="142"/>
      <c r="D71" s="142"/>
      <c r="E71" s="142"/>
      <c r="F71" s="142"/>
      <c r="G71" s="142"/>
      <c r="H71" s="142"/>
      <c r="I71" s="142"/>
      <c r="J71" s="142"/>
      <c r="K71" s="142"/>
      <c r="L71" s="142"/>
      <c r="M71" s="142"/>
      <c r="N71" s="142"/>
      <c r="O71" s="142"/>
      <c r="P71" s="142"/>
      <c r="Q71" s="142"/>
      <c r="R71" s="142"/>
    </row>
    <row r="72" spans="2:18" ht="15" customHeight="1">
      <c r="B72" s="142"/>
      <c r="C72" s="142"/>
      <c r="D72" s="260"/>
      <c r="E72" s="260"/>
      <c r="F72" s="260"/>
      <c r="G72" s="260"/>
      <c r="H72" s="260"/>
      <c r="I72" s="260"/>
      <c r="J72" s="260"/>
      <c r="K72" s="260"/>
      <c r="L72" s="260"/>
      <c r="M72" s="260"/>
      <c r="N72" s="260"/>
      <c r="O72" s="260"/>
      <c r="P72" s="142"/>
      <c r="Q72" s="142"/>
      <c r="R72" s="142"/>
    </row>
    <row r="73" spans="2:18">
      <c r="D73" s="260"/>
      <c r="E73" s="260"/>
      <c r="F73" s="260"/>
      <c r="G73" s="260"/>
      <c r="H73" s="260"/>
      <c r="I73" s="260"/>
      <c r="J73" s="260"/>
      <c r="K73" s="260"/>
      <c r="L73" s="260"/>
      <c r="M73" s="260"/>
      <c r="N73" s="260"/>
      <c r="O73" s="260"/>
    </row>
  </sheetData>
  <sheetProtection formatCells="0" formatColumns="0" insertColumns="0" insertRows="0" deleteColumns="0" deleteRows="0"/>
  <mergeCells count="74">
    <mergeCell ref="D72:O73"/>
    <mergeCell ref="H46:I46"/>
    <mergeCell ref="J46:L46"/>
    <mergeCell ref="H51:I51"/>
    <mergeCell ref="J51:L51"/>
    <mergeCell ref="H52:I52"/>
    <mergeCell ref="J52:L52"/>
    <mergeCell ref="H53:K53"/>
    <mergeCell ref="A56:L56"/>
    <mergeCell ref="A57:L58"/>
    <mergeCell ref="A59:L59"/>
    <mergeCell ref="E70:P70"/>
    <mergeCell ref="A39:B39"/>
    <mergeCell ref="D39:E39"/>
    <mergeCell ref="J39:K39"/>
    <mergeCell ref="A40:B40"/>
    <mergeCell ref="D40:E40"/>
    <mergeCell ref="J40:K40"/>
    <mergeCell ref="A38:B38"/>
    <mergeCell ref="D38:E38"/>
    <mergeCell ref="H38:I38"/>
    <mergeCell ref="J38:K38"/>
    <mergeCell ref="A28:B28"/>
    <mergeCell ref="A29:E29"/>
    <mergeCell ref="A30:B30"/>
    <mergeCell ref="A31:B31"/>
    <mergeCell ref="A32:B32"/>
    <mergeCell ref="A33:B33"/>
    <mergeCell ref="A34:B34"/>
    <mergeCell ref="A36:E36"/>
    <mergeCell ref="H36:K36"/>
    <mergeCell ref="A37:B37"/>
    <mergeCell ref="D37:E37"/>
    <mergeCell ref="A27:B27"/>
    <mergeCell ref="A19:C19"/>
    <mergeCell ref="G19:H20"/>
    <mergeCell ref="I19:J19"/>
    <mergeCell ref="K19:L19"/>
    <mergeCell ref="A20:B20"/>
    <mergeCell ref="A21:B21"/>
    <mergeCell ref="A22:B22"/>
    <mergeCell ref="A23:B23"/>
    <mergeCell ref="A24:B24"/>
    <mergeCell ref="A25:B25"/>
    <mergeCell ref="A26:B26"/>
    <mergeCell ref="A18:E18"/>
    <mergeCell ref="G18:L18"/>
    <mergeCell ref="C8:G8"/>
    <mergeCell ref="H8:I8"/>
    <mergeCell ref="J8:L8"/>
    <mergeCell ref="C9:G9"/>
    <mergeCell ref="H9:I9"/>
    <mergeCell ref="C10:G10"/>
    <mergeCell ref="H10:I10"/>
    <mergeCell ref="J10:L10"/>
    <mergeCell ref="B11:K11"/>
    <mergeCell ref="F12:G12"/>
    <mergeCell ref="H12:I12"/>
    <mergeCell ref="C13:L13"/>
    <mergeCell ref="A16:L16"/>
    <mergeCell ref="B5:K5"/>
    <mergeCell ref="C6:G6"/>
    <mergeCell ref="H6:I6"/>
    <mergeCell ref="J6:L6"/>
    <mergeCell ref="C7:G7"/>
    <mergeCell ref="H7:I7"/>
    <mergeCell ref="J7:L7"/>
    <mergeCell ref="A1:B4"/>
    <mergeCell ref="C1:J1"/>
    <mergeCell ref="K1:L1"/>
    <mergeCell ref="C2:J4"/>
    <mergeCell ref="K2:L2"/>
    <mergeCell ref="K3:L3"/>
    <mergeCell ref="K4:L4"/>
  </mergeCells>
  <conditionalFormatting sqref="C6:G10">
    <cfRule type="containsBlanks" dxfId="209" priority="10">
      <formula>LEN(TRIM(C6))=0</formula>
    </cfRule>
  </conditionalFormatting>
  <conditionalFormatting sqref="C13:L13">
    <cfRule type="containsBlanks" dxfId="208" priority="9">
      <formula>LEN(TRIM(C13))=0</formula>
    </cfRule>
  </conditionalFormatting>
  <conditionalFormatting sqref="D20:D24">
    <cfRule type="containsBlanks" dxfId="207" priority="4">
      <formula>LEN(TRIM(D20))=0</formula>
    </cfRule>
  </conditionalFormatting>
  <conditionalFormatting sqref="D37:D38">
    <cfRule type="containsBlanks" dxfId="206" priority="3">
      <formula>LEN(TRIM(D37))=0</formula>
    </cfRule>
  </conditionalFormatting>
  <conditionalFormatting sqref="D30:E33">
    <cfRule type="containsBlanks" dxfId="205" priority="1">
      <formula>LEN(TRIM(D30))=0</formula>
    </cfRule>
  </conditionalFormatting>
  <conditionalFormatting sqref="E23">
    <cfRule type="containsBlanks" dxfId="204" priority="5">
      <formula>LEN(TRIM(E23))=0</formula>
    </cfRule>
  </conditionalFormatting>
  <conditionalFormatting sqref="F12:G12">
    <cfRule type="containsBlanks" dxfId="203" priority="8">
      <formula>LEN(TRIM(F12))=0</formula>
    </cfRule>
  </conditionalFormatting>
  <conditionalFormatting sqref="I22:I34">
    <cfRule type="containsBlanks" dxfId="202" priority="7">
      <formula>LEN(TRIM(I22))=0</formula>
    </cfRule>
  </conditionalFormatting>
  <conditionalFormatting sqref="I37">
    <cfRule type="containsBlanks" dxfId="201" priority="2">
      <formula>LEN(TRIM(I37))=0</formula>
    </cfRule>
  </conditionalFormatting>
  <conditionalFormatting sqref="K22:K34">
    <cfRule type="containsBlanks" dxfId="200" priority="6">
      <formula>LEN(TRIM(K22))=0</formula>
    </cfRule>
  </conditionalFormatting>
  <dataValidations count="2">
    <dataValidation type="list" allowBlank="1" showInputMessage="1" showErrorMessage="1" sqref="I37" xr:uid="{00000000-0002-0000-0200-000000000000}">
      <formula1>"5 kN, 50 kN"</formula1>
    </dataValidation>
    <dataValidation type="list" allowBlank="1" showInputMessage="1" showErrorMessage="1" sqref="C12" xr:uid="{00000000-0002-0000-0200-000001000000}">
      <formula1>$T$6:$T$13</formula1>
    </dataValidation>
  </dataValidations>
  <printOptions horizontalCentered="1" verticalCentered="1"/>
  <pageMargins left="0.31496062992126" right="0.31496062992126" top="0.15748031496063" bottom="0.55118110236220497" header="0" footer="0.118110236220472"/>
  <pageSetup scale="42" fitToWidth="0" fitToHeight="0" orientation="landscape" r:id="rId1"/>
  <headerFooter>
    <oddFooter>&amp;C&amp;"Arial,Normal"&amp;10GEODELTA S.A.S. Calle 68 B bis No 70 C 95, Móvil: 318 7902368 Bogotá DC - Colombia
e-mail: laboratoriogeodelta@gmail.com</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AB73"/>
  <sheetViews>
    <sheetView showGridLines="0" view="pageBreakPreview" topLeftCell="A7" zoomScale="85" zoomScaleNormal="50" zoomScalePageLayoutView="50" workbookViewId="0">
      <selection activeCell="K2" sqref="K2:L2"/>
    </sheetView>
  </sheetViews>
  <sheetFormatPr baseColWidth="10" defaultColWidth="11" defaultRowHeight="14.25"/>
  <cols>
    <col min="1" max="1" width="10.5703125" style="3" customWidth="1"/>
    <col min="2" max="2" width="35.42578125" style="3" customWidth="1"/>
    <col min="3" max="3" width="20.85546875" style="3" customWidth="1"/>
    <col min="4" max="5" width="26.7109375" style="3" customWidth="1"/>
    <col min="6" max="6" width="3.7109375" style="3" customWidth="1"/>
    <col min="7" max="7" width="29.140625" style="3" customWidth="1"/>
    <col min="8" max="8" width="27.140625" style="3" customWidth="1"/>
    <col min="9" max="10" width="24.28515625" style="3" customWidth="1"/>
    <col min="11" max="12" width="22.42578125" style="3" customWidth="1"/>
    <col min="13" max="13" width="1.85546875" style="3" customWidth="1"/>
    <col min="14" max="16" width="12.85546875" style="3" customWidth="1"/>
    <col min="17" max="17" width="6.5703125" style="3" customWidth="1"/>
    <col min="18" max="18" width="6.28515625" style="3" customWidth="1"/>
    <col min="19" max="184" width="11" style="3"/>
    <col min="185" max="185" width="0.7109375" style="3" customWidth="1"/>
    <col min="186" max="186" width="6.5703125" style="3" customWidth="1"/>
    <col min="187" max="187" width="13.5703125" style="3" customWidth="1"/>
    <col min="188" max="188" width="13.42578125" style="3" customWidth="1"/>
    <col min="189" max="190" width="12.5703125" style="3" customWidth="1"/>
    <col min="191" max="191" width="14.85546875" style="3" customWidth="1"/>
    <col min="192" max="192" width="20.7109375" style="3" customWidth="1"/>
    <col min="193" max="193" width="12.5703125" style="3" customWidth="1"/>
    <col min="194" max="194" width="13" style="3" customWidth="1"/>
    <col min="195" max="195" width="16" style="3" customWidth="1"/>
    <col min="196" max="196" width="6.42578125" style="3" customWidth="1"/>
    <col min="197" max="197" width="16" style="3" customWidth="1"/>
    <col min="198" max="198" width="2.85546875" style="3" customWidth="1"/>
    <col min="199" max="199" width="0.85546875" style="3" customWidth="1"/>
    <col min="200" max="200" width="11" style="3"/>
    <col min="201" max="201" width="15.42578125" style="3" customWidth="1"/>
    <col min="202" max="204" width="14.85546875" style="3" customWidth="1"/>
    <col min="205" max="205" width="0.7109375" style="3" customWidth="1"/>
    <col min="206" max="206" width="11" style="3"/>
    <col min="207" max="207" width="15.7109375" style="3" customWidth="1"/>
    <col min="208" max="209" width="14.85546875" style="3" customWidth="1"/>
    <col min="210" max="210" width="3.28515625" style="3" customWidth="1"/>
    <col min="211" max="211" width="20.140625" style="3" customWidth="1"/>
    <col min="212" max="212" width="3.28515625" style="3" customWidth="1"/>
    <col min="213" max="217" width="11" style="3"/>
    <col min="218" max="230" width="4.7109375" style="3" customWidth="1"/>
    <col min="231" max="440" width="11" style="3"/>
    <col min="441" max="441" width="0.7109375" style="3" customWidth="1"/>
    <col min="442" max="442" width="6.5703125" style="3" customWidth="1"/>
    <col min="443" max="443" width="13.5703125" style="3" customWidth="1"/>
    <col min="444" max="444" width="13.42578125" style="3" customWidth="1"/>
    <col min="445" max="446" width="12.5703125" style="3" customWidth="1"/>
    <col min="447" max="447" width="14.85546875" style="3" customWidth="1"/>
    <col min="448" max="448" width="20.7109375" style="3" customWidth="1"/>
    <col min="449" max="449" width="12.5703125" style="3" customWidth="1"/>
    <col min="450" max="450" width="13" style="3" customWidth="1"/>
    <col min="451" max="451" width="16" style="3" customWidth="1"/>
    <col min="452" max="452" width="6.42578125" style="3" customWidth="1"/>
    <col min="453" max="453" width="16" style="3" customWidth="1"/>
    <col min="454" max="454" width="2.85546875" style="3" customWidth="1"/>
    <col min="455" max="455" width="0.85546875" style="3" customWidth="1"/>
    <col min="456" max="456" width="11" style="3"/>
    <col min="457" max="457" width="15.42578125" style="3" customWidth="1"/>
    <col min="458" max="460" width="14.85546875" style="3" customWidth="1"/>
    <col min="461" max="461" width="0.7109375" style="3" customWidth="1"/>
    <col min="462" max="462" width="11" style="3"/>
    <col min="463" max="463" width="15.7109375" style="3" customWidth="1"/>
    <col min="464" max="465" width="14.85546875" style="3" customWidth="1"/>
    <col min="466" max="466" width="3.28515625" style="3" customWidth="1"/>
    <col min="467" max="467" width="20.140625" style="3" customWidth="1"/>
    <col min="468" max="468" width="3.28515625" style="3" customWidth="1"/>
    <col min="469" max="473" width="11" style="3"/>
    <col min="474" max="486" width="4.7109375" style="3" customWidth="1"/>
    <col min="487" max="696" width="11" style="3"/>
    <col min="697" max="697" width="0.7109375" style="3" customWidth="1"/>
    <col min="698" max="698" width="6.5703125" style="3" customWidth="1"/>
    <col min="699" max="699" width="13.5703125" style="3" customWidth="1"/>
    <col min="700" max="700" width="13.42578125" style="3" customWidth="1"/>
    <col min="701" max="702" width="12.5703125" style="3" customWidth="1"/>
    <col min="703" max="703" width="14.85546875" style="3" customWidth="1"/>
    <col min="704" max="704" width="20.7109375" style="3" customWidth="1"/>
    <col min="705" max="705" width="12.5703125" style="3" customWidth="1"/>
    <col min="706" max="706" width="13" style="3" customWidth="1"/>
    <col min="707" max="707" width="16" style="3" customWidth="1"/>
    <col min="708" max="708" width="6.42578125" style="3" customWidth="1"/>
    <col min="709" max="709" width="16" style="3" customWidth="1"/>
    <col min="710" max="710" width="2.85546875" style="3" customWidth="1"/>
    <col min="711" max="711" width="0.85546875" style="3" customWidth="1"/>
    <col min="712" max="712" width="11" style="3"/>
    <col min="713" max="713" width="15.42578125" style="3" customWidth="1"/>
    <col min="714" max="716" width="14.85546875" style="3" customWidth="1"/>
    <col min="717" max="717" width="0.7109375" style="3" customWidth="1"/>
    <col min="718" max="718" width="11" style="3"/>
    <col min="719" max="719" width="15.7109375" style="3" customWidth="1"/>
    <col min="720" max="721" width="14.85546875" style="3" customWidth="1"/>
    <col min="722" max="722" width="3.28515625" style="3" customWidth="1"/>
    <col min="723" max="723" width="20.140625" style="3" customWidth="1"/>
    <col min="724" max="724" width="3.28515625" style="3" customWidth="1"/>
    <col min="725" max="729" width="11" style="3"/>
    <col min="730" max="742" width="4.7109375" style="3" customWidth="1"/>
    <col min="743" max="952" width="11" style="3"/>
    <col min="953" max="953" width="0.7109375" style="3" customWidth="1"/>
    <col min="954" max="954" width="6.5703125" style="3" customWidth="1"/>
    <col min="955" max="955" width="13.5703125" style="3" customWidth="1"/>
    <col min="956" max="956" width="13.42578125" style="3" customWidth="1"/>
    <col min="957" max="958" width="12.5703125" style="3" customWidth="1"/>
    <col min="959" max="959" width="14.85546875" style="3" customWidth="1"/>
    <col min="960" max="960" width="20.7109375" style="3" customWidth="1"/>
    <col min="961" max="961" width="12.5703125" style="3" customWidth="1"/>
    <col min="962" max="962" width="13" style="3" customWidth="1"/>
    <col min="963" max="963" width="16" style="3" customWidth="1"/>
    <col min="964" max="964" width="6.42578125" style="3" customWidth="1"/>
    <col min="965" max="965" width="16" style="3" customWidth="1"/>
    <col min="966" max="966" width="2.85546875" style="3" customWidth="1"/>
    <col min="967" max="967" width="0.85546875" style="3" customWidth="1"/>
    <col min="968" max="968" width="11" style="3"/>
    <col min="969" max="969" width="15.42578125" style="3" customWidth="1"/>
    <col min="970" max="972" width="14.85546875" style="3" customWidth="1"/>
    <col min="973" max="973" width="0.7109375" style="3" customWidth="1"/>
    <col min="974" max="974" width="11" style="3"/>
    <col min="975" max="975" width="15.7109375" style="3" customWidth="1"/>
    <col min="976" max="977" width="14.85546875" style="3" customWidth="1"/>
    <col min="978" max="978" width="3.28515625" style="3" customWidth="1"/>
    <col min="979" max="979" width="20.140625" style="3" customWidth="1"/>
    <col min="980" max="980" width="3.28515625" style="3" customWidth="1"/>
    <col min="981" max="985" width="11" style="3"/>
    <col min="986" max="998" width="4.7109375" style="3" customWidth="1"/>
    <col min="999" max="1208" width="11" style="3"/>
    <col min="1209" max="1209" width="0.7109375" style="3" customWidth="1"/>
    <col min="1210" max="1210" width="6.5703125" style="3" customWidth="1"/>
    <col min="1211" max="1211" width="13.5703125" style="3" customWidth="1"/>
    <col min="1212" max="1212" width="13.42578125" style="3" customWidth="1"/>
    <col min="1213" max="1214" width="12.5703125" style="3" customWidth="1"/>
    <col min="1215" max="1215" width="14.85546875" style="3" customWidth="1"/>
    <col min="1216" max="1216" width="20.7109375" style="3" customWidth="1"/>
    <col min="1217" max="1217" width="12.5703125" style="3" customWidth="1"/>
    <col min="1218" max="1218" width="13" style="3" customWidth="1"/>
    <col min="1219" max="1219" width="16" style="3" customWidth="1"/>
    <col min="1220" max="1220" width="6.42578125" style="3" customWidth="1"/>
    <col min="1221" max="1221" width="16" style="3" customWidth="1"/>
    <col min="1222" max="1222" width="2.85546875" style="3" customWidth="1"/>
    <col min="1223" max="1223" width="0.85546875" style="3" customWidth="1"/>
    <col min="1224" max="1224" width="11" style="3"/>
    <col min="1225" max="1225" width="15.42578125" style="3" customWidth="1"/>
    <col min="1226" max="1228" width="14.85546875" style="3" customWidth="1"/>
    <col min="1229" max="1229" width="0.7109375" style="3" customWidth="1"/>
    <col min="1230" max="1230" width="11" style="3"/>
    <col min="1231" max="1231" width="15.7109375" style="3" customWidth="1"/>
    <col min="1232" max="1233" width="14.85546875" style="3" customWidth="1"/>
    <col min="1234" max="1234" width="3.28515625" style="3" customWidth="1"/>
    <col min="1235" max="1235" width="20.140625" style="3" customWidth="1"/>
    <col min="1236" max="1236" width="3.28515625" style="3" customWidth="1"/>
    <col min="1237" max="1241" width="11" style="3"/>
    <col min="1242" max="1254" width="4.7109375" style="3" customWidth="1"/>
    <col min="1255" max="1464" width="11" style="3"/>
    <col min="1465" max="1465" width="0.7109375" style="3" customWidth="1"/>
    <col min="1466" max="1466" width="6.5703125" style="3" customWidth="1"/>
    <col min="1467" max="1467" width="13.5703125" style="3" customWidth="1"/>
    <col min="1468" max="1468" width="13.42578125" style="3" customWidth="1"/>
    <col min="1469" max="1470" width="12.5703125" style="3" customWidth="1"/>
    <col min="1471" max="1471" width="14.85546875" style="3" customWidth="1"/>
    <col min="1472" max="1472" width="20.7109375" style="3" customWidth="1"/>
    <col min="1473" max="1473" width="12.5703125" style="3" customWidth="1"/>
    <col min="1474" max="1474" width="13" style="3" customWidth="1"/>
    <col min="1475" max="1475" width="16" style="3" customWidth="1"/>
    <col min="1476" max="1476" width="6.42578125" style="3" customWidth="1"/>
    <col min="1477" max="1477" width="16" style="3" customWidth="1"/>
    <col min="1478" max="1478" width="2.85546875" style="3" customWidth="1"/>
    <col min="1479" max="1479" width="0.85546875" style="3" customWidth="1"/>
    <col min="1480" max="1480" width="11" style="3"/>
    <col min="1481" max="1481" width="15.42578125" style="3" customWidth="1"/>
    <col min="1482" max="1484" width="14.85546875" style="3" customWidth="1"/>
    <col min="1485" max="1485" width="0.7109375" style="3" customWidth="1"/>
    <col min="1486" max="1486" width="11" style="3"/>
    <col min="1487" max="1487" width="15.7109375" style="3" customWidth="1"/>
    <col min="1488" max="1489" width="14.85546875" style="3" customWidth="1"/>
    <col min="1490" max="1490" width="3.28515625" style="3" customWidth="1"/>
    <col min="1491" max="1491" width="20.140625" style="3" customWidth="1"/>
    <col min="1492" max="1492" width="3.28515625" style="3" customWidth="1"/>
    <col min="1493" max="1497" width="11" style="3"/>
    <col min="1498" max="1510" width="4.7109375" style="3" customWidth="1"/>
    <col min="1511" max="1720" width="11" style="3"/>
    <col min="1721" max="1721" width="0.7109375" style="3" customWidth="1"/>
    <col min="1722" max="1722" width="6.5703125" style="3" customWidth="1"/>
    <col min="1723" max="1723" width="13.5703125" style="3" customWidth="1"/>
    <col min="1724" max="1724" width="13.42578125" style="3" customWidth="1"/>
    <col min="1725" max="1726" width="12.5703125" style="3" customWidth="1"/>
    <col min="1727" max="1727" width="14.85546875" style="3" customWidth="1"/>
    <col min="1728" max="1728" width="20.7109375" style="3" customWidth="1"/>
    <col min="1729" max="1729" width="12.5703125" style="3" customWidth="1"/>
    <col min="1730" max="1730" width="13" style="3" customWidth="1"/>
    <col min="1731" max="1731" width="16" style="3" customWidth="1"/>
    <col min="1732" max="1732" width="6.42578125" style="3" customWidth="1"/>
    <col min="1733" max="1733" width="16" style="3" customWidth="1"/>
    <col min="1734" max="1734" width="2.85546875" style="3" customWidth="1"/>
    <col min="1735" max="1735" width="0.85546875" style="3" customWidth="1"/>
    <col min="1736" max="1736" width="11" style="3"/>
    <col min="1737" max="1737" width="15.42578125" style="3" customWidth="1"/>
    <col min="1738" max="1740" width="14.85546875" style="3" customWidth="1"/>
    <col min="1741" max="1741" width="0.7109375" style="3" customWidth="1"/>
    <col min="1742" max="1742" width="11" style="3"/>
    <col min="1743" max="1743" width="15.7109375" style="3" customWidth="1"/>
    <col min="1744" max="1745" width="14.85546875" style="3" customWidth="1"/>
    <col min="1746" max="1746" width="3.28515625" style="3" customWidth="1"/>
    <col min="1747" max="1747" width="20.140625" style="3" customWidth="1"/>
    <col min="1748" max="1748" width="3.28515625" style="3" customWidth="1"/>
    <col min="1749" max="1753" width="11" style="3"/>
    <col min="1754" max="1766" width="4.7109375" style="3" customWidth="1"/>
    <col min="1767" max="1976" width="11" style="3"/>
    <col min="1977" max="1977" width="0.7109375" style="3" customWidth="1"/>
    <col min="1978" max="1978" width="6.5703125" style="3" customWidth="1"/>
    <col min="1979" max="1979" width="13.5703125" style="3" customWidth="1"/>
    <col min="1980" max="1980" width="13.42578125" style="3" customWidth="1"/>
    <col min="1981" max="1982" width="12.5703125" style="3" customWidth="1"/>
    <col min="1983" max="1983" width="14.85546875" style="3" customWidth="1"/>
    <col min="1984" max="1984" width="20.7109375" style="3" customWidth="1"/>
    <col min="1985" max="1985" width="12.5703125" style="3" customWidth="1"/>
    <col min="1986" max="1986" width="13" style="3" customWidth="1"/>
    <col min="1987" max="1987" width="16" style="3" customWidth="1"/>
    <col min="1988" max="1988" width="6.42578125" style="3" customWidth="1"/>
    <col min="1989" max="1989" width="16" style="3" customWidth="1"/>
    <col min="1990" max="1990" width="2.85546875" style="3" customWidth="1"/>
    <col min="1991" max="1991" width="0.85546875" style="3" customWidth="1"/>
    <col min="1992" max="1992" width="11" style="3"/>
    <col min="1993" max="1993" width="15.42578125" style="3" customWidth="1"/>
    <col min="1994" max="1996" width="14.85546875" style="3" customWidth="1"/>
    <col min="1997" max="1997" width="0.7109375" style="3" customWidth="1"/>
    <col min="1998" max="1998" width="11" style="3"/>
    <col min="1999" max="1999" width="15.7109375" style="3" customWidth="1"/>
    <col min="2000" max="2001" width="14.85546875" style="3" customWidth="1"/>
    <col min="2002" max="2002" width="3.28515625" style="3" customWidth="1"/>
    <col min="2003" max="2003" width="20.140625" style="3" customWidth="1"/>
    <col min="2004" max="2004" width="3.28515625" style="3" customWidth="1"/>
    <col min="2005" max="2009" width="11" style="3"/>
    <col min="2010" max="2022" width="4.7109375" style="3" customWidth="1"/>
    <col min="2023" max="2232" width="11" style="3"/>
    <col min="2233" max="2233" width="0.7109375" style="3" customWidth="1"/>
    <col min="2234" max="2234" width="6.5703125" style="3" customWidth="1"/>
    <col min="2235" max="2235" width="13.5703125" style="3" customWidth="1"/>
    <col min="2236" max="2236" width="13.42578125" style="3" customWidth="1"/>
    <col min="2237" max="2238" width="12.5703125" style="3" customWidth="1"/>
    <col min="2239" max="2239" width="14.85546875" style="3" customWidth="1"/>
    <col min="2240" max="2240" width="20.7109375" style="3" customWidth="1"/>
    <col min="2241" max="2241" width="12.5703125" style="3" customWidth="1"/>
    <col min="2242" max="2242" width="13" style="3" customWidth="1"/>
    <col min="2243" max="2243" width="16" style="3" customWidth="1"/>
    <col min="2244" max="2244" width="6.42578125" style="3" customWidth="1"/>
    <col min="2245" max="2245" width="16" style="3" customWidth="1"/>
    <col min="2246" max="2246" width="2.85546875" style="3" customWidth="1"/>
    <col min="2247" max="2247" width="0.85546875" style="3" customWidth="1"/>
    <col min="2248" max="2248" width="11" style="3"/>
    <col min="2249" max="2249" width="15.42578125" style="3" customWidth="1"/>
    <col min="2250" max="2252" width="14.85546875" style="3" customWidth="1"/>
    <col min="2253" max="2253" width="0.7109375" style="3" customWidth="1"/>
    <col min="2254" max="2254" width="11" style="3"/>
    <col min="2255" max="2255" width="15.7109375" style="3" customWidth="1"/>
    <col min="2256" max="2257" width="14.85546875" style="3" customWidth="1"/>
    <col min="2258" max="2258" width="3.28515625" style="3" customWidth="1"/>
    <col min="2259" max="2259" width="20.140625" style="3" customWidth="1"/>
    <col min="2260" max="2260" width="3.28515625" style="3" customWidth="1"/>
    <col min="2261" max="2265" width="11" style="3"/>
    <col min="2266" max="2278" width="4.7109375" style="3" customWidth="1"/>
    <col min="2279" max="2488" width="11" style="3"/>
    <col min="2489" max="2489" width="0.7109375" style="3" customWidth="1"/>
    <col min="2490" max="2490" width="6.5703125" style="3" customWidth="1"/>
    <col min="2491" max="2491" width="13.5703125" style="3" customWidth="1"/>
    <col min="2492" max="2492" width="13.42578125" style="3" customWidth="1"/>
    <col min="2493" max="2494" width="12.5703125" style="3" customWidth="1"/>
    <col min="2495" max="2495" width="14.85546875" style="3" customWidth="1"/>
    <col min="2496" max="2496" width="20.7109375" style="3" customWidth="1"/>
    <col min="2497" max="2497" width="12.5703125" style="3" customWidth="1"/>
    <col min="2498" max="2498" width="13" style="3" customWidth="1"/>
    <col min="2499" max="2499" width="16" style="3" customWidth="1"/>
    <col min="2500" max="2500" width="6.42578125" style="3" customWidth="1"/>
    <col min="2501" max="2501" width="16" style="3" customWidth="1"/>
    <col min="2502" max="2502" width="2.85546875" style="3" customWidth="1"/>
    <col min="2503" max="2503" width="0.85546875" style="3" customWidth="1"/>
    <col min="2504" max="2504" width="11" style="3"/>
    <col min="2505" max="2505" width="15.42578125" style="3" customWidth="1"/>
    <col min="2506" max="2508" width="14.85546875" style="3" customWidth="1"/>
    <col min="2509" max="2509" width="0.7109375" style="3" customWidth="1"/>
    <col min="2510" max="2510" width="11" style="3"/>
    <col min="2511" max="2511" width="15.7109375" style="3" customWidth="1"/>
    <col min="2512" max="2513" width="14.85546875" style="3" customWidth="1"/>
    <col min="2514" max="2514" width="3.28515625" style="3" customWidth="1"/>
    <col min="2515" max="2515" width="20.140625" style="3" customWidth="1"/>
    <col min="2516" max="2516" width="3.28515625" style="3" customWidth="1"/>
    <col min="2517" max="2521" width="11" style="3"/>
    <col min="2522" max="2534" width="4.7109375" style="3" customWidth="1"/>
    <col min="2535" max="2744" width="11" style="3"/>
    <col min="2745" max="2745" width="0.7109375" style="3" customWidth="1"/>
    <col min="2746" max="2746" width="6.5703125" style="3" customWidth="1"/>
    <col min="2747" max="2747" width="13.5703125" style="3" customWidth="1"/>
    <col min="2748" max="2748" width="13.42578125" style="3" customWidth="1"/>
    <col min="2749" max="2750" width="12.5703125" style="3" customWidth="1"/>
    <col min="2751" max="2751" width="14.85546875" style="3" customWidth="1"/>
    <col min="2752" max="2752" width="20.7109375" style="3" customWidth="1"/>
    <col min="2753" max="2753" width="12.5703125" style="3" customWidth="1"/>
    <col min="2754" max="2754" width="13" style="3" customWidth="1"/>
    <col min="2755" max="2755" width="16" style="3" customWidth="1"/>
    <col min="2756" max="2756" width="6.42578125" style="3" customWidth="1"/>
    <col min="2757" max="2757" width="16" style="3" customWidth="1"/>
    <col min="2758" max="2758" width="2.85546875" style="3" customWidth="1"/>
    <col min="2759" max="2759" width="0.85546875" style="3" customWidth="1"/>
    <col min="2760" max="2760" width="11" style="3"/>
    <col min="2761" max="2761" width="15.42578125" style="3" customWidth="1"/>
    <col min="2762" max="2764" width="14.85546875" style="3" customWidth="1"/>
    <col min="2765" max="2765" width="0.7109375" style="3" customWidth="1"/>
    <col min="2766" max="2766" width="11" style="3"/>
    <col min="2767" max="2767" width="15.7109375" style="3" customWidth="1"/>
    <col min="2768" max="2769" width="14.85546875" style="3" customWidth="1"/>
    <col min="2770" max="2770" width="3.28515625" style="3" customWidth="1"/>
    <col min="2771" max="2771" width="20.140625" style="3" customWidth="1"/>
    <col min="2772" max="2772" width="3.28515625" style="3" customWidth="1"/>
    <col min="2773" max="2777" width="11" style="3"/>
    <col min="2778" max="2790" width="4.7109375" style="3" customWidth="1"/>
    <col min="2791" max="3000" width="11" style="3"/>
    <col min="3001" max="3001" width="0.7109375" style="3" customWidth="1"/>
    <col min="3002" max="3002" width="6.5703125" style="3" customWidth="1"/>
    <col min="3003" max="3003" width="13.5703125" style="3" customWidth="1"/>
    <col min="3004" max="3004" width="13.42578125" style="3" customWidth="1"/>
    <col min="3005" max="3006" width="12.5703125" style="3" customWidth="1"/>
    <col min="3007" max="3007" width="14.85546875" style="3" customWidth="1"/>
    <col min="3008" max="3008" width="20.7109375" style="3" customWidth="1"/>
    <col min="3009" max="3009" width="12.5703125" style="3" customWidth="1"/>
    <col min="3010" max="3010" width="13" style="3" customWidth="1"/>
    <col min="3011" max="3011" width="16" style="3" customWidth="1"/>
    <col min="3012" max="3012" width="6.42578125" style="3" customWidth="1"/>
    <col min="3013" max="3013" width="16" style="3" customWidth="1"/>
    <col min="3014" max="3014" width="2.85546875" style="3" customWidth="1"/>
    <col min="3015" max="3015" width="0.85546875" style="3" customWidth="1"/>
    <col min="3016" max="3016" width="11" style="3"/>
    <col min="3017" max="3017" width="15.42578125" style="3" customWidth="1"/>
    <col min="3018" max="3020" width="14.85546875" style="3" customWidth="1"/>
    <col min="3021" max="3021" width="0.7109375" style="3" customWidth="1"/>
    <col min="3022" max="3022" width="11" style="3"/>
    <col min="3023" max="3023" width="15.7109375" style="3" customWidth="1"/>
    <col min="3024" max="3025" width="14.85546875" style="3" customWidth="1"/>
    <col min="3026" max="3026" width="3.28515625" style="3" customWidth="1"/>
    <col min="3027" max="3027" width="20.140625" style="3" customWidth="1"/>
    <col min="3028" max="3028" width="3.28515625" style="3" customWidth="1"/>
    <col min="3029" max="3033" width="11" style="3"/>
    <col min="3034" max="3046" width="4.7109375" style="3" customWidth="1"/>
    <col min="3047" max="3256" width="11" style="3"/>
    <col min="3257" max="3257" width="0.7109375" style="3" customWidth="1"/>
    <col min="3258" max="3258" width="6.5703125" style="3" customWidth="1"/>
    <col min="3259" max="3259" width="13.5703125" style="3" customWidth="1"/>
    <col min="3260" max="3260" width="13.42578125" style="3" customWidth="1"/>
    <col min="3261" max="3262" width="12.5703125" style="3" customWidth="1"/>
    <col min="3263" max="3263" width="14.85546875" style="3" customWidth="1"/>
    <col min="3264" max="3264" width="20.7109375" style="3" customWidth="1"/>
    <col min="3265" max="3265" width="12.5703125" style="3" customWidth="1"/>
    <col min="3266" max="3266" width="13" style="3" customWidth="1"/>
    <col min="3267" max="3267" width="16" style="3" customWidth="1"/>
    <col min="3268" max="3268" width="6.42578125" style="3" customWidth="1"/>
    <col min="3269" max="3269" width="16" style="3" customWidth="1"/>
    <col min="3270" max="3270" width="2.85546875" style="3" customWidth="1"/>
    <col min="3271" max="3271" width="0.85546875" style="3" customWidth="1"/>
    <col min="3272" max="3272" width="11" style="3"/>
    <col min="3273" max="3273" width="15.42578125" style="3" customWidth="1"/>
    <col min="3274" max="3276" width="14.85546875" style="3" customWidth="1"/>
    <col min="3277" max="3277" width="0.7109375" style="3" customWidth="1"/>
    <col min="3278" max="3278" width="11" style="3"/>
    <col min="3279" max="3279" width="15.7109375" style="3" customWidth="1"/>
    <col min="3280" max="3281" width="14.85546875" style="3" customWidth="1"/>
    <col min="3282" max="3282" width="3.28515625" style="3" customWidth="1"/>
    <col min="3283" max="3283" width="20.140625" style="3" customWidth="1"/>
    <col min="3284" max="3284" width="3.28515625" style="3" customWidth="1"/>
    <col min="3285" max="3289" width="11" style="3"/>
    <col min="3290" max="3302" width="4.7109375" style="3" customWidth="1"/>
    <col min="3303" max="3512" width="11" style="3"/>
    <col min="3513" max="3513" width="0.7109375" style="3" customWidth="1"/>
    <col min="3514" max="3514" width="6.5703125" style="3" customWidth="1"/>
    <col min="3515" max="3515" width="13.5703125" style="3" customWidth="1"/>
    <col min="3516" max="3516" width="13.42578125" style="3" customWidth="1"/>
    <col min="3517" max="3518" width="12.5703125" style="3" customWidth="1"/>
    <col min="3519" max="3519" width="14.85546875" style="3" customWidth="1"/>
    <col min="3520" max="3520" width="20.7109375" style="3" customWidth="1"/>
    <col min="3521" max="3521" width="12.5703125" style="3" customWidth="1"/>
    <col min="3522" max="3522" width="13" style="3" customWidth="1"/>
    <col min="3523" max="3523" width="16" style="3" customWidth="1"/>
    <col min="3524" max="3524" width="6.42578125" style="3" customWidth="1"/>
    <col min="3525" max="3525" width="16" style="3" customWidth="1"/>
    <col min="3526" max="3526" width="2.85546875" style="3" customWidth="1"/>
    <col min="3527" max="3527" width="0.85546875" style="3" customWidth="1"/>
    <col min="3528" max="3528" width="11" style="3"/>
    <col min="3529" max="3529" width="15.42578125" style="3" customWidth="1"/>
    <col min="3530" max="3532" width="14.85546875" style="3" customWidth="1"/>
    <col min="3533" max="3533" width="0.7109375" style="3" customWidth="1"/>
    <col min="3534" max="3534" width="11" style="3"/>
    <col min="3535" max="3535" width="15.7109375" style="3" customWidth="1"/>
    <col min="3536" max="3537" width="14.85546875" style="3" customWidth="1"/>
    <col min="3538" max="3538" width="3.28515625" style="3" customWidth="1"/>
    <col min="3539" max="3539" width="20.140625" style="3" customWidth="1"/>
    <col min="3540" max="3540" width="3.28515625" style="3" customWidth="1"/>
    <col min="3541" max="3545" width="11" style="3"/>
    <col min="3546" max="3558" width="4.7109375" style="3" customWidth="1"/>
    <col min="3559" max="3768" width="11" style="3"/>
    <col min="3769" max="3769" width="0.7109375" style="3" customWidth="1"/>
    <col min="3770" max="3770" width="6.5703125" style="3" customWidth="1"/>
    <col min="3771" max="3771" width="13.5703125" style="3" customWidth="1"/>
    <col min="3772" max="3772" width="13.42578125" style="3" customWidth="1"/>
    <col min="3773" max="3774" width="12.5703125" style="3" customWidth="1"/>
    <col min="3775" max="3775" width="14.85546875" style="3" customWidth="1"/>
    <col min="3776" max="3776" width="20.7109375" style="3" customWidth="1"/>
    <col min="3777" max="3777" width="12.5703125" style="3" customWidth="1"/>
    <col min="3778" max="3778" width="13" style="3" customWidth="1"/>
    <col min="3779" max="3779" width="16" style="3" customWidth="1"/>
    <col min="3780" max="3780" width="6.42578125" style="3" customWidth="1"/>
    <col min="3781" max="3781" width="16" style="3" customWidth="1"/>
    <col min="3782" max="3782" width="2.85546875" style="3" customWidth="1"/>
    <col min="3783" max="3783" width="0.85546875" style="3" customWidth="1"/>
    <col min="3784" max="3784" width="11" style="3"/>
    <col min="3785" max="3785" width="15.42578125" style="3" customWidth="1"/>
    <col min="3786" max="3788" width="14.85546875" style="3" customWidth="1"/>
    <col min="3789" max="3789" width="0.7109375" style="3" customWidth="1"/>
    <col min="3790" max="3790" width="11" style="3"/>
    <col min="3791" max="3791" width="15.7109375" style="3" customWidth="1"/>
    <col min="3792" max="3793" width="14.85546875" style="3" customWidth="1"/>
    <col min="3794" max="3794" width="3.28515625" style="3" customWidth="1"/>
    <col min="3795" max="3795" width="20.140625" style="3" customWidth="1"/>
    <col min="3796" max="3796" width="3.28515625" style="3" customWidth="1"/>
    <col min="3797" max="3801" width="11" style="3"/>
    <col min="3802" max="3814" width="4.7109375" style="3" customWidth="1"/>
    <col min="3815" max="4024" width="11" style="3"/>
    <col min="4025" max="4025" width="0.7109375" style="3" customWidth="1"/>
    <col min="4026" max="4026" width="6.5703125" style="3" customWidth="1"/>
    <col min="4027" max="4027" width="13.5703125" style="3" customWidth="1"/>
    <col min="4028" max="4028" width="13.42578125" style="3" customWidth="1"/>
    <col min="4029" max="4030" width="12.5703125" style="3" customWidth="1"/>
    <col min="4031" max="4031" width="14.85546875" style="3" customWidth="1"/>
    <col min="4032" max="4032" width="20.7109375" style="3" customWidth="1"/>
    <col min="4033" max="4033" width="12.5703125" style="3" customWidth="1"/>
    <col min="4034" max="4034" width="13" style="3" customWidth="1"/>
    <col min="4035" max="4035" width="16" style="3" customWidth="1"/>
    <col min="4036" max="4036" width="6.42578125" style="3" customWidth="1"/>
    <col min="4037" max="4037" width="16" style="3" customWidth="1"/>
    <col min="4038" max="4038" width="2.85546875" style="3" customWidth="1"/>
    <col min="4039" max="4039" width="0.85546875" style="3" customWidth="1"/>
    <col min="4040" max="4040" width="11" style="3"/>
    <col min="4041" max="4041" width="15.42578125" style="3" customWidth="1"/>
    <col min="4042" max="4044" width="14.85546875" style="3" customWidth="1"/>
    <col min="4045" max="4045" width="0.7109375" style="3" customWidth="1"/>
    <col min="4046" max="4046" width="11" style="3"/>
    <col min="4047" max="4047" width="15.7109375" style="3" customWidth="1"/>
    <col min="4048" max="4049" width="14.85546875" style="3" customWidth="1"/>
    <col min="4050" max="4050" width="3.28515625" style="3" customWidth="1"/>
    <col min="4051" max="4051" width="20.140625" style="3" customWidth="1"/>
    <col min="4052" max="4052" width="3.28515625" style="3" customWidth="1"/>
    <col min="4053" max="4057" width="11" style="3"/>
    <col min="4058" max="4070" width="4.7109375" style="3" customWidth="1"/>
    <col min="4071" max="4280" width="11" style="3"/>
    <col min="4281" max="4281" width="0.7109375" style="3" customWidth="1"/>
    <col min="4282" max="4282" width="6.5703125" style="3" customWidth="1"/>
    <col min="4283" max="4283" width="13.5703125" style="3" customWidth="1"/>
    <col min="4284" max="4284" width="13.42578125" style="3" customWidth="1"/>
    <col min="4285" max="4286" width="12.5703125" style="3" customWidth="1"/>
    <col min="4287" max="4287" width="14.85546875" style="3" customWidth="1"/>
    <col min="4288" max="4288" width="20.7109375" style="3" customWidth="1"/>
    <col min="4289" max="4289" width="12.5703125" style="3" customWidth="1"/>
    <col min="4290" max="4290" width="13" style="3" customWidth="1"/>
    <col min="4291" max="4291" width="16" style="3" customWidth="1"/>
    <col min="4292" max="4292" width="6.42578125" style="3" customWidth="1"/>
    <col min="4293" max="4293" width="16" style="3" customWidth="1"/>
    <col min="4294" max="4294" width="2.85546875" style="3" customWidth="1"/>
    <col min="4295" max="4295" width="0.85546875" style="3" customWidth="1"/>
    <col min="4296" max="4296" width="11" style="3"/>
    <col min="4297" max="4297" width="15.42578125" style="3" customWidth="1"/>
    <col min="4298" max="4300" width="14.85546875" style="3" customWidth="1"/>
    <col min="4301" max="4301" width="0.7109375" style="3" customWidth="1"/>
    <col min="4302" max="4302" width="11" style="3"/>
    <col min="4303" max="4303" width="15.7109375" style="3" customWidth="1"/>
    <col min="4304" max="4305" width="14.85546875" style="3" customWidth="1"/>
    <col min="4306" max="4306" width="3.28515625" style="3" customWidth="1"/>
    <col min="4307" max="4307" width="20.140625" style="3" customWidth="1"/>
    <col min="4308" max="4308" width="3.28515625" style="3" customWidth="1"/>
    <col min="4309" max="4313" width="11" style="3"/>
    <col min="4314" max="4326" width="4.7109375" style="3" customWidth="1"/>
    <col min="4327" max="4536" width="11" style="3"/>
    <col min="4537" max="4537" width="0.7109375" style="3" customWidth="1"/>
    <col min="4538" max="4538" width="6.5703125" style="3" customWidth="1"/>
    <col min="4539" max="4539" width="13.5703125" style="3" customWidth="1"/>
    <col min="4540" max="4540" width="13.42578125" style="3" customWidth="1"/>
    <col min="4541" max="4542" width="12.5703125" style="3" customWidth="1"/>
    <col min="4543" max="4543" width="14.85546875" style="3" customWidth="1"/>
    <col min="4544" max="4544" width="20.7109375" style="3" customWidth="1"/>
    <col min="4545" max="4545" width="12.5703125" style="3" customWidth="1"/>
    <col min="4546" max="4546" width="13" style="3" customWidth="1"/>
    <col min="4547" max="4547" width="16" style="3" customWidth="1"/>
    <col min="4548" max="4548" width="6.42578125" style="3" customWidth="1"/>
    <col min="4549" max="4549" width="16" style="3" customWidth="1"/>
    <col min="4550" max="4550" width="2.85546875" style="3" customWidth="1"/>
    <col min="4551" max="4551" width="0.85546875" style="3" customWidth="1"/>
    <col min="4552" max="4552" width="11" style="3"/>
    <col min="4553" max="4553" width="15.42578125" style="3" customWidth="1"/>
    <col min="4554" max="4556" width="14.85546875" style="3" customWidth="1"/>
    <col min="4557" max="4557" width="0.7109375" style="3" customWidth="1"/>
    <col min="4558" max="4558" width="11" style="3"/>
    <col min="4559" max="4559" width="15.7109375" style="3" customWidth="1"/>
    <col min="4560" max="4561" width="14.85546875" style="3" customWidth="1"/>
    <col min="4562" max="4562" width="3.28515625" style="3" customWidth="1"/>
    <col min="4563" max="4563" width="20.140625" style="3" customWidth="1"/>
    <col min="4564" max="4564" width="3.28515625" style="3" customWidth="1"/>
    <col min="4565" max="4569" width="11" style="3"/>
    <col min="4570" max="4582" width="4.7109375" style="3" customWidth="1"/>
    <col min="4583" max="4792" width="11" style="3"/>
    <col min="4793" max="4793" width="0.7109375" style="3" customWidth="1"/>
    <col min="4794" max="4794" width="6.5703125" style="3" customWidth="1"/>
    <col min="4795" max="4795" width="13.5703125" style="3" customWidth="1"/>
    <col min="4796" max="4796" width="13.42578125" style="3" customWidth="1"/>
    <col min="4797" max="4798" width="12.5703125" style="3" customWidth="1"/>
    <col min="4799" max="4799" width="14.85546875" style="3" customWidth="1"/>
    <col min="4800" max="4800" width="20.7109375" style="3" customWidth="1"/>
    <col min="4801" max="4801" width="12.5703125" style="3" customWidth="1"/>
    <col min="4802" max="4802" width="13" style="3" customWidth="1"/>
    <col min="4803" max="4803" width="16" style="3" customWidth="1"/>
    <col min="4804" max="4804" width="6.42578125" style="3" customWidth="1"/>
    <col min="4805" max="4805" width="16" style="3" customWidth="1"/>
    <col min="4806" max="4806" width="2.85546875" style="3" customWidth="1"/>
    <col min="4807" max="4807" width="0.85546875" style="3" customWidth="1"/>
    <col min="4808" max="4808" width="11" style="3"/>
    <col min="4809" max="4809" width="15.42578125" style="3" customWidth="1"/>
    <col min="4810" max="4812" width="14.85546875" style="3" customWidth="1"/>
    <col min="4813" max="4813" width="0.7109375" style="3" customWidth="1"/>
    <col min="4814" max="4814" width="11" style="3"/>
    <col min="4815" max="4815" width="15.7109375" style="3" customWidth="1"/>
    <col min="4816" max="4817" width="14.85546875" style="3" customWidth="1"/>
    <col min="4818" max="4818" width="3.28515625" style="3" customWidth="1"/>
    <col min="4819" max="4819" width="20.140625" style="3" customWidth="1"/>
    <col min="4820" max="4820" width="3.28515625" style="3" customWidth="1"/>
    <col min="4821" max="4825" width="11" style="3"/>
    <col min="4826" max="4838" width="4.7109375" style="3" customWidth="1"/>
    <col min="4839" max="5048" width="11" style="3"/>
    <col min="5049" max="5049" width="0.7109375" style="3" customWidth="1"/>
    <col min="5050" max="5050" width="6.5703125" style="3" customWidth="1"/>
    <col min="5051" max="5051" width="13.5703125" style="3" customWidth="1"/>
    <col min="5052" max="5052" width="13.42578125" style="3" customWidth="1"/>
    <col min="5053" max="5054" width="12.5703125" style="3" customWidth="1"/>
    <col min="5055" max="5055" width="14.85546875" style="3" customWidth="1"/>
    <col min="5056" max="5056" width="20.7109375" style="3" customWidth="1"/>
    <col min="5057" max="5057" width="12.5703125" style="3" customWidth="1"/>
    <col min="5058" max="5058" width="13" style="3" customWidth="1"/>
    <col min="5059" max="5059" width="16" style="3" customWidth="1"/>
    <col min="5060" max="5060" width="6.42578125" style="3" customWidth="1"/>
    <col min="5061" max="5061" width="16" style="3" customWidth="1"/>
    <col min="5062" max="5062" width="2.85546875" style="3" customWidth="1"/>
    <col min="5063" max="5063" width="0.85546875" style="3" customWidth="1"/>
    <col min="5064" max="5064" width="11" style="3"/>
    <col min="5065" max="5065" width="15.42578125" style="3" customWidth="1"/>
    <col min="5066" max="5068" width="14.85546875" style="3" customWidth="1"/>
    <col min="5069" max="5069" width="0.7109375" style="3" customWidth="1"/>
    <col min="5070" max="5070" width="11" style="3"/>
    <col min="5071" max="5071" width="15.7109375" style="3" customWidth="1"/>
    <col min="5072" max="5073" width="14.85546875" style="3" customWidth="1"/>
    <col min="5074" max="5074" width="3.28515625" style="3" customWidth="1"/>
    <col min="5075" max="5075" width="20.140625" style="3" customWidth="1"/>
    <col min="5076" max="5076" width="3.28515625" style="3" customWidth="1"/>
    <col min="5077" max="5081" width="11" style="3"/>
    <col min="5082" max="5094" width="4.7109375" style="3" customWidth="1"/>
    <col min="5095" max="5304" width="11" style="3"/>
    <col min="5305" max="5305" width="0.7109375" style="3" customWidth="1"/>
    <col min="5306" max="5306" width="6.5703125" style="3" customWidth="1"/>
    <col min="5307" max="5307" width="13.5703125" style="3" customWidth="1"/>
    <col min="5308" max="5308" width="13.42578125" style="3" customWidth="1"/>
    <col min="5309" max="5310" width="12.5703125" style="3" customWidth="1"/>
    <col min="5311" max="5311" width="14.85546875" style="3" customWidth="1"/>
    <col min="5312" max="5312" width="20.7109375" style="3" customWidth="1"/>
    <col min="5313" max="5313" width="12.5703125" style="3" customWidth="1"/>
    <col min="5314" max="5314" width="13" style="3" customWidth="1"/>
    <col min="5315" max="5315" width="16" style="3" customWidth="1"/>
    <col min="5316" max="5316" width="6.42578125" style="3" customWidth="1"/>
    <col min="5317" max="5317" width="16" style="3" customWidth="1"/>
    <col min="5318" max="5318" width="2.85546875" style="3" customWidth="1"/>
    <col min="5319" max="5319" width="0.85546875" style="3" customWidth="1"/>
    <col min="5320" max="5320" width="11" style="3"/>
    <col min="5321" max="5321" width="15.42578125" style="3" customWidth="1"/>
    <col min="5322" max="5324" width="14.85546875" style="3" customWidth="1"/>
    <col min="5325" max="5325" width="0.7109375" style="3" customWidth="1"/>
    <col min="5326" max="5326" width="11" style="3"/>
    <col min="5327" max="5327" width="15.7109375" style="3" customWidth="1"/>
    <col min="5328" max="5329" width="14.85546875" style="3" customWidth="1"/>
    <col min="5330" max="5330" width="3.28515625" style="3" customWidth="1"/>
    <col min="5331" max="5331" width="20.140625" style="3" customWidth="1"/>
    <col min="5332" max="5332" width="3.28515625" style="3" customWidth="1"/>
    <col min="5333" max="5337" width="11" style="3"/>
    <col min="5338" max="5350" width="4.7109375" style="3" customWidth="1"/>
    <col min="5351" max="5560" width="11" style="3"/>
    <col min="5561" max="5561" width="0.7109375" style="3" customWidth="1"/>
    <col min="5562" max="5562" width="6.5703125" style="3" customWidth="1"/>
    <col min="5563" max="5563" width="13.5703125" style="3" customWidth="1"/>
    <col min="5564" max="5564" width="13.42578125" style="3" customWidth="1"/>
    <col min="5565" max="5566" width="12.5703125" style="3" customWidth="1"/>
    <col min="5567" max="5567" width="14.85546875" style="3" customWidth="1"/>
    <col min="5568" max="5568" width="20.7109375" style="3" customWidth="1"/>
    <col min="5569" max="5569" width="12.5703125" style="3" customWidth="1"/>
    <col min="5570" max="5570" width="13" style="3" customWidth="1"/>
    <col min="5571" max="5571" width="16" style="3" customWidth="1"/>
    <col min="5572" max="5572" width="6.42578125" style="3" customWidth="1"/>
    <col min="5573" max="5573" width="16" style="3" customWidth="1"/>
    <col min="5574" max="5574" width="2.85546875" style="3" customWidth="1"/>
    <col min="5575" max="5575" width="0.85546875" style="3" customWidth="1"/>
    <col min="5576" max="5576" width="11" style="3"/>
    <col min="5577" max="5577" width="15.42578125" style="3" customWidth="1"/>
    <col min="5578" max="5580" width="14.85546875" style="3" customWidth="1"/>
    <col min="5581" max="5581" width="0.7109375" style="3" customWidth="1"/>
    <col min="5582" max="5582" width="11" style="3"/>
    <col min="5583" max="5583" width="15.7109375" style="3" customWidth="1"/>
    <col min="5584" max="5585" width="14.85546875" style="3" customWidth="1"/>
    <col min="5586" max="5586" width="3.28515625" style="3" customWidth="1"/>
    <col min="5587" max="5587" width="20.140625" style="3" customWidth="1"/>
    <col min="5588" max="5588" width="3.28515625" style="3" customWidth="1"/>
    <col min="5589" max="5593" width="11" style="3"/>
    <col min="5594" max="5606" width="4.7109375" style="3" customWidth="1"/>
    <col min="5607" max="5816" width="11" style="3"/>
    <col min="5817" max="5817" width="0.7109375" style="3" customWidth="1"/>
    <col min="5818" max="5818" width="6.5703125" style="3" customWidth="1"/>
    <col min="5819" max="5819" width="13.5703125" style="3" customWidth="1"/>
    <col min="5820" max="5820" width="13.42578125" style="3" customWidth="1"/>
    <col min="5821" max="5822" width="12.5703125" style="3" customWidth="1"/>
    <col min="5823" max="5823" width="14.85546875" style="3" customWidth="1"/>
    <col min="5824" max="5824" width="20.7109375" style="3" customWidth="1"/>
    <col min="5825" max="5825" width="12.5703125" style="3" customWidth="1"/>
    <col min="5826" max="5826" width="13" style="3" customWidth="1"/>
    <col min="5827" max="5827" width="16" style="3" customWidth="1"/>
    <col min="5828" max="5828" width="6.42578125" style="3" customWidth="1"/>
    <col min="5829" max="5829" width="16" style="3" customWidth="1"/>
    <col min="5830" max="5830" width="2.85546875" style="3" customWidth="1"/>
    <col min="5831" max="5831" width="0.85546875" style="3" customWidth="1"/>
    <col min="5832" max="5832" width="11" style="3"/>
    <col min="5833" max="5833" width="15.42578125" style="3" customWidth="1"/>
    <col min="5834" max="5836" width="14.85546875" style="3" customWidth="1"/>
    <col min="5837" max="5837" width="0.7109375" style="3" customWidth="1"/>
    <col min="5838" max="5838" width="11" style="3"/>
    <col min="5839" max="5839" width="15.7109375" style="3" customWidth="1"/>
    <col min="5840" max="5841" width="14.85546875" style="3" customWidth="1"/>
    <col min="5842" max="5842" width="3.28515625" style="3" customWidth="1"/>
    <col min="5843" max="5843" width="20.140625" style="3" customWidth="1"/>
    <col min="5844" max="5844" width="3.28515625" style="3" customWidth="1"/>
    <col min="5845" max="5849" width="11" style="3"/>
    <col min="5850" max="5862" width="4.7109375" style="3" customWidth="1"/>
    <col min="5863" max="6072" width="11" style="3"/>
    <col min="6073" max="6073" width="0.7109375" style="3" customWidth="1"/>
    <col min="6074" max="6074" width="6.5703125" style="3" customWidth="1"/>
    <col min="6075" max="6075" width="13.5703125" style="3" customWidth="1"/>
    <col min="6076" max="6076" width="13.42578125" style="3" customWidth="1"/>
    <col min="6077" max="6078" width="12.5703125" style="3" customWidth="1"/>
    <col min="6079" max="6079" width="14.85546875" style="3" customWidth="1"/>
    <col min="6080" max="6080" width="20.7109375" style="3" customWidth="1"/>
    <col min="6081" max="6081" width="12.5703125" style="3" customWidth="1"/>
    <col min="6082" max="6082" width="13" style="3" customWidth="1"/>
    <col min="6083" max="6083" width="16" style="3" customWidth="1"/>
    <col min="6084" max="6084" width="6.42578125" style="3" customWidth="1"/>
    <col min="6085" max="6085" width="16" style="3" customWidth="1"/>
    <col min="6086" max="6086" width="2.85546875" style="3" customWidth="1"/>
    <col min="6087" max="6087" width="0.85546875" style="3" customWidth="1"/>
    <col min="6088" max="6088" width="11" style="3"/>
    <col min="6089" max="6089" width="15.42578125" style="3" customWidth="1"/>
    <col min="6090" max="6092" width="14.85546875" style="3" customWidth="1"/>
    <col min="6093" max="6093" width="0.7109375" style="3" customWidth="1"/>
    <col min="6094" max="6094" width="11" style="3"/>
    <col min="6095" max="6095" width="15.7109375" style="3" customWidth="1"/>
    <col min="6096" max="6097" width="14.85546875" style="3" customWidth="1"/>
    <col min="6098" max="6098" width="3.28515625" style="3" customWidth="1"/>
    <col min="6099" max="6099" width="20.140625" style="3" customWidth="1"/>
    <col min="6100" max="6100" width="3.28515625" style="3" customWidth="1"/>
    <col min="6101" max="6105" width="11" style="3"/>
    <col min="6106" max="6118" width="4.7109375" style="3" customWidth="1"/>
    <col min="6119" max="6328" width="11" style="3"/>
    <col min="6329" max="6329" width="0.7109375" style="3" customWidth="1"/>
    <col min="6330" max="6330" width="6.5703125" style="3" customWidth="1"/>
    <col min="6331" max="6331" width="13.5703125" style="3" customWidth="1"/>
    <col min="6332" max="6332" width="13.42578125" style="3" customWidth="1"/>
    <col min="6333" max="6334" width="12.5703125" style="3" customWidth="1"/>
    <col min="6335" max="6335" width="14.85546875" style="3" customWidth="1"/>
    <col min="6336" max="6336" width="20.7109375" style="3" customWidth="1"/>
    <col min="6337" max="6337" width="12.5703125" style="3" customWidth="1"/>
    <col min="6338" max="6338" width="13" style="3" customWidth="1"/>
    <col min="6339" max="6339" width="16" style="3" customWidth="1"/>
    <col min="6340" max="6340" width="6.42578125" style="3" customWidth="1"/>
    <col min="6341" max="6341" width="16" style="3" customWidth="1"/>
    <col min="6342" max="6342" width="2.85546875" style="3" customWidth="1"/>
    <col min="6343" max="6343" width="0.85546875" style="3" customWidth="1"/>
    <col min="6344" max="6344" width="11" style="3"/>
    <col min="6345" max="6345" width="15.42578125" style="3" customWidth="1"/>
    <col min="6346" max="6348" width="14.85546875" style="3" customWidth="1"/>
    <col min="6349" max="6349" width="0.7109375" style="3" customWidth="1"/>
    <col min="6350" max="6350" width="11" style="3"/>
    <col min="6351" max="6351" width="15.7109375" style="3" customWidth="1"/>
    <col min="6352" max="6353" width="14.85546875" style="3" customWidth="1"/>
    <col min="6354" max="6354" width="3.28515625" style="3" customWidth="1"/>
    <col min="6355" max="6355" width="20.140625" style="3" customWidth="1"/>
    <col min="6356" max="6356" width="3.28515625" style="3" customWidth="1"/>
    <col min="6357" max="6361" width="11" style="3"/>
    <col min="6362" max="6374" width="4.7109375" style="3" customWidth="1"/>
    <col min="6375" max="6584" width="11" style="3"/>
    <col min="6585" max="6585" width="0.7109375" style="3" customWidth="1"/>
    <col min="6586" max="6586" width="6.5703125" style="3" customWidth="1"/>
    <col min="6587" max="6587" width="13.5703125" style="3" customWidth="1"/>
    <col min="6588" max="6588" width="13.42578125" style="3" customWidth="1"/>
    <col min="6589" max="6590" width="12.5703125" style="3" customWidth="1"/>
    <col min="6591" max="6591" width="14.85546875" style="3" customWidth="1"/>
    <col min="6592" max="6592" width="20.7109375" style="3" customWidth="1"/>
    <col min="6593" max="6593" width="12.5703125" style="3" customWidth="1"/>
    <col min="6594" max="6594" width="13" style="3" customWidth="1"/>
    <col min="6595" max="6595" width="16" style="3" customWidth="1"/>
    <col min="6596" max="6596" width="6.42578125" style="3" customWidth="1"/>
    <col min="6597" max="6597" width="16" style="3" customWidth="1"/>
    <col min="6598" max="6598" width="2.85546875" style="3" customWidth="1"/>
    <col min="6599" max="6599" width="0.85546875" style="3" customWidth="1"/>
    <col min="6600" max="6600" width="11" style="3"/>
    <col min="6601" max="6601" width="15.42578125" style="3" customWidth="1"/>
    <col min="6602" max="6604" width="14.85546875" style="3" customWidth="1"/>
    <col min="6605" max="6605" width="0.7109375" style="3" customWidth="1"/>
    <col min="6606" max="6606" width="11" style="3"/>
    <col min="6607" max="6607" width="15.7109375" style="3" customWidth="1"/>
    <col min="6608" max="6609" width="14.85546875" style="3" customWidth="1"/>
    <col min="6610" max="6610" width="3.28515625" style="3" customWidth="1"/>
    <col min="6611" max="6611" width="20.140625" style="3" customWidth="1"/>
    <col min="6612" max="6612" width="3.28515625" style="3" customWidth="1"/>
    <col min="6613" max="6617" width="11" style="3"/>
    <col min="6618" max="6630" width="4.7109375" style="3" customWidth="1"/>
    <col min="6631" max="6840" width="11" style="3"/>
    <col min="6841" max="6841" width="0.7109375" style="3" customWidth="1"/>
    <col min="6842" max="6842" width="6.5703125" style="3" customWidth="1"/>
    <col min="6843" max="6843" width="13.5703125" style="3" customWidth="1"/>
    <col min="6844" max="6844" width="13.42578125" style="3" customWidth="1"/>
    <col min="6845" max="6846" width="12.5703125" style="3" customWidth="1"/>
    <col min="6847" max="6847" width="14.85546875" style="3" customWidth="1"/>
    <col min="6848" max="6848" width="20.7109375" style="3" customWidth="1"/>
    <col min="6849" max="6849" width="12.5703125" style="3" customWidth="1"/>
    <col min="6850" max="6850" width="13" style="3" customWidth="1"/>
    <col min="6851" max="6851" width="16" style="3" customWidth="1"/>
    <col min="6852" max="6852" width="6.42578125" style="3" customWidth="1"/>
    <col min="6853" max="6853" width="16" style="3" customWidth="1"/>
    <col min="6854" max="6854" width="2.85546875" style="3" customWidth="1"/>
    <col min="6855" max="6855" width="0.85546875" style="3" customWidth="1"/>
    <col min="6856" max="6856" width="11" style="3"/>
    <col min="6857" max="6857" width="15.42578125" style="3" customWidth="1"/>
    <col min="6858" max="6860" width="14.85546875" style="3" customWidth="1"/>
    <col min="6861" max="6861" width="0.7109375" style="3" customWidth="1"/>
    <col min="6862" max="6862" width="11" style="3"/>
    <col min="6863" max="6863" width="15.7109375" style="3" customWidth="1"/>
    <col min="6864" max="6865" width="14.85546875" style="3" customWidth="1"/>
    <col min="6866" max="6866" width="3.28515625" style="3" customWidth="1"/>
    <col min="6867" max="6867" width="20.140625" style="3" customWidth="1"/>
    <col min="6868" max="6868" width="3.28515625" style="3" customWidth="1"/>
    <col min="6869" max="6873" width="11" style="3"/>
    <col min="6874" max="6886" width="4.7109375" style="3" customWidth="1"/>
    <col min="6887" max="7096" width="11" style="3"/>
    <col min="7097" max="7097" width="0.7109375" style="3" customWidth="1"/>
    <col min="7098" max="7098" width="6.5703125" style="3" customWidth="1"/>
    <col min="7099" max="7099" width="13.5703125" style="3" customWidth="1"/>
    <col min="7100" max="7100" width="13.42578125" style="3" customWidth="1"/>
    <col min="7101" max="7102" width="12.5703125" style="3" customWidth="1"/>
    <col min="7103" max="7103" width="14.85546875" style="3" customWidth="1"/>
    <col min="7104" max="7104" width="20.7109375" style="3" customWidth="1"/>
    <col min="7105" max="7105" width="12.5703125" style="3" customWidth="1"/>
    <col min="7106" max="7106" width="13" style="3" customWidth="1"/>
    <col min="7107" max="7107" width="16" style="3" customWidth="1"/>
    <col min="7108" max="7108" width="6.42578125" style="3" customWidth="1"/>
    <col min="7109" max="7109" width="16" style="3" customWidth="1"/>
    <col min="7110" max="7110" width="2.85546875" style="3" customWidth="1"/>
    <col min="7111" max="7111" width="0.85546875" style="3" customWidth="1"/>
    <col min="7112" max="7112" width="11" style="3"/>
    <col min="7113" max="7113" width="15.42578125" style="3" customWidth="1"/>
    <col min="7114" max="7116" width="14.85546875" style="3" customWidth="1"/>
    <col min="7117" max="7117" width="0.7109375" style="3" customWidth="1"/>
    <col min="7118" max="7118" width="11" style="3"/>
    <col min="7119" max="7119" width="15.7109375" style="3" customWidth="1"/>
    <col min="7120" max="7121" width="14.85546875" style="3" customWidth="1"/>
    <col min="7122" max="7122" width="3.28515625" style="3" customWidth="1"/>
    <col min="7123" max="7123" width="20.140625" style="3" customWidth="1"/>
    <col min="7124" max="7124" width="3.28515625" style="3" customWidth="1"/>
    <col min="7125" max="7129" width="11" style="3"/>
    <col min="7130" max="7142" width="4.7109375" style="3" customWidth="1"/>
    <col min="7143" max="7352" width="11" style="3"/>
    <col min="7353" max="7353" width="0.7109375" style="3" customWidth="1"/>
    <col min="7354" max="7354" width="6.5703125" style="3" customWidth="1"/>
    <col min="7355" max="7355" width="13.5703125" style="3" customWidth="1"/>
    <col min="7356" max="7356" width="13.42578125" style="3" customWidth="1"/>
    <col min="7357" max="7358" width="12.5703125" style="3" customWidth="1"/>
    <col min="7359" max="7359" width="14.85546875" style="3" customWidth="1"/>
    <col min="7360" max="7360" width="20.7109375" style="3" customWidth="1"/>
    <col min="7361" max="7361" width="12.5703125" style="3" customWidth="1"/>
    <col min="7362" max="7362" width="13" style="3" customWidth="1"/>
    <col min="7363" max="7363" width="16" style="3" customWidth="1"/>
    <col min="7364" max="7364" width="6.42578125" style="3" customWidth="1"/>
    <col min="7365" max="7365" width="16" style="3" customWidth="1"/>
    <col min="7366" max="7366" width="2.85546875" style="3" customWidth="1"/>
    <col min="7367" max="7367" width="0.85546875" style="3" customWidth="1"/>
    <col min="7368" max="7368" width="11" style="3"/>
    <col min="7369" max="7369" width="15.42578125" style="3" customWidth="1"/>
    <col min="7370" max="7372" width="14.85546875" style="3" customWidth="1"/>
    <col min="7373" max="7373" width="0.7109375" style="3" customWidth="1"/>
    <col min="7374" max="7374" width="11" style="3"/>
    <col min="7375" max="7375" width="15.7109375" style="3" customWidth="1"/>
    <col min="7376" max="7377" width="14.85546875" style="3" customWidth="1"/>
    <col min="7378" max="7378" width="3.28515625" style="3" customWidth="1"/>
    <col min="7379" max="7379" width="20.140625" style="3" customWidth="1"/>
    <col min="7380" max="7380" width="3.28515625" style="3" customWidth="1"/>
    <col min="7381" max="7385" width="11" style="3"/>
    <col min="7386" max="7398" width="4.7109375" style="3" customWidth="1"/>
    <col min="7399" max="7608" width="11" style="3"/>
    <col min="7609" max="7609" width="0.7109375" style="3" customWidth="1"/>
    <col min="7610" max="7610" width="6.5703125" style="3" customWidth="1"/>
    <col min="7611" max="7611" width="13.5703125" style="3" customWidth="1"/>
    <col min="7612" max="7612" width="13.42578125" style="3" customWidth="1"/>
    <col min="7613" max="7614" width="12.5703125" style="3" customWidth="1"/>
    <col min="7615" max="7615" width="14.85546875" style="3" customWidth="1"/>
    <col min="7616" max="7616" width="20.7109375" style="3" customWidth="1"/>
    <col min="7617" max="7617" width="12.5703125" style="3" customWidth="1"/>
    <col min="7618" max="7618" width="13" style="3" customWidth="1"/>
    <col min="7619" max="7619" width="16" style="3" customWidth="1"/>
    <col min="7620" max="7620" width="6.42578125" style="3" customWidth="1"/>
    <col min="7621" max="7621" width="16" style="3" customWidth="1"/>
    <col min="7622" max="7622" width="2.85546875" style="3" customWidth="1"/>
    <col min="7623" max="7623" width="0.85546875" style="3" customWidth="1"/>
    <col min="7624" max="7624" width="11" style="3"/>
    <col min="7625" max="7625" width="15.42578125" style="3" customWidth="1"/>
    <col min="7626" max="7628" width="14.85546875" style="3" customWidth="1"/>
    <col min="7629" max="7629" width="0.7109375" style="3" customWidth="1"/>
    <col min="7630" max="7630" width="11" style="3"/>
    <col min="7631" max="7631" width="15.7109375" style="3" customWidth="1"/>
    <col min="7632" max="7633" width="14.85546875" style="3" customWidth="1"/>
    <col min="7634" max="7634" width="3.28515625" style="3" customWidth="1"/>
    <col min="7635" max="7635" width="20.140625" style="3" customWidth="1"/>
    <col min="7636" max="7636" width="3.28515625" style="3" customWidth="1"/>
    <col min="7637" max="7641" width="11" style="3"/>
    <col min="7642" max="7654" width="4.7109375" style="3" customWidth="1"/>
    <col min="7655" max="7864" width="11" style="3"/>
    <col min="7865" max="7865" width="0.7109375" style="3" customWidth="1"/>
    <col min="7866" max="7866" width="6.5703125" style="3" customWidth="1"/>
    <col min="7867" max="7867" width="13.5703125" style="3" customWidth="1"/>
    <col min="7868" max="7868" width="13.42578125" style="3" customWidth="1"/>
    <col min="7869" max="7870" width="12.5703125" style="3" customWidth="1"/>
    <col min="7871" max="7871" width="14.85546875" style="3" customWidth="1"/>
    <col min="7872" max="7872" width="20.7109375" style="3" customWidth="1"/>
    <col min="7873" max="7873" width="12.5703125" style="3" customWidth="1"/>
    <col min="7874" max="7874" width="13" style="3" customWidth="1"/>
    <col min="7875" max="7875" width="16" style="3" customWidth="1"/>
    <col min="7876" max="7876" width="6.42578125" style="3" customWidth="1"/>
    <col min="7877" max="7877" width="16" style="3" customWidth="1"/>
    <col min="7878" max="7878" width="2.85546875" style="3" customWidth="1"/>
    <col min="7879" max="7879" width="0.85546875" style="3" customWidth="1"/>
    <col min="7880" max="7880" width="11" style="3"/>
    <col min="7881" max="7881" width="15.42578125" style="3" customWidth="1"/>
    <col min="7882" max="7884" width="14.85546875" style="3" customWidth="1"/>
    <col min="7885" max="7885" width="0.7109375" style="3" customWidth="1"/>
    <col min="7886" max="7886" width="11" style="3"/>
    <col min="7887" max="7887" width="15.7109375" style="3" customWidth="1"/>
    <col min="7888" max="7889" width="14.85546875" style="3" customWidth="1"/>
    <col min="7890" max="7890" width="3.28515625" style="3" customWidth="1"/>
    <col min="7891" max="7891" width="20.140625" style="3" customWidth="1"/>
    <col min="7892" max="7892" width="3.28515625" style="3" customWidth="1"/>
    <col min="7893" max="7897" width="11" style="3"/>
    <col min="7898" max="7910" width="4.7109375" style="3" customWidth="1"/>
    <col min="7911" max="8120" width="11" style="3"/>
    <col min="8121" max="8121" width="0.7109375" style="3" customWidth="1"/>
    <col min="8122" max="8122" width="6.5703125" style="3" customWidth="1"/>
    <col min="8123" max="8123" width="13.5703125" style="3" customWidth="1"/>
    <col min="8124" max="8124" width="13.42578125" style="3" customWidth="1"/>
    <col min="8125" max="8126" width="12.5703125" style="3" customWidth="1"/>
    <col min="8127" max="8127" width="14.85546875" style="3" customWidth="1"/>
    <col min="8128" max="8128" width="20.7109375" style="3" customWidth="1"/>
    <col min="8129" max="8129" width="12.5703125" style="3" customWidth="1"/>
    <col min="8130" max="8130" width="13" style="3" customWidth="1"/>
    <col min="8131" max="8131" width="16" style="3" customWidth="1"/>
    <col min="8132" max="8132" width="6.42578125" style="3" customWidth="1"/>
    <col min="8133" max="8133" width="16" style="3" customWidth="1"/>
    <col min="8134" max="8134" width="2.85546875" style="3" customWidth="1"/>
    <col min="8135" max="8135" width="0.85546875" style="3" customWidth="1"/>
    <col min="8136" max="8136" width="11" style="3"/>
    <col min="8137" max="8137" width="15.42578125" style="3" customWidth="1"/>
    <col min="8138" max="8140" width="14.85546875" style="3" customWidth="1"/>
    <col min="8141" max="8141" width="0.7109375" style="3" customWidth="1"/>
    <col min="8142" max="8142" width="11" style="3"/>
    <col min="8143" max="8143" width="15.7109375" style="3" customWidth="1"/>
    <col min="8144" max="8145" width="14.85546875" style="3" customWidth="1"/>
    <col min="8146" max="8146" width="3.28515625" style="3" customWidth="1"/>
    <col min="8147" max="8147" width="20.140625" style="3" customWidth="1"/>
    <col min="8148" max="8148" width="3.28515625" style="3" customWidth="1"/>
    <col min="8149" max="8153" width="11" style="3"/>
    <col min="8154" max="8166" width="4.7109375" style="3" customWidth="1"/>
    <col min="8167" max="8376" width="11" style="3"/>
    <col min="8377" max="8377" width="0.7109375" style="3" customWidth="1"/>
    <col min="8378" max="8378" width="6.5703125" style="3" customWidth="1"/>
    <col min="8379" max="8379" width="13.5703125" style="3" customWidth="1"/>
    <col min="8380" max="8380" width="13.42578125" style="3" customWidth="1"/>
    <col min="8381" max="8382" width="12.5703125" style="3" customWidth="1"/>
    <col min="8383" max="8383" width="14.85546875" style="3" customWidth="1"/>
    <col min="8384" max="8384" width="20.7109375" style="3" customWidth="1"/>
    <col min="8385" max="8385" width="12.5703125" style="3" customWidth="1"/>
    <col min="8386" max="8386" width="13" style="3" customWidth="1"/>
    <col min="8387" max="8387" width="16" style="3" customWidth="1"/>
    <col min="8388" max="8388" width="6.42578125" style="3" customWidth="1"/>
    <col min="8389" max="8389" width="16" style="3" customWidth="1"/>
    <col min="8390" max="8390" width="2.85546875" style="3" customWidth="1"/>
    <col min="8391" max="8391" width="0.85546875" style="3" customWidth="1"/>
    <col min="8392" max="8392" width="11" style="3"/>
    <col min="8393" max="8393" width="15.42578125" style="3" customWidth="1"/>
    <col min="8394" max="8396" width="14.85546875" style="3" customWidth="1"/>
    <col min="8397" max="8397" width="0.7109375" style="3" customWidth="1"/>
    <col min="8398" max="8398" width="11" style="3"/>
    <col min="8399" max="8399" width="15.7109375" style="3" customWidth="1"/>
    <col min="8400" max="8401" width="14.85546875" style="3" customWidth="1"/>
    <col min="8402" max="8402" width="3.28515625" style="3" customWidth="1"/>
    <col min="8403" max="8403" width="20.140625" style="3" customWidth="1"/>
    <col min="8404" max="8404" width="3.28515625" style="3" customWidth="1"/>
    <col min="8405" max="8409" width="11" style="3"/>
    <col min="8410" max="8422" width="4.7109375" style="3" customWidth="1"/>
    <col min="8423" max="8632" width="11" style="3"/>
    <col min="8633" max="8633" width="0.7109375" style="3" customWidth="1"/>
    <col min="8634" max="8634" width="6.5703125" style="3" customWidth="1"/>
    <col min="8635" max="8635" width="13.5703125" style="3" customWidth="1"/>
    <col min="8636" max="8636" width="13.42578125" style="3" customWidth="1"/>
    <col min="8637" max="8638" width="12.5703125" style="3" customWidth="1"/>
    <col min="8639" max="8639" width="14.85546875" style="3" customWidth="1"/>
    <col min="8640" max="8640" width="20.7109375" style="3" customWidth="1"/>
    <col min="8641" max="8641" width="12.5703125" style="3" customWidth="1"/>
    <col min="8642" max="8642" width="13" style="3" customWidth="1"/>
    <col min="8643" max="8643" width="16" style="3" customWidth="1"/>
    <col min="8644" max="8644" width="6.42578125" style="3" customWidth="1"/>
    <col min="8645" max="8645" width="16" style="3" customWidth="1"/>
    <col min="8646" max="8646" width="2.85546875" style="3" customWidth="1"/>
    <col min="8647" max="8647" width="0.85546875" style="3" customWidth="1"/>
    <col min="8648" max="8648" width="11" style="3"/>
    <col min="8649" max="8649" width="15.42578125" style="3" customWidth="1"/>
    <col min="8650" max="8652" width="14.85546875" style="3" customWidth="1"/>
    <col min="8653" max="8653" width="0.7109375" style="3" customWidth="1"/>
    <col min="8654" max="8654" width="11" style="3"/>
    <col min="8655" max="8655" width="15.7109375" style="3" customWidth="1"/>
    <col min="8656" max="8657" width="14.85546875" style="3" customWidth="1"/>
    <col min="8658" max="8658" width="3.28515625" style="3" customWidth="1"/>
    <col min="8659" max="8659" width="20.140625" style="3" customWidth="1"/>
    <col min="8660" max="8660" width="3.28515625" style="3" customWidth="1"/>
    <col min="8661" max="8665" width="11" style="3"/>
    <col min="8666" max="8678" width="4.7109375" style="3" customWidth="1"/>
    <col min="8679" max="8888" width="11" style="3"/>
    <col min="8889" max="8889" width="0.7109375" style="3" customWidth="1"/>
    <col min="8890" max="8890" width="6.5703125" style="3" customWidth="1"/>
    <col min="8891" max="8891" width="13.5703125" style="3" customWidth="1"/>
    <col min="8892" max="8892" width="13.42578125" style="3" customWidth="1"/>
    <col min="8893" max="8894" width="12.5703125" style="3" customWidth="1"/>
    <col min="8895" max="8895" width="14.85546875" style="3" customWidth="1"/>
    <col min="8896" max="8896" width="20.7109375" style="3" customWidth="1"/>
    <col min="8897" max="8897" width="12.5703125" style="3" customWidth="1"/>
    <col min="8898" max="8898" width="13" style="3" customWidth="1"/>
    <col min="8899" max="8899" width="16" style="3" customWidth="1"/>
    <col min="8900" max="8900" width="6.42578125" style="3" customWidth="1"/>
    <col min="8901" max="8901" width="16" style="3" customWidth="1"/>
    <col min="8902" max="8902" width="2.85546875" style="3" customWidth="1"/>
    <col min="8903" max="8903" width="0.85546875" style="3" customWidth="1"/>
    <col min="8904" max="8904" width="11" style="3"/>
    <col min="8905" max="8905" width="15.42578125" style="3" customWidth="1"/>
    <col min="8906" max="8908" width="14.85546875" style="3" customWidth="1"/>
    <col min="8909" max="8909" width="0.7109375" style="3" customWidth="1"/>
    <col min="8910" max="8910" width="11" style="3"/>
    <col min="8911" max="8911" width="15.7109375" style="3" customWidth="1"/>
    <col min="8912" max="8913" width="14.85546875" style="3" customWidth="1"/>
    <col min="8914" max="8914" width="3.28515625" style="3" customWidth="1"/>
    <col min="8915" max="8915" width="20.140625" style="3" customWidth="1"/>
    <col min="8916" max="8916" width="3.28515625" style="3" customWidth="1"/>
    <col min="8917" max="8921" width="11" style="3"/>
    <col min="8922" max="8934" width="4.7109375" style="3" customWidth="1"/>
    <col min="8935" max="9144" width="11" style="3"/>
    <col min="9145" max="9145" width="0.7109375" style="3" customWidth="1"/>
    <col min="9146" max="9146" width="6.5703125" style="3" customWidth="1"/>
    <col min="9147" max="9147" width="13.5703125" style="3" customWidth="1"/>
    <col min="9148" max="9148" width="13.42578125" style="3" customWidth="1"/>
    <col min="9149" max="9150" width="12.5703125" style="3" customWidth="1"/>
    <col min="9151" max="9151" width="14.85546875" style="3" customWidth="1"/>
    <col min="9152" max="9152" width="20.7109375" style="3" customWidth="1"/>
    <col min="9153" max="9153" width="12.5703125" style="3" customWidth="1"/>
    <col min="9154" max="9154" width="13" style="3" customWidth="1"/>
    <col min="9155" max="9155" width="16" style="3" customWidth="1"/>
    <col min="9156" max="9156" width="6.42578125" style="3" customWidth="1"/>
    <col min="9157" max="9157" width="16" style="3" customWidth="1"/>
    <col min="9158" max="9158" width="2.85546875" style="3" customWidth="1"/>
    <col min="9159" max="9159" width="0.85546875" style="3" customWidth="1"/>
    <col min="9160" max="9160" width="11" style="3"/>
    <col min="9161" max="9161" width="15.42578125" style="3" customWidth="1"/>
    <col min="9162" max="9164" width="14.85546875" style="3" customWidth="1"/>
    <col min="9165" max="9165" width="0.7109375" style="3" customWidth="1"/>
    <col min="9166" max="9166" width="11" style="3"/>
    <col min="9167" max="9167" width="15.7109375" style="3" customWidth="1"/>
    <col min="9168" max="9169" width="14.85546875" style="3" customWidth="1"/>
    <col min="9170" max="9170" width="3.28515625" style="3" customWidth="1"/>
    <col min="9171" max="9171" width="20.140625" style="3" customWidth="1"/>
    <col min="9172" max="9172" width="3.28515625" style="3" customWidth="1"/>
    <col min="9173" max="9177" width="11" style="3"/>
    <col min="9178" max="9190" width="4.7109375" style="3" customWidth="1"/>
    <col min="9191" max="9400" width="11" style="3"/>
    <col min="9401" max="9401" width="0.7109375" style="3" customWidth="1"/>
    <col min="9402" max="9402" width="6.5703125" style="3" customWidth="1"/>
    <col min="9403" max="9403" width="13.5703125" style="3" customWidth="1"/>
    <col min="9404" max="9404" width="13.42578125" style="3" customWidth="1"/>
    <col min="9405" max="9406" width="12.5703125" style="3" customWidth="1"/>
    <col min="9407" max="9407" width="14.85546875" style="3" customWidth="1"/>
    <col min="9408" max="9408" width="20.7109375" style="3" customWidth="1"/>
    <col min="9409" max="9409" width="12.5703125" style="3" customWidth="1"/>
    <col min="9410" max="9410" width="13" style="3" customWidth="1"/>
    <col min="9411" max="9411" width="16" style="3" customWidth="1"/>
    <col min="9412" max="9412" width="6.42578125" style="3" customWidth="1"/>
    <col min="9413" max="9413" width="16" style="3" customWidth="1"/>
    <col min="9414" max="9414" width="2.85546875" style="3" customWidth="1"/>
    <col min="9415" max="9415" width="0.85546875" style="3" customWidth="1"/>
    <col min="9416" max="9416" width="11" style="3"/>
    <col min="9417" max="9417" width="15.42578125" style="3" customWidth="1"/>
    <col min="9418" max="9420" width="14.85546875" style="3" customWidth="1"/>
    <col min="9421" max="9421" width="0.7109375" style="3" customWidth="1"/>
    <col min="9422" max="9422" width="11" style="3"/>
    <col min="9423" max="9423" width="15.7109375" style="3" customWidth="1"/>
    <col min="9424" max="9425" width="14.85546875" style="3" customWidth="1"/>
    <col min="9426" max="9426" width="3.28515625" style="3" customWidth="1"/>
    <col min="9427" max="9427" width="20.140625" style="3" customWidth="1"/>
    <col min="9428" max="9428" width="3.28515625" style="3" customWidth="1"/>
    <col min="9429" max="9433" width="11" style="3"/>
    <col min="9434" max="9446" width="4.7109375" style="3" customWidth="1"/>
    <col min="9447" max="9656" width="11" style="3"/>
    <col min="9657" max="9657" width="0.7109375" style="3" customWidth="1"/>
    <col min="9658" max="9658" width="6.5703125" style="3" customWidth="1"/>
    <col min="9659" max="9659" width="13.5703125" style="3" customWidth="1"/>
    <col min="9660" max="9660" width="13.42578125" style="3" customWidth="1"/>
    <col min="9661" max="9662" width="12.5703125" style="3" customWidth="1"/>
    <col min="9663" max="9663" width="14.85546875" style="3" customWidth="1"/>
    <col min="9664" max="9664" width="20.7109375" style="3" customWidth="1"/>
    <col min="9665" max="9665" width="12.5703125" style="3" customWidth="1"/>
    <col min="9666" max="9666" width="13" style="3" customWidth="1"/>
    <col min="9667" max="9667" width="16" style="3" customWidth="1"/>
    <col min="9668" max="9668" width="6.42578125" style="3" customWidth="1"/>
    <col min="9669" max="9669" width="16" style="3" customWidth="1"/>
    <col min="9670" max="9670" width="2.85546875" style="3" customWidth="1"/>
    <col min="9671" max="9671" width="0.85546875" style="3" customWidth="1"/>
    <col min="9672" max="9672" width="11" style="3"/>
    <col min="9673" max="9673" width="15.42578125" style="3" customWidth="1"/>
    <col min="9674" max="9676" width="14.85546875" style="3" customWidth="1"/>
    <col min="9677" max="9677" width="0.7109375" style="3" customWidth="1"/>
    <col min="9678" max="9678" width="11" style="3"/>
    <col min="9679" max="9679" width="15.7109375" style="3" customWidth="1"/>
    <col min="9680" max="9681" width="14.85546875" style="3" customWidth="1"/>
    <col min="9682" max="9682" width="3.28515625" style="3" customWidth="1"/>
    <col min="9683" max="9683" width="20.140625" style="3" customWidth="1"/>
    <col min="9684" max="9684" width="3.28515625" style="3" customWidth="1"/>
    <col min="9685" max="9689" width="11" style="3"/>
    <col min="9690" max="9702" width="4.7109375" style="3" customWidth="1"/>
    <col min="9703" max="9912" width="11" style="3"/>
    <col min="9913" max="9913" width="0.7109375" style="3" customWidth="1"/>
    <col min="9914" max="9914" width="6.5703125" style="3" customWidth="1"/>
    <col min="9915" max="9915" width="13.5703125" style="3" customWidth="1"/>
    <col min="9916" max="9916" width="13.42578125" style="3" customWidth="1"/>
    <col min="9917" max="9918" width="12.5703125" style="3" customWidth="1"/>
    <col min="9919" max="9919" width="14.85546875" style="3" customWidth="1"/>
    <col min="9920" max="9920" width="20.7109375" style="3" customWidth="1"/>
    <col min="9921" max="9921" width="12.5703125" style="3" customWidth="1"/>
    <col min="9922" max="9922" width="13" style="3" customWidth="1"/>
    <col min="9923" max="9923" width="16" style="3" customWidth="1"/>
    <col min="9924" max="9924" width="6.42578125" style="3" customWidth="1"/>
    <col min="9925" max="9925" width="16" style="3" customWidth="1"/>
    <col min="9926" max="9926" width="2.85546875" style="3" customWidth="1"/>
    <col min="9927" max="9927" width="0.85546875" style="3" customWidth="1"/>
    <col min="9928" max="9928" width="11" style="3"/>
    <col min="9929" max="9929" width="15.42578125" style="3" customWidth="1"/>
    <col min="9930" max="9932" width="14.85546875" style="3" customWidth="1"/>
    <col min="9933" max="9933" width="0.7109375" style="3" customWidth="1"/>
    <col min="9934" max="9934" width="11" style="3"/>
    <col min="9935" max="9935" width="15.7109375" style="3" customWidth="1"/>
    <col min="9936" max="9937" width="14.85546875" style="3" customWidth="1"/>
    <col min="9938" max="9938" width="3.28515625" style="3" customWidth="1"/>
    <col min="9939" max="9939" width="20.140625" style="3" customWidth="1"/>
    <col min="9940" max="9940" width="3.28515625" style="3" customWidth="1"/>
    <col min="9941" max="9945" width="11" style="3"/>
    <col min="9946" max="9958" width="4.7109375" style="3" customWidth="1"/>
    <col min="9959" max="10168" width="11" style="3"/>
    <col min="10169" max="10169" width="0.7109375" style="3" customWidth="1"/>
    <col min="10170" max="10170" width="6.5703125" style="3" customWidth="1"/>
    <col min="10171" max="10171" width="13.5703125" style="3" customWidth="1"/>
    <col min="10172" max="10172" width="13.42578125" style="3" customWidth="1"/>
    <col min="10173" max="10174" width="12.5703125" style="3" customWidth="1"/>
    <col min="10175" max="10175" width="14.85546875" style="3" customWidth="1"/>
    <col min="10176" max="10176" width="20.7109375" style="3" customWidth="1"/>
    <col min="10177" max="10177" width="12.5703125" style="3" customWidth="1"/>
    <col min="10178" max="10178" width="13" style="3" customWidth="1"/>
    <col min="10179" max="10179" width="16" style="3" customWidth="1"/>
    <col min="10180" max="10180" width="6.42578125" style="3" customWidth="1"/>
    <col min="10181" max="10181" width="16" style="3" customWidth="1"/>
    <col min="10182" max="10182" width="2.85546875" style="3" customWidth="1"/>
    <col min="10183" max="10183" width="0.85546875" style="3" customWidth="1"/>
    <col min="10184" max="10184" width="11" style="3"/>
    <col min="10185" max="10185" width="15.42578125" style="3" customWidth="1"/>
    <col min="10186" max="10188" width="14.85546875" style="3" customWidth="1"/>
    <col min="10189" max="10189" width="0.7109375" style="3" customWidth="1"/>
    <col min="10190" max="10190" width="11" style="3"/>
    <col min="10191" max="10191" width="15.7109375" style="3" customWidth="1"/>
    <col min="10192" max="10193" width="14.85546875" style="3" customWidth="1"/>
    <col min="10194" max="10194" width="3.28515625" style="3" customWidth="1"/>
    <col min="10195" max="10195" width="20.140625" style="3" customWidth="1"/>
    <col min="10196" max="10196" width="3.28515625" style="3" customWidth="1"/>
    <col min="10197" max="10201" width="11" style="3"/>
    <col min="10202" max="10214" width="4.7109375" style="3" customWidth="1"/>
    <col min="10215" max="10424" width="11" style="3"/>
    <col min="10425" max="10425" width="0.7109375" style="3" customWidth="1"/>
    <col min="10426" max="10426" width="6.5703125" style="3" customWidth="1"/>
    <col min="10427" max="10427" width="13.5703125" style="3" customWidth="1"/>
    <col min="10428" max="10428" width="13.42578125" style="3" customWidth="1"/>
    <col min="10429" max="10430" width="12.5703125" style="3" customWidth="1"/>
    <col min="10431" max="10431" width="14.85546875" style="3" customWidth="1"/>
    <col min="10432" max="10432" width="20.7109375" style="3" customWidth="1"/>
    <col min="10433" max="10433" width="12.5703125" style="3" customWidth="1"/>
    <col min="10434" max="10434" width="13" style="3" customWidth="1"/>
    <col min="10435" max="10435" width="16" style="3" customWidth="1"/>
    <col min="10436" max="10436" width="6.42578125" style="3" customWidth="1"/>
    <col min="10437" max="10437" width="16" style="3" customWidth="1"/>
    <col min="10438" max="10438" width="2.85546875" style="3" customWidth="1"/>
    <col min="10439" max="10439" width="0.85546875" style="3" customWidth="1"/>
    <col min="10440" max="10440" width="11" style="3"/>
    <col min="10441" max="10441" width="15.42578125" style="3" customWidth="1"/>
    <col min="10442" max="10444" width="14.85546875" style="3" customWidth="1"/>
    <col min="10445" max="10445" width="0.7109375" style="3" customWidth="1"/>
    <col min="10446" max="10446" width="11" style="3"/>
    <col min="10447" max="10447" width="15.7109375" style="3" customWidth="1"/>
    <col min="10448" max="10449" width="14.85546875" style="3" customWidth="1"/>
    <col min="10450" max="10450" width="3.28515625" style="3" customWidth="1"/>
    <col min="10451" max="10451" width="20.140625" style="3" customWidth="1"/>
    <col min="10452" max="10452" width="3.28515625" style="3" customWidth="1"/>
    <col min="10453" max="10457" width="11" style="3"/>
    <col min="10458" max="10470" width="4.7109375" style="3" customWidth="1"/>
    <col min="10471" max="10680" width="11" style="3"/>
    <col min="10681" max="10681" width="0.7109375" style="3" customWidth="1"/>
    <col min="10682" max="10682" width="6.5703125" style="3" customWidth="1"/>
    <col min="10683" max="10683" width="13.5703125" style="3" customWidth="1"/>
    <col min="10684" max="10684" width="13.42578125" style="3" customWidth="1"/>
    <col min="10685" max="10686" width="12.5703125" style="3" customWidth="1"/>
    <col min="10687" max="10687" width="14.85546875" style="3" customWidth="1"/>
    <col min="10688" max="10688" width="20.7109375" style="3" customWidth="1"/>
    <col min="10689" max="10689" width="12.5703125" style="3" customWidth="1"/>
    <col min="10690" max="10690" width="13" style="3" customWidth="1"/>
    <col min="10691" max="10691" width="16" style="3" customWidth="1"/>
    <col min="10692" max="10692" width="6.42578125" style="3" customWidth="1"/>
    <col min="10693" max="10693" width="16" style="3" customWidth="1"/>
    <col min="10694" max="10694" width="2.85546875" style="3" customWidth="1"/>
    <col min="10695" max="10695" width="0.85546875" style="3" customWidth="1"/>
    <col min="10696" max="10696" width="11" style="3"/>
    <col min="10697" max="10697" width="15.42578125" style="3" customWidth="1"/>
    <col min="10698" max="10700" width="14.85546875" style="3" customWidth="1"/>
    <col min="10701" max="10701" width="0.7109375" style="3" customWidth="1"/>
    <col min="10702" max="10702" width="11" style="3"/>
    <col min="10703" max="10703" width="15.7109375" style="3" customWidth="1"/>
    <col min="10704" max="10705" width="14.85546875" style="3" customWidth="1"/>
    <col min="10706" max="10706" width="3.28515625" style="3" customWidth="1"/>
    <col min="10707" max="10707" width="20.140625" style="3" customWidth="1"/>
    <col min="10708" max="10708" width="3.28515625" style="3" customWidth="1"/>
    <col min="10709" max="10713" width="11" style="3"/>
    <col min="10714" max="10726" width="4.7109375" style="3" customWidth="1"/>
    <col min="10727" max="10936" width="11" style="3"/>
    <col min="10937" max="10937" width="0.7109375" style="3" customWidth="1"/>
    <col min="10938" max="10938" width="6.5703125" style="3" customWidth="1"/>
    <col min="10939" max="10939" width="13.5703125" style="3" customWidth="1"/>
    <col min="10940" max="10940" width="13.42578125" style="3" customWidth="1"/>
    <col min="10941" max="10942" width="12.5703125" style="3" customWidth="1"/>
    <col min="10943" max="10943" width="14.85546875" style="3" customWidth="1"/>
    <col min="10944" max="10944" width="20.7109375" style="3" customWidth="1"/>
    <col min="10945" max="10945" width="12.5703125" style="3" customWidth="1"/>
    <col min="10946" max="10946" width="13" style="3" customWidth="1"/>
    <col min="10947" max="10947" width="16" style="3" customWidth="1"/>
    <col min="10948" max="10948" width="6.42578125" style="3" customWidth="1"/>
    <col min="10949" max="10949" width="16" style="3" customWidth="1"/>
    <col min="10950" max="10950" width="2.85546875" style="3" customWidth="1"/>
    <col min="10951" max="10951" width="0.85546875" style="3" customWidth="1"/>
    <col min="10952" max="10952" width="11" style="3"/>
    <col min="10953" max="10953" width="15.42578125" style="3" customWidth="1"/>
    <col min="10954" max="10956" width="14.85546875" style="3" customWidth="1"/>
    <col min="10957" max="10957" width="0.7109375" style="3" customWidth="1"/>
    <col min="10958" max="10958" width="11" style="3"/>
    <col min="10959" max="10959" width="15.7109375" style="3" customWidth="1"/>
    <col min="10960" max="10961" width="14.85546875" style="3" customWidth="1"/>
    <col min="10962" max="10962" width="3.28515625" style="3" customWidth="1"/>
    <col min="10963" max="10963" width="20.140625" style="3" customWidth="1"/>
    <col min="10964" max="10964" width="3.28515625" style="3" customWidth="1"/>
    <col min="10965" max="10969" width="11" style="3"/>
    <col min="10970" max="10982" width="4.7109375" style="3" customWidth="1"/>
    <col min="10983" max="11192" width="11" style="3"/>
    <col min="11193" max="11193" width="0.7109375" style="3" customWidth="1"/>
    <col min="11194" max="11194" width="6.5703125" style="3" customWidth="1"/>
    <col min="11195" max="11195" width="13.5703125" style="3" customWidth="1"/>
    <col min="11196" max="11196" width="13.42578125" style="3" customWidth="1"/>
    <col min="11197" max="11198" width="12.5703125" style="3" customWidth="1"/>
    <col min="11199" max="11199" width="14.85546875" style="3" customWidth="1"/>
    <col min="11200" max="11200" width="20.7109375" style="3" customWidth="1"/>
    <col min="11201" max="11201" width="12.5703125" style="3" customWidth="1"/>
    <col min="11202" max="11202" width="13" style="3" customWidth="1"/>
    <col min="11203" max="11203" width="16" style="3" customWidth="1"/>
    <col min="11204" max="11204" width="6.42578125" style="3" customWidth="1"/>
    <col min="11205" max="11205" width="16" style="3" customWidth="1"/>
    <col min="11206" max="11206" width="2.85546875" style="3" customWidth="1"/>
    <col min="11207" max="11207" width="0.85546875" style="3" customWidth="1"/>
    <col min="11208" max="11208" width="11" style="3"/>
    <col min="11209" max="11209" width="15.42578125" style="3" customWidth="1"/>
    <col min="11210" max="11212" width="14.85546875" style="3" customWidth="1"/>
    <col min="11213" max="11213" width="0.7109375" style="3" customWidth="1"/>
    <col min="11214" max="11214" width="11" style="3"/>
    <col min="11215" max="11215" width="15.7109375" style="3" customWidth="1"/>
    <col min="11216" max="11217" width="14.85546875" style="3" customWidth="1"/>
    <col min="11218" max="11218" width="3.28515625" style="3" customWidth="1"/>
    <col min="11219" max="11219" width="20.140625" style="3" customWidth="1"/>
    <col min="11220" max="11220" width="3.28515625" style="3" customWidth="1"/>
    <col min="11221" max="11225" width="11" style="3"/>
    <col min="11226" max="11238" width="4.7109375" style="3" customWidth="1"/>
    <col min="11239" max="11448" width="11" style="3"/>
    <col min="11449" max="11449" width="0.7109375" style="3" customWidth="1"/>
    <col min="11450" max="11450" width="6.5703125" style="3" customWidth="1"/>
    <col min="11451" max="11451" width="13.5703125" style="3" customWidth="1"/>
    <col min="11452" max="11452" width="13.42578125" style="3" customWidth="1"/>
    <col min="11453" max="11454" width="12.5703125" style="3" customWidth="1"/>
    <col min="11455" max="11455" width="14.85546875" style="3" customWidth="1"/>
    <col min="11456" max="11456" width="20.7109375" style="3" customWidth="1"/>
    <col min="11457" max="11457" width="12.5703125" style="3" customWidth="1"/>
    <col min="11458" max="11458" width="13" style="3" customWidth="1"/>
    <col min="11459" max="11459" width="16" style="3" customWidth="1"/>
    <col min="11460" max="11460" width="6.42578125" style="3" customWidth="1"/>
    <col min="11461" max="11461" width="16" style="3" customWidth="1"/>
    <col min="11462" max="11462" width="2.85546875" style="3" customWidth="1"/>
    <col min="11463" max="11463" width="0.85546875" style="3" customWidth="1"/>
    <col min="11464" max="11464" width="11" style="3"/>
    <col min="11465" max="11465" width="15.42578125" style="3" customWidth="1"/>
    <col min="11466" max="11468" width="14.85546875" style="3" customWidth="1"/>
    <col min="11469" max="11469" width="0.7109375" style="3" customWidth="1"/>
    <col min="11470" max="11470" width="11" style="3"/>
    <col min="11471" max="11471" width="15.7109375" style="3" customWidth="1"/>
    <col min="11472" max="11473" width="14.85546875" style="3" customWidth="1"/>
    <col min="11474" max="11474" width="3.28515625" style="3" customWidth="1"/>
    <col min="11475" max="11475" width="20.140625" style="3" customWidth="1"/>
    <col min="11476" max="11476" width="3.28515625" style="3" customWidth="1"/>
    <col min="11477" max="11481" width="11" style="3"/>
    <col min="11482" max="11494" width="4.7109375" style="3" customWidth="1"/>
    <col min="11495" max="11704" width="11" style="3"/>
    <col min="11705" max="11705" width="0.7109375" style="3" customWidth="1"/>
    <col min="11706" max="11706" width="6.5703125" style="3" customWidth="1"/>
    <col min="11707" max="11707" width="13.5703125" style="3" customWidth="1"/>
    <col min="11708" max="11708" width="13.42578125" style="3" customWidth="1"/>
    <col min="11709" max="11710" width="12.5703125" style="3" customWidth="1"/>
    <col min="11711" max="11711" width="14.85546875" style="3" customWidth="1"/>
    <col min="11712" max="11712" width="20.7109375" style="3" customWidth="1"/>
    <col min="11713" max="11713" width="12.5703125" style="3" customWidth="1"/>
    <col min="11714" max="11714" width="13" style="3" customWidth="1"/>
    <col min="11715" max="11715" width="16" style="3" customWidth="1"/>
    <col min="11716" max="11716" width="6.42578125" style="3" customWidth="1"/>
    <col min="11717" max="11717" width="16" style="3" customWidth="1"/>
    <col min="11718" max="11718" width="2.85546875" style="3" customWidth="1"/>
    <col min="11719" max="11719" width="0.85546875" style="3" customWidth="1"/>
    <col min="11720" max="11720" width="11" style="3"/>
    <col min="11721" max="11721" width="15.42578125" style="3" customWidth="1"/>
    <col min="11722" max="11724" width="14.85546875" style="3" customWidth="1"/>
    <col min="11725" max="11725" width="0.7109375" style="3" customWidth="1"/>
    <col min="11726" max="11726" width="11" style="3"/>
    <col min="11727" max="11727" width="15.7109375" style="3" customWidth="1"/>
    <col min="11728" max="11729" width="14.85546875" style="3" customWidth="1"/>
    <col min="11730" max="11730" width="3.28515625" style="3" customWidth="1"/>
    <col min="11731" max="11731" width="20.140625" style="3" customWidth="1"/>
    <col min="11732" max="11732" width="3.28515625" style="3" customWidth="1"/>
    <col min="11733" max="11737" width="11" style="3"/>
    <col min="11738" max="11750" width="4.7109375" style="3" customWidth="1"/>
    <col min="11751" max="11960" width="11" style="3"/>
    <col min="11961" max="11961" width="0.7109375" style="3" customWidth="1"/>
    <col min="11962" max="11962" width="6.5703125" style="3" customWidth="1"/>
    <col min="11963" max="11963" width="13.5703125" style="3" customWidth="1"/>
    <col min="11964" max="11964" width="13.42578125" style="3" customWidth="1"/>
    <col min="11965" max="11966" width="12.5703125" style="3" customWidth="1"/>
    <col min="11967" max="11967" width="14.85546875" style="3" customWidth="1"/>
    <col min="11968" max="11968" width="20.7109375" style="3" customWidth="1"/>
    <col min="11969" max="11969" width="12.5703125" style="3" customWidth="1"/>
    <col min="11970" max="11970" width="13" style="3" customWidth="1"/>
    <col min="11971" max="11971" width="16" style="3" customWidth="1"/>
    <col min="11972" max="11972" width="6.42578125" style="3" customWidth="1"/>
    <col min="11973" max="11973" width="16" style="3" customWidth="1"/>
    <col min="11974" max="11974" width="2.85546875" style="3" customWidth="1"/>
    <col min="11975" max="11975" width="0.85546875" style="3" customWidth="1"/>
    <col min="11976" max="11976" width="11" style="3"/>
    <col min="11977" max="11977" width="15.42578125" style="3" customWidth="1"/>
    <col min="11978" max="11980" width="14.85546875" style="3" customWidth="1"/>
    <col min="11981" max="11981" width="0.7109375" style="3" customWidth="1"/>
    <col min="11982" max="11982" width="11" style="3"/>
    <col min="11983" max="11983" width="15.7109375" style="3" customWidth="1"/>
    <col min="11984" max="11985" width="14.85546875" style="3" customWidth="1"/>
    <col min="11986" max="11986" width="3.28515625" style="3" customWidth="1"/>
    <col min="11987" max="11987" width="20.140625" style="3" customWidth="1"/>
    <col min="11988" max="11988" width="3.28515625" style="3" customWidth="1"/>
    <col min="11989" max="11993" width="11" style="3"/>
    <col min="11994" max="12006" width="4.7109375" style="3" customWidth="1"/>
    <col min="12007" max="12216" width="11" style="3"/>
    <col min="12217" max="12217" width="0.7109375" style="3" customWidth="1"/>
    <col min="12218" max="12218" width="6.5703125" style="3" customWidth="1"/>
    <col min="12219" max="12219" width="13.5703125" style="3" customWidth="1"/>
    <col min="12220" max="12220" width="13.42578125" style="3" customWidth="1"/>
    <col min="12221" max="12222" width="12.5703125" style="3" customWidth="1"/>
    <col min="12223" max="12223" width="14.85546875" style="3" customWidth="1"/>
    <col min="12224" max="12224" width="20.7109375" style="3" customWidth="1"/>
    <col min="12225" max="12225" width="12.5703125" style="3" customWidth="1"/>
    <col min="12226" max="12226" width="13" style="3" customWidth="1"/>
    <col min="12227" max="12227" width="16" style="3" customWidth="1"/>
    <col min="12228" max="12228" width="6.42578125" style="3" customWidth="1"/>
    <col min="12229" max="12229" width="16" style="3" customWidth="1"/>
    <col min="12230" max="12230" width="2.85546875" style="3" customWidth="1"/>
    <col min="12231" max="12231" width="0.85546875" style="3" customWidth="1"/>
    <col min="12232" max="12232" width="11" style="3"/>
    <col min="12233" max="12233" width="15.42578125" style="3" customWidth="1"/>
    <col min="12234" max="12236" width="14.85546875" style="3" customWidth="1"/>
    <col min="12237" max="12237" width="0.7109375" style="3" customWidth="1"/>
    <col min="12238" max="12238" width="11" style="3"/>
    <col min="12239" max="12239" width="15.7109375" style="3" customWidth="1"/>
    <col min="12240" max="12241" width="14.85546875" style="3" customWidth="1"/>
    <col min="12242" max="12242" width="3.28515625" style="3" customWidth="1"/>
    <col min="12243" max="12243" width="20.140625" style="3" customWidth="1"/>
    <col min="12244" max="12244" width="3.28515625" style="3" customWidth="1"/>
    <col min="12245" max="12249" width="11" style="3"/>
    <col min="12250" max="12262" width="4.7109375" style="3" customWidth="1"/>
    <col min="12263" max="12472" width="11" style="3"/>
    <col min="12473" max="12473" width="0.7109375" style="3" customWidth="1"/>
    <col min="12474" max="12474" width="6.5703125" style="3" customWidth="1"/>
    <col min="12475" max="12475" width="13.5703125" style="3" customWidth="1"/>
    <col min="12476" max="12476" width="13.42578125" style="3" customWidth="1"/>
    <col min="12477" max="12478" width="12.5703125" style="3" customWidth="1"/>
    <col min="12479" max="12479" width="14.85546875" style="3" customWidth="1"/>
    <col min="12480" max="12480" width="20.7109375" style="3" customWidth="1"/>
    <col min="12481" max="12481" width="12.5703125" style="3" customWidth="1"/>
    <col min="12482" max="12482" width="13" style="3" customWidth="1"/>
    <col min="12483" max="12483" width="16" style="3" customWidth="1"/>
    <col min="12484" max="12484" width="6.42578125" style="3" customWidth="1"/>
    <col min="12485" max="12485" width="16" style="3" customWidth="1"/>
    <col min="12486" max="12486" width="2.85546875" style="3" customWidth="1"/>
    <col min="12487" max="12487" width="0.85546875" style="3" customWidth="1"/>
    <col min="12488" max="12488" width="11" style="3"/>
    <col min="12489" max="12489" width="15.42578125" style="3" customWidth="1"/>
    <col min="12490" max="12492" width="14.85546875" style="3" customWidth="1"/>
    <col min="12493" max="12493" width="0.7109375" style="3" customWidth="1"/>
    <col min="12494" max="12494" width="11" style="3"/>
    <col min="12495" max="12495" width="15.7109375" style="3" customWidth="1"/>
    <col min="12496" max="12497" width="14.85546875" style="3" customWidth="1"/>
    <col min="12498" max="12498" width="3.28515625" style="3" customWidth="1"/>
    <col min="12499" max="12499" width="20.140625" style="3" customWidth="1"/>
    <col min="12500" max="12500" width="3.28515625" style="3" customWidth="1"/>
    <col min="12501" max="12505" width="11" style="3"/>
    <col min="12506" max="12518" width="4.7109375" style="3" customWidth="1"/>
    <col min="12519" max="12728" width="11" style="3"/>
    <col min="12729" max="12729" width="0.7109375" style="3" customWidth="1"/>
    <col min="12730" max="12730" width="6.5703125" style="3" customWidth="1"/>
    <col min="12731" max="12731" width="13.5703125" style="3" customWidth="1"/>
    <col min="12732" max="12732" width="13.42578125" style="3" customWidth="1"/>
    <col min="12733" max="12734" width="12.5703125" style="3" customWidth="1"/>
    <col min="12735" max="12735" width="14.85546875" style="3" customWidth="1"/>
    <col min="12736" max="12736" width="20.7109375" style="3" customWidth="1"/>
    <col min="12737" max="12737" width="12.5703125" style="3" customWidth="1"/>
    <col min="12738" max="12738" width="13" style="3" customWidth="1"/>
    <col min="12739" max="12739" width="16" style="3" customWidth="1"/>
    <col min="12740" max="12740" width="6.42578125" style="3" customWidth="1"/>
    <col min="12741" max="12741" width="16" style="3" customWidth="1"/>
    <col min="12742" max="12742" width="2.85546875" style="3" customWidth="1"/>
    <col min="12743" max="12743" width="0.85546875" style="3" customWidth="1"/>
    <col min="12744" max="12744" width="11" style="3"/>
    <col min="12745" max="12745" width="15.42578125" style="3" customWidth="1"/>
    <col min="12746" max="12748" width="14.85546875" style="3" customWidth="1"/>
    <col min="12749" max="12749" width="0.7109375" style="3" customWidth="1"/>
    <col min="12750" max="12750" width="11" style="3"/>
    <col min="12751" max="12751" width="15.7109375" style="3" customWidth="1"/>
    <col min="12752" max="12753" width="14.85546875" style="3" customWidth="1"/>
    <col min="12754" max="12754" width="3.28515625" style="3" customWidth="1"/>
    <col min="12755" max="12755" width="20.140625" style="3" customWidth="1"/>
    <col min="12756" max="12756" width="3.28515625" style="3" customWidth="1"/>
    <col min="12757" max="12761" width="11" style="3"/>
    <col min="12762" max="12774" width="4.7109375" style="3" customWidth="1"/>
    <col min="12775" max="12984" width="11" style="3"/>
    <col min="12985" max="12985" width="0.7109375" style="3" customWidth="1"/>
    <col min="12986" max="12986" width="6.5703125" style="3" customWidth="1"/>
    <col min="12987" max="12987" width="13.5703125" style="3" customWidth="1"/>
    <col min="12988" max="12988" width="13.42578125" style="3" customWidth="1"/>
    <col min="12989" max="12990" width="12.5703125" style="3" customWidth="1"/>
    <col min="12991" max="12991" width="14.85546875" style="3" customWidth="1"/>
    <col min="12992" max="12992" width="20.7109375" style="3" customWidth="1"/>
    <col min="12993" max="12993" width="12.5703125" style="3" customWidth="1"/>
    <col min="12994" max="12994" width="13" style="3" customWidth="1"/>
    <col min="12995" max="12995" width="16" style="3" customWidth="1"/>
    <col min="12996" max="12996" width="6.42578125" style="3" customWidth="1"/>
    <col min="12997" max="12997" width="16" style="3" customWidth="1"/>
    <col min="12998" max="12998" width="2.85546875" style="3" customWidth="1"/>
    <col min="12999" max="12999" width="0.85546875" style="3" customWidth="1"/>
    <col min="13000" max="13000" width="11" style="3"/>
    <col min="13001" max="13001" width="15.42578125" style="3" customWidth="1"/>
    <col min="13002" max="13004" width="14.85546875" style="3" customWidth="1"/>
    <col min="13005" max="13005" width="0.7109375" style="3" customWidth="1"/>
    <col min="13006" max="13006" width="11" style="3"/>
    <col min="13007" max="13007" width="15.7109375" style="3" customWidth="1"/>
    <col min="13008" max="13009" width="14.85546875" style="3" customWidth="1"/>
    <col min="13010" max="13010" width="3.28515625" style="3" customWidth="1"/>
    <col min="13011" max="13011" width="20.140625" style="3" customWidth="1"/>
    <col min="13012" max="13012" width="3.28515625" style="3" customWidth="1"/>
    <col min="13013" max="13017" width="11" style="3"/>
    <col min="13018" max="13030" width="4.7109375" style="3" customWidth="1"/>
    <col min="13031" max="13240" width="11" style="3"/>
    <col min="13241" max="13241" width="0.7109375" style="3" customWidth="1"/>
    <col min="13242" max="13242" width="6.5703125" style="3" customWidth="1"/>
    <col min="13243" max="13243" width="13.5703125" style="3" customWidth="1"/>
    <col min="13244" max="13244" width="13.42578125" style="3" customWidth="1"/>
    <col min="13245" max="13246" width="12.5703125" style="3" customWidth="1"/>
    <col min="13247" max="13247" width="14.85546875" style="3" customWidth="1"/>
    <col min="13248" max="13248" width="20.7109375" style="3" customWidth="1"/>
    <col min="13249" max="13249" width="12.5703125" style="3" customWidth="1"/>
    <col min="13250" max="13250" width="13" style="3" customWidth="1"/>
    <col min="13251" max="13251" width="16" style="3" customWidth="1"/>
    <col min="13252" max="13252" width="6.42578125" style="3" customWidth="1"/>
    <col min="13253" max="13253" width="16" style="3" customWidth="1"/>
    <col min="13254" max="13254" width="2.85546875" style="3" customWidth="1"/>
    <col min="13255" max="13255" width="0.85546875" style="3" customWidth="1"/>
    <col min="13256" max="13256" width="11" style="3"/>
    <col min="13257" max="13257" width="15.42578125" style="3" customWidth="1"/>
    <col min="13258" max="13260" width="14.85546875" style="3" customWidth="1"/>
    <col min="13261" max="13261" width="0.7109375" style="3" customWidth="1"/>
    <col min="13262" max="13262" width="11" style="3"/>
    <col min="13263" max="13263" width="15.7109375" style="3" customWidth="1"/>
    <col min="13264" max="13265" width="14.85546875" style="3" customWidth="1"/>
    <col min="13266" max="13266" width="3.28515625" style="3" customWidth="1"/>
    <col min="13267" max="13267" width="20.140625" style="3" customWidth="1"/>
    <col min="13268" max="13268" width="3.28515625" style="3" customWidth="1"/>
    <col min="13269" max="13273" width="11" style="3"/>
    <col min="13274" max="13286" width="4.7109375" style="3" customWidth="1"/>
    <col min="13287" max="13496" width="11" style="3"/>
    <col min="13497" max="13497" width="0.7109375" style="3" customWidth="1"/>
    <col min="13498" max="13498" width="6.5703125" style="3" customWidth="1"/>
    <col min="13499" max="13499" width="13.5703125" style="3" customWidth="1"/>
    <col min="13500" max="13500" width="13.42578125" style="3" customWidth="1"/>
    <col min="13501" max="13502" width="12.5703125" style="3" customWidth="1"/>
    <col min="13503" max="13503" width="14.85546875" style="3" customWidth="1"/>
    <col min="13504" max="13504" width="20.7109375" style="3" customWidth="1"/>
    <col min="13505" max="13505" width="12.5703125" style="3" customWidth="1"/>
    <col min="13506" max="13506" width="13" style="3" customWidth="1"/>
    <col min="13507" max="13507" width="16" style="3" customWidth="1"/>
    <col min="13508" max="13508" width="6.42578125" style="3" customWidth="1"/>
    <col min="13509" max="13509" width="16" style="3" customWidth="1"/>
    <col min="13510" max="13510" width="2.85546875" style="3" customWidth="1"/>
    <col min="13511" max="13511" width="0.85546875" style="3" customWidth="1"/>
    <col min="13512" max="13512" width="11" style="3"/>
    <col min="13513" max="13513" width="15.42578125" style="3" customWidth="1"/>
    <col min="13514" max="13516" width="14.85546875" style="3" customWidth="1"/>
    <col min="13517" max="13517" width="0.7109375" style="3" customWidth="1"/>
    <col min="13518" max="13518" width="11" style="3"/>
    <col min="13519" max="13519" width="15.7109375" style="3" customWidth="1"/>
    <col min="13520" max="13521" width="14.85546875" style="3" customWidth="1"/>
    <col min="13522" max="13522" width="3.28515625" style="3" customWidth="1"/>
    <col min="13523" max="13523" width="20.140625" style="3" customWidth="1"/>
    <col min="13524" max="13524" width="3.28515625" style="3" customWidth="1"/>
    <col min="13525" max="13529" width="11" style="3"/>
    <col min="13530" max="13542" width="4.7109375" style="3" customWidth="1"/>
    <col min="13543" max="13752" width="11" style="3"/>
    <col min="13753" max="13753" width="0.7109375" style="3" customWidth="1"/>
    <col min="13754" max="13754" width="6.5703125" style="3" customWidth="1"/>
    <col min="13755" max="13755" width="13.5703125" style="3" customWidth="1"/>
    <col min="13756" max="13756" width="13.42578125" style="3" customWidth="1"/>
    <col min="13757" max="13758" width="12.5703125" style="3" customWidth="1"/>
    <col min="13759" max="13759" width="14.85546875" style="3" customWidth="1"/>
    <col min="13760" max="13760" width="20.7109375" style="3" customWidth="1"/>
    <col min="13761" max="13761" width="12.5703125" style="3" customWidth="1"/>
    <col min="13762" max="13762" width="13" style="3" customWidth="1"/>
    <col min="13763" max="13763" width="16" style="3" customWidth="1"/>
    <col min="13764" max="13764" width="6.42578125" style="3" customWidth="1"/>
    <col min="13765" max="13765" width="16" style="3" customWidth="1"/>
    <col min="13766" max="13766" width="2.85546875" style="3" customWidth="1"/>
    <col min="13767" max="13767" width="0.85546875" style="3" customWidth="1"/>
    <col min="13768" max="13768" width="11" style="3"/>
    <col min="13769" max="13769" width="15.42578125" style="3" customWidth="1"/>
    <col min="13770" max="13772" width="14.85546875" style="3" customWidth="1"/>
    <col min="13773" max="13773" width="0.7109375" style="3" customWidth="1"/>
    <col min="13774" max="13774" width="11" style="3"/>
    <col min="13775" max="13775" width="15.7109375" style="3" customWidth="1"/>
    <col min="13776" max="13777" width="14.85546875" style="3" customWidth="1"/>
    <col min="13778" max="13778" width="3.28515625" style="3" customWidth="1"/>
    <col min="13779" max="13779" width="20.140625" style="3" customWidth="1"/>
    <col min="13780" max="13780" width="3.28515625" style="3" customWidth="1"/>
    <col min="13781" max="13785" width="11" style="3"/>
    <col min="13786" max="13798" width="4.7109375" style="3" customWidth="1"/>
    <col min="13799" max="14008" width="11" style="3"/>
    <col min="14009" max="14009" width="0.7109375" style="3" customWidth="1"/>
    <col min="14010" max="14010" width="6.5703125" style="3" customWidth="1"/>
    <col min="14011" max="14011" width="13.5703125" style="3" customWidth="1"/>
    <col min="14012" max="14012" width="13.42578125" style="3" customWidth="1"/>
    <col min="14013" max="14014" width="12.5703125" style="3" customWidth="1"/>
    <col min="14015" max="14015" width="14.85546875" style="3" customWidth="1"/>
    <col min="14016" max="14016" width="20.7109375" style="3" customWidth="1"/>
    <col min="14017" max="14017" width="12.5703125" style="3" customWidth="1"/>
    <col min="14018" max="14018" width="13" style="3" customWidth="1"/>
    <col min="14019" max="14019" width="16" style="3" customWidth="1"/>
    <col min="14020" max="14020" width="6.42578125" style="3" customWidth="1"/>
    <col min="14021" max="14021" width="16" style="3" customWidth="1"/>
    <col min="14022" max="14022" width="2.85546875" style="3" customWidth="1"/>
    <col min="14023" max="14023" width="0.85546875" style="3" customWidth="1"/>
    <col min="14024" max="14024" width="11" style="3"/>
    <col min="14025" max="14025" width="15.42578125" style="3" customWidth="1"/>
    <col min="14026" max="14028" width="14.85546875" style="3" customWidth="1"/>
    <col min="14029" max="14029" width="0.7109375" style="3" customWidth="1"/>
    <col min="14030" max="14030" width="11" style="3"/>
    <col min="14031" max="14031" width="15.7109375" style="3" customWidth="1"/>
    <col min="14032" max="14033" width="14.85546875" style="3" customWidth="1"/>
    <col min="14034" max="14034" width="3.28515625" style="3" customWidth="1"/>
    <col min="14035" max="14035" width="20.140625" style="3" customWidth="1"/>
    <col min="14036" max="14036" width="3.28515625" style="3" customWidth="1"/>
    <col min="14037" max="14041" width="11" style="3"/>
    <col min="14042" max="14054" width="4.7109375" style="3" customWidth="1"/>
    <col min="14055" max="14264" width="11" style="3"/>
    <col min="14265" max="14265" width="0.7109375" style="3" customWidth="1"/>
    <col min="14266" max="14266" width="6.5703125" style="3" customWidth="1"/>
    <col min="14267" max="14267" width="13.5703125" style="3" customWidth="1"/>
    <col min="14268" max="14268" width="13.42578125" style="3" customWidth="1"/>
    <col min="14269" max="14270" width="12.5703125" style="3" customWidth="1"/>
    <col min="14271" max="14271" width="14.85546875" style="3" customWidth="1"/>
    <col min="14272" max="14272" width="20.7109375" style="3" customWidth="1"/>
    <col min="14273" max="14273" width="12.5703125" style="3" customWidth="1"/>
    <col min="14274" max="14274" width="13" style="3" customWidth="1"/>
    <col min="14275" max="14275" width="16" style="3" customWidth="1"/>
    <col min="14276" max="14276" width="6.42578125" style="3" customWidth="1"/>
    <col min="14277" max="14277" width="16" style="3" customWidth="1"/>
    <col min="14278" max="14278" width="2.85546875" style="3" customWidth="1"/>
    <col min="14279" max="14279" width="0.85546875" style="3" customWidth="1"/>
    <col min="14280" max="14280" width="11" style="3"/>
    <col min="14281" max="14281" width="15.42578125" style="3" customWidth="1"/>
    <col min="14282" max="14284" width="14.85546875" style="3" customWidth="1"/>
    <col min="14285" max="14285" width="0.7109375" style="3" customWidth="1"/>
    <col min="14286" max="14286" width="11" style="3"/>
    <col min="14287" max="14287" width="15.7109375" style="3" customWidth="1"/>
    <col min="14288" max="14289" width="14.85546875" style="3" customWidth="1"/>
    <col min="14290" max="14290" width="3.28515625" style="3" customWidth="1"/>
    <col min="14291" max="14291" width="20.140625" style="3" customWidth="1"/>
    <col min="14292" max="14292" width="3.28515625" style="3" customWidth="1"/>
    <col min="14293" max="14297" width="11" style="3"/>
    <col min="14298" max="14310" width="4.7109375" style="3" customWidth="1"/>
    <col min="14311" max="14520" width="11" style="3"/>
    <col min="14521" max="14521" width="0.7109375" style="3" customWidth="1"/>
    <col min="14522" max="14522" width="6.5703125" style="3" customWidth="1"/>
    <col min="14523" max="14523" width="13.5703125" style="3" customWidth="1"/>
    <col min="14524" max="14524" width="13.42578125" style="3" customWidth="1"/>
    <col min="14525" max="14526" width="12.5703125" style="3" customWidth="1"/>
    <col min="14527" max="14527" width="14.85546875" style="3" customWidth="1"/>
    <col min="14528" max="14528" width="20.7109375" style="3" customWidth="1"/>
    <col min="14529" max="14529" width="12.5703125" style="3" customWidth="1"/>
    <col min="14530" max="14530" width="13" style="3" customWidth="1"/>
    <col min="14531" max="14531" width="16" style="3" customWidth="1"/>
    <col min="14532" max="14532" width="6.42578125" style="3" customWidth="1"/>
    <col min="14533" max="14533" width="16" style="3" customWidth="1"/>
    <col min="14534" max="14534" width="2.85546875" style="3" customWidth="1"/>
    <col min="14535" max="14535" width="0.85546875" style="3" customWidth="1"/>
    <col min="14536" max="14536" width="11" style="3"/>
    <col min="14537" max="14537" width="15.42578125" style="3" customWidth="1"/>
    <col min="14538" max="14540" width="14.85546875" style="3" customWidth="1"/>
    <col min="14541" max="14541" width="0.7109375" style="3" customWidth="1"/>
    <col min="14542" max="14542" width="11" style="3"/>
    <col min="14543" max="14543" width="15.7109375" style="3" customWidth="1"/>
    <col min="14544" max="14545" width="14.85546875" style="3" customWidth="1"/>
    <col min="14546" max="14546" width="3.28515625" style="3" customWidth="1"/>
    <col min="14547" max="14547" width="20.140625" style="3" customWidth="1"/>
    <col min="14548" max="14548" width="3.28515625" style="3" customWidth="1"/>
    <col min="14549" max="14553" width="11" style="3"/>
    <col min="14554" max="14566" width="4.7109375" style="3" customWidth="1"/>
    <col min="14567" max="14776" width="11" style="3"/>
    <col min="14777" max="14777" width="0.7109375" style="3" customWidth="1"/>
    <col min="14778" max="14778" width="6.5703125" style="3" customWidth="1"/>
    <col min="14779" max="14779" width="13.5703125" style="3" customWidth="1"/>
    <col min="14780" max="14780" width="13.42578125" style="3" customWidth="1"/>
    <col min="14781" max="14782" width="12.5703125" style="3" customWidth="1"/>
    <col min="14783" max="14783" width="14.85546875" style="3" customWidth="1"/>
    <col min="14784" max="14784" width="20.7109375" style="3" customWidth="1"/>
    <col min="14785" max="14785" width="12.5703125" style="3" customWidth="1"/>
    <col min="14786" max="14786" width="13" style="3" customWidth="1"/>
    <col min="14787" max="14787" width="16" style="3" customWidth="1"/>
    <col min="14788" max="14788" width="6.42578125" style="3" customWidth="1"/>
    <col min="14789" max="14789" width="16" style="3" customWidth="1"/>
    <col min="14790" max="14790" width="2.85546875" style="3" customWidth="1"/>
    <col min="14791" max="14791" width="0.85546875" style="3" customWidth="1"/>
    <col min="14792" max="14792" width="11" style="3"/>
    <col min="14793" max="14793" width="15.42578125" style="3" customWidth="1"/>
    <col min="14794" max="14796" width="14.85546875" style="3" customWidth="1"/>
    <col min="14797" max="14797" width="0.7109375" style="3" customWidth="1"/>
    <col min="14798" max="14798" width="11" style="3"/>
    <col min="14799" max="14799" width="15.7109375" style="3" customWidth="1"/>
    <col min="14800" max="14801" width="14.85546875" style="3" customWidth="1"/>
    <col min="14802" max="14802" width="3.28515625" style="3" customWidth="1"/>
    <col min="14803" max="14803" width="20.140625" style="3" customWidth="1"/>
    <col min="14804" max="14804" width="3.28515625" style="3" customWidth="1"/>
    <col min="14805" max="14809" width="11" style="3"/>
    <col min="14810" max="14822" width="4.7109375" style="3" customWidth="1"/>
    <col min="14823" max="15032" width="11" style="3"/>
    <col min="15033" max="15033" width="0.7109375" style="3" customWidth="1"/>
    <col min="15034" max="15034" width="6.5703125" style="3" customWidth="1"/>
    <col min="15035" max="15035" width="13.5703125" style="3" customWidth="1"/>
    <col min="15036" max="15036" width="13.42578125" style="3" customWidth="1"/>
    <col min="15037" max="15038" width="12.5703125" style="3" customWidth="1"/>
    <col min="15039" max="15039" width="14.85546875" style="3" customWidth="1"/>
    <col min="15040" max="15040" width="20.7109375" style="3" customWidth="1"/>
    <col min="15041" max="15041" width="12.5703125" style="3" customWidth="1"/>
    <col min="15042" max="15042" width="13" style="3" customWidth="1"/>
    <col min="15043" max="15043" width="16" style="3" customWidth="1"/>
    <col min="15044" max="15044" width="6.42578125" style="3" customWidth="1"/>
    <col min="15045" max="15045" width="16" style="3" customWidth="1"/>
    <col min="15046" max="15046" width="2.85546875" style="3" customWidth="1"/>
    <col min="15047" max="15047" width="0.85546875" style="3" customWidth="1"/>
    <col min="15048" max="15048" width="11" style="3"/>
    <col min="15049" max="15049" width="15.42578125" style="3" customWidth="1"/>
    <col min="15050" max="15052" width="14.85546875" style="3" customWidth="1"/>
    <col min="15053" max="15053" width="0.7109375" style="3" customWidth="1"/>
    <col min="15054" max="15054" width="11" style="3"/>
    <col min="15055" max="15055" width="15.7109375" style="3" customWidth="1"/>
    <col min="15056" max="15057" width="14.85546875" style="3" customWidth="1"/>
    <col min="15058" max="15058" width="3.28515625" style="3" customWidth="1"/>
    <col min="15059" max="15059" width="20.140625" style="3" customWidth="1"/>
    <col min="15060" max="15060" width="3.28515625" style="3" customWidth="1"/>
    <col min="15061" max="15065" width="11" style="3"/>
    <col min="15066" max="15078" width="4.7109375" style="3" customWidth="1"/>
    <col min="15079" max="15288" width="11" style="3"/>
    <col min="15289" max="15289" width="0.7109375" style="3" customWidth="1"/>
    <col min="15290" max="15290" width="6.5703125" style="3" customWidth="1"/>
    <col min="15291" max="15291" width="13.5703125" style="3" customWidth="1"/>
    <col min="15292" max="15292" width="13.42578125" style="3" customWidth="1"/>
    <col min="15293" max="15294" width="12.5703125" style="3" customWidth="1"/>
    <col min="15295" max="15295" width="14.85546875" style="3" customWidth="1"/>
    <col min="15296" max="15296" width="20.7109375" style="3" customWidth="1"/>
    <col min="15297" max="15297" width="12.5703125" style="3" customWidth="1"/>
    <col min="15298" max="15298" width="13" style="3" customWidth="1"/>
    <col min="15299" max="15299" width="16" style="3" customWidth="1"/>
    <col min="15300" max="15300" width="6.42578125" style="3" customWidth="1"/>
    <col min="15301" max="15301" width="16" style="3" customWidth="1"/>
    <col min="15302" max="15302" width="2.85546875" style="3" customWidth="1"/>
    <col min="15303" max="15303" width="0.85546875" style="3" customWidth="1"/>
    <col min="15304" max="15304" width="11" style="3"/>
    <col min="15305" max="15305" width="15.42578125" style="3" customWidth="1"/>
    <col min="15306" max="15308" width="14.85546875" style="3" customWidth="1"/>
    <col min="15309" max="15309" width="0.7109375" style="3" customWidth="1"/>
    <col min="15310" max="15310" width="11" style="3"/>
    <col min="15311" max="15311" width="15.7109375" style="3" customWidth="1"/>
    <col min="15312" max="15313" width="14.85546875" style="3" customWidth="1"/>
    <col min="15314" max="15314" width="3.28515625" style="3" customWidth="1"/>
    <col min="15315" max="15315" width="20.140625" style="3" customWidth="1"/>
    <col min="15316" max="15316" width="3.28515625" style="3" customWidth="1"/>
    <col min="15317" max="15321" width="11" style="3"/>
    <col min="15322" max="15334" width="4.7109375" style="3" customWidth="1"/>
    <col min="15335" max="15544" width="11" style="3"/>
    <col min="15545" max="15545" width="0.7109375" style="3" customWidth="1"/>
    <col min="15546" max="15546" width="6.5703125" style="3" customWidth="1"/>
    <col min="15547" max="15547" width="13.5703125" style="3" customWidth="1"/>
    <col min="15548" max="15548" width="13.42578125" style="3" customWidth="1"/>
    <col min="15549" max="15550" width="12.5703125" style="3" customWidth="1"/>
    <col min="15551" max="15551" width="14.85546875" style="3" customWidth="1"/>
    <col min="15552" max="15552" width="20.7109375" style="3" customWidth="1"/>
    <col min="15553" max="15553" width="12.5703125" style="3" customWidth="1"/>
    <col min="15554" max="15554" width="13" style="3" customWidth="1"/>
    <col min="15555" max="15555" width="16" style="3" customWidth="1"/>
    <col min="15556" max="15556" width="6.42578125" style="3" customWidth="1"/>
    <col min="15557" max="15557" width="16" style="3" customWidth="1"/>
    <col min="15558" max="15558" width="2.85546875" style="3" customWidth="1"/>
    <col min="15559" max="15559" width="0.85546875" style="3" customWidth="1"/>
    <col min="15560" max="15560" width="11" style="3"/>
    <col min="15561" max="15561" width="15.42578125" style="3" customWidth="1"/>
    <col min="15562" max="15564" width="14.85546875" style="3" customWidth="1"/>
    <col min="15565" max="15565" width="0.7109375" style="3" customWidth="1"/>
    <col min="15566" max="15566" width="11" style="3"/>
    <col min="15567" max="15567" width="15.7109375" style="3" customWidth="1"/>
    <col min="15568" max="15569" width="14.85546875" style="3" customWidth="1"/>
    <col min="15570" max="15570" width="3.28515625" style="3" customWidth="1"/>
    <col min="15571" max="15571" width="20.140625" style="3" customWidth="1"/>
    <col min="15572" max="15572" width="3.28515625" style="3" customWidth="1"/>
    <col min="15573" max="15577" width="11" style="3"/>
    <col min="15578" max="15590" width="4.7109375" style="3" customWidth="1"/>
    <col min="15591" max="15800" width="11" style="3"/>
    <col min="15801" max="15801" width="0.7109375" style="3" customWidth="1"/>
    <col min="15802" max="15802" width="6.5703125" style="3" customWidth="1"/>
    <col min="15803" max="15803" width="13.5703125" style="3" customWidth="1"/>
    <col min="15804" max="15804" width="13.42578125" style="3" customWidth="1"/>
    <col min="15805" max="15806" width="12.5703125" style="3" customWidth="1"/>
    <col min="15807" max="15807" width="14.85546875" style="3" customWidth="1"/>
    <col min="15808" max="15808" width="20.7109375" style="3" customWidth="1"/>
    <col min="15809" max="15809" width="12.5703125" style="3" customWidth="1"/>
    <col min="15810" max="15810" width="13" style="3" customWidth="1"/>
    <col min="15811" max="15811" width="16" style="3" customWidth="1"/>
    <col min="15812" max="15812" width="6.42578125" style="3" customWidth="1"/>
    <col min="15813" max="15813" width="16" style="3" customWidth="1"/>
    <col min="15814" max="15814" width="2.85546875" style="3" customWidth="1"/>
    <col min="15815" max="15815" width="0.85546875" style="3" customWidth="1"/>
    <col min="15816" max="15816" width="11" style="3"/>
    <col min="15817" max="15817" width="15.42578125" style="3" customWidth="1"/>
    <col min="15818" max="15820" width="14.85546875" style="3" customWidth="1"/>
    <col min="15821" max="15821" width="0.7109375" style="3" customWidth="1"/>
    <col min="15822" max="15822" width="11" style="3"/>
    <col min="15823" max="15823" width="15.7109375" style="3" customWidth="1"/>
    <col min="15824" max="15825" width="14.85546875" style="3" customWidth="1"/>
    <col min="15826" max="15826" width="3.28515625" style="3" customWidth="1"/>
    <col min="15827" max="15827" width="20.140625" style="3" customWidth="1"/>
    <col min="15828" max="15828" width="3.28515625" style="3" customWidth="1"/>
    <col min="15829" max="15833" width="11" style="3"/>
    <col min="15834" max="15846" width="4.7109375" style="3" customWidth="1"/>
    <col min="15847" max="16056" width="11" style="3"/>
    <col min="16057" max="16057" width="0.7109375" style="3" customWidth="1"/>
    <col min="16058" max="16058" width="6.5703125" style="3" customWidth="1"/>
    <col min="16059" max="16059" width="13.5703125" style="3" customWidth="1"/>
    <col min="16060" max="16060" width="13.42578125" style="3" customWidth="1"/>
    <col min="16061" max="16062" width="12.5703125" style="3" customWidth="1"/>
    <col min="16063" max="16063" width="14.85546875" style="3" customWidth="1"/>
    <col min="16064" max="16064" width="20.7109375" style="3" customWidth="1"/>
    <col min="16065" max="16065" width="12.5703125" style="3" customWidth="1"/>
    <col min="16066" max="16066" width="13" style="3" customWidth="1"/>
    <col min="16067" max="16067" width="16" style="3" customWidth="1"/>
    <col min="16068" max="16068" width="6.42578125" style="3" customWidth="1"/>
    <col min="16069" max="16069" width="16" style="3" customWidth="1"/>
    <col min="16070" max="16070" width="2.85546875" style="3" customWidth="1"/>
    <col min="16071" max="16071" width="0.85546875" style="3" customWidth="1"/>
    <col min="16072" max="16072" width="11" style="3"/>
    <col min="16073" max="16073" width="15.42578125" style="3" customWidth="1"/>
    <col min="16074" max="16076" width="14.85546875" style="3" customWidth="1"/>
    <col min="16077" max="16077" width="0.7109375" style="3" customWidth="1"/>
    <col min="16078" max="16078" width="11" style="3"/>
    <col min="16079" max="16079" width="15.7109375" style="3" customWidth="1"/>
    <col min="16080" max="16081" width="14.85546875" style="3" customWidth="1"/>
    <col min="16082" max="16082" width="3.28515625" style="3" customWidth="1"/>
    <col min="16083" max="16083" width="20.140625" style="3" customWidth="1"/>
    <col min="16084" max="16084" width="3.28515625" style="3" customWidth="1"/>
    <col min="16085" max="16089" width="11" style="3"/>
    <col min="16090" max="16102" width="4.7109375" style="3" customWidth="1"/>
    <col min="16103" max="16384" width="11" style="3"/>
  </cols>
  <sheetData>
    <row r="1" spans="1:28" s="1" customFormat="1" ht="19.5" customHeight="1">
      <c r="A1" s="236"/>
      <c r="B1" s="237"/>
      <c r="C1" s="179" t="s">
        <v>0</v>
      </c>
      <c r="D1" s="179"/>
      <c r="E1" s="179"/>
      <c r="F1" s="179"/>
      <c r="G1" s="179"/>
      <c r="H1" s="179"/>
      <c r="I1" s="179"/>
      <c r="J1" s="179"/>
      <c r="K1" s="180" t="s">
        <v>1</v>
      </c>
      <c r="L1" s="181"/>
      <c r="O1" s="80"/>
      <c r="P1" s="80"/>
      <c r="Q1" s="80"/>
      <c r="R1" s="80"/>
      <c r="S1" s="80"/>
      <c r="T1" s="80"/>
      <c r="U1" s="80"/>
      <c r="V1" s="80"/>
      <c r="W1" s="80"/>
      <c r="X1" s="80"/>
      <c r="Y1" s="80"/>
      <c r="Z1" s="80"/>
      <c r="AA1" s="80"/>
    </row>
    <row r="2" spans="1:28" s="1" customFormat="1" ht="19.5" customHeight="1">
      <c r="A2" s="238"/>
      <c r="B2" s="186"/>
      <c r="C2" s="241" t="s">
        <v>2</v>
      </c>
      <c r="D2" s="241"/>
      <c r="E2" s="241"/>
      <c r="F2" s="241"/>
      <c r="G2" s="241"/>
      <c r="H2" s="241"/>
      <c r="I2" s="241"/>
      <c r="J2" s="241"/>
      <c r="K2" s="182" t="s">
        <v>89</v>
      </c>
      <c r="L2" s="183"/>
      <c r="O2" s="80"/>
      <c r="P2" s="80"/>
      <c r="Q2" s="80"/>
      <c r="R2" s="80"/>
      <c r="S2" s="80"/>
      <c r="T2" s="80"/>
      <c r="U2" s="80"/>
      <c r="V2" s="80"/>
      <c r="W2" s="80"/>
      <c r="X2" s="80"/>
      <c r="Y2" s="80"/>
      <c r="Z2" s="80"/>
      <c r="AA2" s="80"/>
    </row>
    <row r="3" spans="1:28" s="1" customFormat="1" ht="19.5" customHeight="1">
      <c r="A3" s="238"/>
      <c r="B3" s="186"/>
      <c r="C3" s="241"/>
      <c r="D3" s="241"/>
      <c r="E3" s="241"/>
      <c r="F3" s="241"/>
      <c r="G3" s="241"/>
      <c r="H3" s="241"/>
      <c r="I3" s="241"/>
      <c r="J3" s="241"/>
      <c r="K3" s="182" t="s">
        <v>3</v>
      </c>
      <c r="L3" s="183"/>
      <c r="Q3" s="132"/>
      <c r="R3" s="80"/>
      <c r="T3" s="132" t="s">
        <v>4</v>
      </c>
      <c r="U3" s="132"/>
      <c r="V3" s="80"/>
      <c r="W3" s="80"/>
      <c r="X3" s="80"/>
      <c r="Y3" s="80"/>
      <c r="Z3" s="80"/>
      <c r="AA3" s="80"/>
    </row>
    <row r="4" spans="1:28" s="1" customFormat="1" ht="19.5" customHeight="1" thickBot="1">
      <c r="A4" s="239"/>
      <c r="B4" s="240"/>
      <c r="C4" s="242"/>
      <c r="D4" s="242"/>
      <c r="E4" s="242"/>
      <c r="F4" s="242"/>
      <c r="G4" s="242"/>
      <c r="H4" s="242"/>
      <c r="I4" s="242"/>
      <c r="J4" s="242"/>
      <c r="K4" s="184" t="s">
        <v>88</v>
      </c>
      <c r="L4" s="185"/>
      <c r="Q4" s="132"/>
      <c r="R4" s="80"/>
      <c r="S4" s="132"/>
      <c r="T4" s="132"/>
      <c r="U4" s="132"/>
      <c r="V4" s="80"/>
      <c r="W4" s="80"/>
      <c r="X4" s="80"/>
      <c r="Y4" s="80"/>
      <c r="Z4" s="80"/>
      <c r="AA4" s="80"/>
    </row>
    <row r="5" spans="1:28" s="1" customFormat="1" ht="3.95" customHeight="1" thickBot="1">
      <c r="A5" s="5"/>
      <c r="B5" s="186"/>
      <c r="C5" s="186"/>
      <c r="D5" s="186"/>
      <c r="E5" s="186"/>
      <c r="F5" s="186"/>
      <c r="G5" s="186"/>
      <c r="H5" s="186"/>
      <c r="I5" s="186"/>
      <c r="J5" s="186"/>
      <c r="K5" s="186"/>
      <c r="L5" s="81"/>
      <c r="Q5" s="132"/>
      <c r="R5" s="132"/>
      <c r="T5" s="132"/>
      <c r="U5" s="132"/>
      <c r="V5" s="80"/>
      <c r="W5" s="80"/>
      <c r="X5" s="80"/>
      <c r="Y5" s="80"/>
      <c r="Z5" s="80"/>
      <c r="AA5" s="80"/>
      <c r="AB5" s="80"/>
    </row>
    <row r="6" spans="1:28" s="1" customFormat="1" ht="22.5" customHeight="1">
      <c r="A6" s="6"/>
      <c r="B6" s="7" t="s">
        <v>5</v>
      </c>
      <c r="C6" s="273" t="s">
        <v>91</v>
      </c>
      <c r="D6" s="273"/>
      <c r="E6" s="273"/>
      <c r="F6" s="273"/>
      <c r="G6" s="273"/>
      <c r="H6" s="188" t="s">
        <v>6</v>
      </c>
      <c r="I6" s="188"/>
      <c r="J6" s="189">
        <v>45884</v>
      </c>
      <c r="K6" s="189"/>
      <c r="L6" s="190"/>
      <c r="Q6" s="80"/>
      <c r="R6" s="80"/>
      <c r="T6" s="133" t="s">
        <v>7</v>
      </c>
      <c r="U6" s="80"/>
      <c r="V6" s="80"/>
      <c r="W6" s="80"/>
      <c r="X6" s="80"/>
      <c r="Y6" s="80"/>
      <c r="Z6" s="80"/>
      <c r="AA6" s="80"/>
      <c r="AB6" s="80"/>
    </row>
    <row r="7" spans="1:28" s="1" customFormat="1" ht="24.75" customHeight="1">
      <c r="A7" s="5"/>
      <c r="B7" s="9" t="s">
        <v>8</v>
      </c>
      <c r="C7" s="274" t="s">
        <v>92</v>
      </c>
      <c r="D7" s="274"/>
      <c r="E7" s="274"/>
      <c r="F7" s="274"/>
      <c r="G7" s="274"/>
      <c r="H7" s="192" t="s">
        <v>9</v>
      </c>
      <c r="I7" s="192"/>
      <c r="J7" s="193">
        <v>45894</v>
      </c>
      <c r="K7" s="193"/>
      <c r="L7" s="194"/>
      <c r="Q7" s="80"/>
      <c r="R7" s="80"/>
      <c r="T7" s="133" t="s">
        <v>10</v>
      </c>
      <c r="U7" s="80"/>
      <c r="V7" s="80"/>
      <c r="W7" s="80"/>
      <c r="X7" s="80"/>
      <c r="Y7" s="80"/>
      <c r="Z7" s="80"/>
      <c r="AA7" s="80"/>
      <c r="AB7" s="80"/>
    </row>
    <row r="8" spans="1:28" s="1" customFormat="1" ht="22.5" customHeight="1">
      <c r="A8" s="5"/>
      <c r="B8" s="9" t="s">
        <v>11</v>
      </c>
      <c r="C8" s="271" t="s">
        <v>12</v>
      </c>
      <c r="D8" s="272"/>
      <c r="E8" s="272"/>
      <c r="F8" s="272"/>
      <c r="G8" s="272"/>
      <c r="H8" s="192" t="s">
        <v>13</v>
      </c>
      <c r="I8" s="192"/>
      <c r="J8" s="193">
        <v>45922</v>
      </c>
      <c r="K8" s="193"/>
      <c r="L8" s="194"/>
      <c r="Q8" s="80"/>
      <c r="R8" s="80"/>
      <c r="S8" s="1">
        <f>17-2.57</f>
        <v>14.43</v>
      </c>
      <c r="T8" s="133" t="s">
        <v>14</v>
      </c>
      <c r="U8" s="80"/>
      <c r="V8" s="80"/>
      <c r="W8" s="80"/>
      <c r="X8" s="80"/>
      <c r="Y8" s="80"/>
      <c r="Z8" s="80"/>
      <c r="AA8" s="80"/>
      <c r="AB8" s="80"/>
    </row>
    <row r="9" spans="1:28" s="1" customFormat="1" ht="22.5" customHeight="1">
      <c r="A9" s="5"/>
      <c r="B9" s="9" t="s">
        <v>15</v>
      </c>
      <c r="C9" s="202" t="s">
        <v>93</v>
      </c>
      <c r="D9" s="202"/>
      <c r="E9" s="202"/>
      <c r="F9" s="202"/>
      <c r="G9" s="202"/>
      <c r="H9" s="192" t="s">
        <v>16</v>
      </c>
      <c r="I9" s="192"/>
      <c r="J9" s="82" t="s">
        <v>17</v>
      </c>
      <c r="K9" s="83" t="s">
        <v>90</v>
      </c>
      <c r="L9" s="84" t="s">
        <v>85</v>
      </c>
      <c r="Q9" s="80"/>
      <c r="R9" s="80"/>
      <c r="T9" s="133" t="s">
        <v>18</v>
      </c>
      <c r="U9" s="80"/>
      <c r="V9" s="80"/>
      <c r="W9" s="80"/>
      <c r="X9" s="80"/>
      <c r="Y9" s="80"/>
      <c r="Z9" s="80"/>
      <c r="AA9" s="80"/>
      <c r="AB9" s="80"/>
    </row>
    <row r="10" spans="1:28" s="1" customFormat="1" ht="22.5" customHeight="1">
      <c r="A10" s="5"/>
      <c r="B10" s="10" t="s">
        <v>19</v>
      </c>
      <c r="C10" s="202" t="s">
        <v>20</v>
      </c>
      <c r="D10" s="202"/>
      <c r="E10" s="202"/>
      <c r="F10" s="202"/>
      <c r="G10" s="202"/>
      <c r="H10" s="196" t="s">
        <v>21</v>
      </c>
      <c r="I10" s="196"/>
      <c r="J10" s="197" t="str">
        <f>CONCATENATE(K9,," ",L9,"-",D12,"-",F12)</f>
        <v>056 25-CAV-AP4-4</v>
      </c>
      <c r="K10" s="197"/>
      <c r="L10" s="198"/>
      <c r="Q10" s="80"/>
      <c r="R10" s="80"/>
      <c r="T10" s="133" t="s">
        <v>22</v>
      </c>
      <c r="U10" s="80"/>
      <c r="V10" s="80"/>
      <c r="W10" s="80"/>
      <c r="X10" s="80"/>
      <c r="Y10" s="80"/>
      <c r="Z10" s="80"/>
      <c r="AA10" s="80"/>
      <c r="AB10" s="80"/>
    </row>
    <row r="11" spans="1:28" s="1" customFormat="1" ht="3.95" customHeight="1" thickBot="1">
      <c r="A11" s="11"/>
      <c r="B11" s="199"/>
      <c r="C11" s="199"/>
      <c r="D11" s="199"/>
      <c r="E11" s="199"/>
      <c r="F11" s="199"/>
      <c r="G11" s="199"/>
      <c r="H11" s="199"/>
      <c r="I11" s="199"/>
      <c r="J11" s="199"/>
      <c r="K11" s="199"/>
      <c r="L11" s="85"/>
      <c r="Q11" s="80"/>
      <c r="R11" s="80"/>
      <c r="T11" s="133"/>
      <c r="U11" s="80"/>
      <c r="V11" s="80"/>
      <c r="W11" s="80"/>
      <c r="X11" s="80"/>
      <c r="Y11" s="80"/>
      <c r="Z11" s="80"/>
      <c r="AA11" s="80"/>
      <c r="AB11" s="80"/>
    </row>
    <row r="12" spans="1:28" s="1" customFormat="1" ht="22.5" customHeight="1">
      <c r="A12" s="6"/>
      <c r="B12" s="7" t="s">
        <v>23</v>
      </c>
      <c r="C12" s="12" t="s">
        <v>10</v>
      </c>
      <c r="D12" s="13" t="s">
        <v>97</v>
      </c>
      <c r="E12" s="14" t="s">
        <v>24</v>
      </c>
      <c r="F12" s="200">
        <v>4</v>
      </c>
      <c r="G12" s="200"/>
      <c r="H12" s="201" t="s">
        <v>25</v>
      </c>
      <c r="I12" s="201"/>
      <c r="J12" s="86">
        <v>1.2</v>
      </c>
      <c r="K12" s="87" t="s">
        <v>26</v>
      </c>
      <c r="L12" s="88">
        <v>1.5</v>
      </c>
      <c r="Q12" s="80"/>
      <c r="R12" s="80"/>
      <c r="T12" s="133"/>
      <c r="U12" s="80"/>
      <c r="V12" s="80"/>
      <c r="W12" s="80"/>
      <c r="X12" s="80"/>
      <c r="Y12" s="80"/>
      <c r="Z12" s="80"/>
      <c r="AA12" s="80"/>
      <c r="AB12" s="80"/>
    </row>
    <row r="13" spans="1:28" s="1" customFormat="1" ht="22.5" customHeight="1">
      <c r="A13" s="5"/>
      <c r="B13" s="9" t="s">
        <v>27</v>
      </c>
      <c r="C13" s="202" t="s">
        <v>98</v>
      </c>
      <c r="D13" s="202"/>
      <c r="E13" s="202"/>
      <c r="F13" s="202"/>
      <c r="G13" s="202"/>
      <c r="H13" s="202"/>
      <c r="I13" s="202"/>
      <c r="J13" s="202"/>
      <c r="K13" s="202"/>
      <c r="L13" s="203"/>
      <c r="O13" s="1">
        <f>-MOD1</f>
        <v>0</v>
      </c>
      <c r="Q13" s="80"/>
      <c r="R13" s="80"/>
      <c r="T13" s="133"/>
      <c r="U13" s="80"/>
      <c r="V13" s="80"/>
      <c r="W13" s="80"/>
      <c r="X13" s="80"/>
      <c r="Y13" s="80"/>
      <c r="Z13" s="80"/>
      <c r="AA13" s="80"/>
      <c r="AB13" s="80"/>
    </row>
    <row r="14" spans="1:28" s="1" customFormat="1" ht="6.95" customHeight="1" thickBot="1">
      <c r="A14" s="11"/>
      <c r="B14" s="15"/>
      <c r="C14" s="16"/>
      <c r="D14" s="16"/>
      <c r="E14" s="16"/>
      <c r="F14" s="16"/>
      <c r="G14" s="16"/>
      <c r="H14" s="16"/>
      <c r="I14" s="16"/>
      <c r="J14" s="16"/>
      <c r="K14" s="16"/>
      <c r="L14" s="89"/>
      <c r="P14" s="80"/>
      <c r="Q14" s="80"/>
      <c r="R14" s="80"/>
      <c r="S14" s="80"/>
      <c r="T14" s="80"/>
      <c r="U14" s="80"/>
      <c r="V14" s="80"/>
      <c r="W14" s="80"/>
      <c r="X14" s="80"/>
      <c r="Y14" s="80"/>
      <c r="Z14" s="80"/>
      <c r="AA14" s="80"/>
      <c r="AB14" s="80"/>
    </row>
    <row r="15" spans="1:28" ht="14.25" customHeight="1" thickBot="1">
      <c r="A15" s="17"/>
      <c r="B15" s="18"/>
      <c r="C15" s="18"/>
      <c r="D15" s="18"/>
      <c r="E15" s="18"/>
      <c r="F15" s="18"/>
      <c r="G15" s="18"/>
      <c r="H15" s="18"/>
      <c r="I15" s="18"/>
      <c r="J15" s="18"/>
      <c r="K15" s="18"/>
      <c r="L15" s="90"/>
    </row>
    <row r="16" spans="1:28" ht="22.5" customHeight="1" thickBot="1">
      <c r="A16" s="204"/>
      <c r="B16" s="205"/>
      <c r="C16" s="205"/>
      <c r="D16" s="205"/>
      <c r="E16" s="205"/>
      <c r="F16" s="205"/>
      <c r="G16" s="205"/>
      <c r="H16" s="205"/>
      <c r="I16" s="205"/>
      <c r="J16" s="205"/>
      <c r="K16" s="205"/>
      <c r="L16" s="206"/>
    </row>
    <row r="17" spans="1:17" ht="22.5" customHeight="1" thickBot="1">
      <c r="A17" s="17"/>
      <c r="B17" s="18"/>
      <c r="C17" s="18"/>
      <c r="D17" s="18"/>
      <c r="E17" s="18"/>
      <c r="F17" s="18"/>
      <c r="G17" s="19"/>
      <c r="H17" s="19"/>
      <c r="I17" s="19"/>
      <c r="J17" s="19"/>
      <c r="K17" s="19"/>
      <c r="L17" s="91"/>
    </row>
    <row r="18" spans="1:17" s="2" customFormat="1" ht="22.5" customHeight="1" thickBot="1">
      <c r="A18" s="207" t="s">
        <v>28</v>
      </c>
      <c r="B18" s="208"/>
      <c r="C18" s="208"/>
      <c r="D18" s="208"/>
      <c r="E18" s="209"/>
      <c r="F18" s="20"/>
      <c r="G18" s="207" t="s">
        <v>28</v>
      </c>
      <c r="H18" s="208"/>
      <c r="I18" s="208"/>
      <c r="J18" s="208"/>
      <c r="K18" s="208"/>
      <c r="L18" s="209"/>
      <c r="O18" s="92"/>
    </row>
    <row r="19" spans="1:17" s="2" customFormat="1" ht="27.75" customHeight="1" thickBot="1">
      <c r="A19" s="210"/>
      <c r="B19" s="211"/>
      <c r="C19" s="211"/>
      <c r="D19" s="22" t="s">
        <v>29</v>
      </c>
      <c r="E19" s="23" t="s">
        <v>30</v>
      </c>
      <c r="F19" s="24"/>
      <c r="G19" s="243" t="s">
        <v>31</v>
      </c>
      <c r="H19" s="244"/>
      <c r="I19" s="212" t="s">
        <v>32</v>
      </c>
      <c r="J19" s="213"/>
      <c r="K19" s="214" t="s">
        <v>33</v>
      </c>
      <c r="L19" s="215"/>
    </row>
    <row r="20" spans="1:17" s="2" customFormat="1" ht="22.5" customHeight="1">
      <c r="A20" s="216" t="s">
        <v>34</v>
      </c>
      <c r="B20" s="217"/>
      <c r="C20" s="25"/>
      <c r="D20" s="26">
        <v>905</v>
      </c>
      <c r="E20" s="27">
        <v>905</v>
      </c>
      <c r="F20" s="28"/>
      <c r="G20" s="245"/>
      <c r="H20" s="246"/>
      <c r="I20" s="93" t="s">
        <v>35</v>
      </c>
      <c r="J20" s="94" t="s">
        <v>36</v>
      </c>
      <c r="K20" s="95" t="s">
        <v>37</v>
      </c>
      <c r="L20" s="150" t="s">
        <v>36</v>
      </c>
      <c r="N20" s="92"/>
    </row>
    <row r="21" spans="1:17" s="2" customFormat="1" ht="22.5" customHeight="1">
      <c r="A21" s="216" t="s">
        <v>38</v>
      </c>
      <c r="B21" s="217"/>
      <c r="C21" s="25" t="s">
        <v>39</v>
      </c>
      <c r="D21" s="160">
        <v>15.5</v>
      </c>
      <c r="E21" s="161">
        <f>D21</f>
        <v>15.5</v>
      </c>
      <c r="F21" s="31"/>
      <c r="G21" s="96" t="s">
        <v>40</v>
      </c>
      <c r="H21" s="32" t="s">
        <v>41</v>
      </c>
      <c r="I21" s="96" t="s">
        <v>42</v>
      </c>
      <c r="J21" s="32" t="s">
        <v>43</v>
      </c>
      <c r="K21" s="96" t="s">
        <v>42</v>
      </c>
      <c r="L21" s="151" t="s">
        <v>43</v>
      </c>
      <c r="N21" s="97"/>
    </row>
    <row r="22" spans="1:17" s="2" customFormat="1" ht="22.5" customHeight="1">
      <c r="A22" s="216" t="s">
        <v>44</v>
      </c>
      <c r="B22" s="217"/>
      <c r="C22" s="25" t="s">
        <v>39</v>
      </c>
      <c r="D22" s="160">
        <v>14</v>
      </c>
      <c r="E22" s="161">
        <f>D22+E39</f>
        <v>14</v>
      </c>
      <c r="F22" s="31"/>
      <c r="G22" s="145">
        <v>0</v>
      </c>
      <c r="H22" s="33">
        <v>0</v>
      </c>
      <c r="I22" s="144">
        <v>0</v>
      </c>
      <c r="J22" s="143">
        <v>0</v>
      </c>
      <c r="K22" s="144">
        <v>0</v>
      </c>
      <c r="L22" s="152">
        <v>0</v>
      </c>
      <c r="N22" s="97"/>
      <c r="O22" s="2">
        <v>0.155</v>
      </c>
      <c r="Q22" s="2">
        <v>1.6E-2</v>
      </c>
    </row>
    <row r="23" spans="1:17" s="2" customFormat="1" ht="22.5" customHeight="1">
      <c r="A23" s="216" t="s">
        <v>45</v>
      </c>
      <c r="B23" s="217"/>
      <c r="C23" s="34" t="s">
        <v>46</v>
      </c>
      <c r="D23" s="35">
        <v>10594</v>
      </c>
      <c r="E23" s="36">
        <v>10926</v>
      </c>
      <c r="F23" s="31"/>
      <c r="G23" s="145">
        <v>5.0000000000000001E-3</v>
      </c>
      <c r="H23" s="33">
        <v>0.127</v>
      </c>
      <c r="I23" s="144">
        <v>0.155</v>
      </c>
      <c r="J23" s="33">
        <f t="shared" ref="J23:J34" si="0">((I23/19.32)*10)</f>
        <v>8.0227743271221535E-2</v>
      </c>
      <c r="K23" s="98">
        <v>1.6E-2</v>
      </c>
      <c r="L23" s="153">
        <f t="shared" ref="L23:L34" si="1">((K23/19.32)*10)</f>
        <v>8.2815734989648039E-3</v>
      </c>
      <c r="N23" s="97"/>
      <c r="O23" s="2">
        <v>0.27400000000000002</v>
      </c>
      <c r="Q23" s="2">
        <v>3.4000000000000002E-2</v>
      </c>
    </row>
    <row r="24" spans="1:17" s="2" customFormat="1" ht="22.5" customHeight="1">
      <c r="A24" s="216" t="s">
        <v>47</v>
      </c>
      <c r="B24" s="217"/>
      <c r="C24" s="34" t="s">
        <v>46</v>
      </c>
      <c r="D24" s="35">
        <v>5926</v>
      </c>
      <c r="E24" s="37">
        <f>D24</f>
        <v>5926</v>
      </c>
      <c r="F24" s="38"/>
      <c r="G24" s="145">
        <v>2.5000000000000001E-2</v>
      </c>
      <c r="H24" s="33">
        <v>0.63500000000000001</v>
      </c>
      <c r="I24" s="144">
        <v>0.27400000000000002</v>
      </c>
      <c r="J24" s="33">
        <f t="shared" si="0"/>
        <v>0.14182194616977226</v>
      </c>
      <c r="K24" s="98">
        <v>3.4000000000000002E-2</v>
      </c>
      <c r="L24" s="153">
        <f t="shared" si="1"/>
        <v>1.7598343685300208E-2</v>
      </c>
      <c r="N24" s="97"/>
      <c r="O24" s="2">
        <v>0.41699999999999998</v>
      </c>
      <c r="Q24" s="2">
        <v>4.8000000000000001E-2</v>
      </c>
    </row>
    <row r="25" spans="1:17" s="2" customFormat="1" ht="22.5" customHeight="1">
      <c r="A25" s="216" t="s">
        <v>48</v>
      </c>
      <c r="B25" s="217"/>
      <c r="C25" s="34" t="s">
        <v>46</v>
      </c>
      <c r="D25" s="39">
        <f>+D23-D24</f>
        <v>4668</v>
      </c>
      <c r="E25" s="40">
        <f>E23-E24</f>
        <v>5000</v>
      </c>
      <c r="F25" s="41"/>
      <c r="G25" s="145">
        <v>0.05</v>
      </c>
      <c r="H25" s="33">
        <v>1.27</v>
      </c>
      <c r="I25" s="144">
        <v>0.41699999999999998</v>
      </c>
      <c r="J25" s="33">
        <f t="shared" si="0"/>
        <v>0.21583850931677018</v>
      </c>
      <c r="K25" s="98">
        <v>4.8000000000000001E-2</v>
      </c>
      <c r="L25" s="153">
        <f t="shared" si="1"/>
        <v>2.4844720496894412E-2</v>
      </c>
      <c r="N25" s="97"/>
      <c r="O25" s="2">
        <v>0.52100000000000002</v>
      </c>
      <c r="Q25" s="2">
        <v>6.3E-2</v>
      </c>
    </row>
    <row r="26" spans="1:17" s="2" customFormat="1" ht="22.5" customHeight="1">
      <c r="A26" s="216" t="s">
        <v>49</v>
      </c>
      <c r="B26" s="217"/>
      <c r="C26" s="34" t="s">
        <v>50</v>
      </c>
      <c r="D26" s="39">
        <f>((PI()*(D21*D21))/4)*D22</f>
        <v>2641.6867225873175</v>
      </c>
      <c r="E26" s="40">
        <f>((PI()*(E21*E21))/4)*E22</f>
        <v>2641.6867225873175</v>
      </c>
      <c r="F26" s="41"/>
      <c r="G26" s="145">
        <v>7.4999999999999997E-2</v>
      </c>
      <c r="H26" s="33">
        <v>1.905</v>
      </c>
      <c r="I26" s="144">
        <v>0.52100000000000002</v>
      </c>
      <c r="J26" s="33">
        <f t="shared" si="0"/>
        <v>0.26966873706004141</v>
      </c>
      <c r="K26" s="98">
        <v>6.3E-2</v>
      </c>
      <c r="L26" s="153">
        <f t="shared" si="1"/>
        <v>3.2608695652173912E-2</v>
      </c>
      <c r="N26" s="97"/>
      <c r="O26" s="2">
        <v>0.60699999999999998</v>
      </c>
      <c r="Q26" s="2">
        <v>0.08</v>
      </c>
    </row>
    <row r="27" spans="1:17" s="2" customFormat="1" ht="22.5" customHeight="1">
      <c r="A27" s="216" t="s">
        <v>51</v>
      </c>
      <c r="B27" s="217"/>
      <c r="C27" s="34" t="s">
        <v>52</v>
      </c>
      <c r="D27" s="42">
        <f>D25/D26</f>
        <v>1.7670528303326116</v>
      </c>
      <c r="E27" s="43">
        <f>E25/E26</f>
        <v>1.8927301096107665</v>
      </c>
      <c r="F27" s="44"/>
      <c r="G27" s="146">
        <v>0.1</v>
      </c>
      <c r="H27" s="45">
        <v>2.54</v>
      </c>
      <c r="I27" s="154">
        <v>0.60699999999999998</v>
      </c>
      <c r="J27" s="45">
        <f t="shared" si="0"/>
        <v>0.31418219461697716</v>
      </c>
      <c r="K27" s="158">
        <v>0.08</v>
      </c>
      <c r="L27" s="155">
        <f t="shared" si="1"/>
        <v>4.1407867494824016E-2</v>
      </c>
      <c r="N27" s="97"/>
      <c r="O27" s="2">
        <v>0.69</v>
      </c>
      <c r="Q27" s="2">
        <v>9.8000000000000004E-2</v>
      </c>
    </row>
    <row r="28" spans="1:17" s="2" customFormat="1" ht="22.5" customHeight="1" thickBot="1">
      <c r="A28" s="218" t="s">
        <v>53</v>
      </c>
      <c r="B28" s="219"/>
      <c r="C28" s="46" t="s">
        <v>52</v>
      </c>
      <c r="D28" s="47">
        <f>D27/(1+D34/100)</f>
        <v>1.4560785986488034</v>
      </c>
      <c r="E28" s="48">
        <f>E27/(1+E34/100)</f>
        <v>1.5147492340501616</v>
      </c>
      <c r="F28" s="49"/>
      <c r="G28" s="145">
        <v>0.125</v>
      </c>
      <c r="H28" s="33">
        <v>3.1749999999999998</v>
      </c>
      <c r="I28" s="144">
        <v>0.69</v>
      </c>
      <c r="J28" s="33">
        <f t="shared" si="0"/>
        <v>0.3571428571428571</v>
      </c>
      <c r="K28" s="98">
        <v>9.8000000000000004E-2</v>
      </c>
      <c r="L28" s="153">
        <f t="shared" si="1"/>
        <v>5.0724637681159424E-2</v>
      </c>
      <c r="N28" s="97"/>
      <c r="O28" s="2">
        <v>0.75900000000000001</v>
      </c>
      <c r="Q28" s="2">
        <v>0.113</v>
      </c>
    </row>
    <row r="29" spans="1:17" s="2" customFormat="1" ht="22.5" customHeight="1" thickBot="1">
      <c r="A29" s="207" t="s">
        <v>54</v>
      </c>
      <c r="B29" s="208" t="s">
        <v>54</v>
      </c>
      <c r="C29" s="208"/>
      <c r="D29" s="208"/>
      <c r="E29" s="209"/>
      <c r="F29" s="49"/>
      <c r="G29" s="147">
        <v>0.15</v>
      </c>
      <c r="H29" s="33">
        <v>3.81</v>
      </c>
      <c r="I29" s="144">
        <v>0.75900000000000001</v>
      </c>
      <c r="J29" s="33">
        <f t="shared" si="0"/>
        <v>0.39285714285714285</v>
      </c>
      <c r="K29" s="98">
        <v>0.113</v>
      </c>
      <c r="L29" s="153">
        <f>((K29/19.32)*10)</f>
        <v>5.8488612836438927E-2</v>
      </c>
      <c r="N29" s="97"/>
      <c r="O29" s="2">
        <v>0.81</v>
      </c>
      <c r="Q29" s="2">
        <v>0.125</v>
      </c>
    </row>
    <row r="30" spans="1:17" s="2" customFormat="1" ht="22.5" customHeight="1">
      <c r="A30" s="258" t="s">
        <v>55</v>
      </c>
      <c r="B30" s="259"/>
      <c r="C30" s="50"/>
      <c r="D30" s="51">
        <v>374</v>
      </c>
      <c r="E30" s="52">
        <v>384</v>
      </c>
      <c r="F30" s="44"/>
      <c r="G30" s="145">
        <v>0.17499999999999999</v>
      </c>
      <c r="H30" s="33">
        <v>4.4450000000000003</v>
      </c>
      <c r="I30" s="144">
        <v>0.81</v>
      </c>
      <c r="J30" s="33">
        <f t="shared" si="0"/>
        <v>0.41925465838509318</v>
      </c>
      <c r="K30" s="98">
        <v>0.125</v>
      </c>
      <c r="L30" s="153">
        <f t="shared" si="1"/>
        <v>6.4699792960662528E-2</v>
      </c>
      <c r="N30" s="97"/>
      <c r="O30" s="2">
        <v>0.85399999999999998</v>
      </c>
      <c r="Q30" s="2">
        <v>0.13300000000000001</v>
      </c>
    </row>
    <row r="31" spans="1:17" s="2" customFormat="1" ht="22.5" customHeight="1">
      <c r="A31" s="216" t="s">
        <v>56</v>
      </c>
      <c r="B31" s="217"/>
      <c r="C31" s="25" t="s">
        <v>46</v>
      </c>
      <c r="D31" s="53">
        <v>466.14</v>
      </c>
      <c r="E31" s="54">
        <v>583.9</v>
      </c>
      <c r="F31" s="41"/>
      <c r="G31" s="146">
        <v>0.2</v>
      </c>
      <c r="H31" s="45">
        <v>5.08</v>
      </c>
      <c r="I31" s="154">
        <v>0.85399999999999998</v>
      </c>
      <c r="J31" s="45">
        <f t="shared" si="0"/>
        <v>0.44202898550724634</v>
      </c>
      <c r="K31" s="158">
        <v>0.13300000000000001</v>
      </c>
      <c r="L31" s="155">
        <f t="shared" si="1"/>
        <v>6.8840579710144928E-2</v>
      </c>
      <c r="N31" s="97"/>
      <c r="O31" s="2">
        <v>1.0549999999999999</v>
      </c>
      <c r="Q31" s="2">
        <v>0.16800000000000001</v>
      </c>
    </row>
    <row r="32" spans="1:17" s="2" customFormat="1" ht="22.5" customHeight="1">
      <c r="A32" s="216" t="s">
        <v>57</v>
      </c>
      <c r="B32" s="217"/>
      <c r="C32" s="25" t="s">
        <v>46</v>
      </c>
      <c r="D32" s="53">
        <v>401.8</v>
      </c>
      <c r="E32" s="54">
        <v>487.59</v>
      </c>
      <c r="F32" s="49"/>
      <c r="G32" s="145">
        <v>0.3</v>
      </c>
      <c r="H32" s="33">
        <v>7.62</v>
      </c>
      <c r="I32" s="144">
        <v>1.0549999999999999</v>
      </c>
      <c r="J32" s="33">
        <f t="shared" si="0"/>
        <v>0.54606625258799169</v>
      </c>
      <c r="K32" s="98">
        <v>0.16800000000000001</v>
      </c>
      <c r="L32" s="153">
        <f t="shared" si="1"/>
        <v>8.6956521739130432E-2</v>
      </c>
      <c r="N32" s="97"/>
      <c r="O32" s="2">
        <v>1.2150000000000001</v>
      </c>
      <c r="Q32" s="2">
        <v>0.20200000000000001</v>
      </c>
    </row>
    <row r="33" spans="1:18" s="2" customFormat="1" ht="22.5" customHeight="1">
      <c r="A33" s="216" t="s">
        <v>58</v>
      </c>
      <c r="B33" s="217"/>
      <c r="C33" s="25" t="s">
        <v>46</v>
      </c>
      <c r="D33" s="53">
        <v>100.54</v>
      </c>
      <c r="E33" s="54">
        <v>101.63</v>
      </c>
      <c r="F33" s="49"/>
      <c r="G33" s="145">
        <v>0.4</v>
      </c>
      <c r="H33" s="33">
        <v>10.16</v>
      </c>
      <c r="I33" s="144">
        <v>1.2150000000000001</v>
      </c>
      <c r="J33" s="33">
        <f t="shared" si="0"/>
        <v>0.6288819875776398</v>
      </c>
      <c r="K33" s="98">
        <v>0.20200000000000001</v>
      </c>
      <c r="L33" s="153">
        <f t="shared" si="1"/>
        <v>0.10455486542443064</v>
      </c>
      <c r="N33" s="97"/>
      <c r="O33" s="2">
        <v>1.3540000000000001</v>
      </c>
      <c r="Q33" s="2">
        <v>0.23599999999999999</v>
      </c>
    </row>
    <row r="34" spans="1:18" s="2" customFormat="1" ht="22.5" customHeight="1" thickBot="1">
      <c r="A34" s="218" t="s">
        <v>59</v>
      </c>
      <c r="B34" s="219"/>
      <c r="C34" s="46" t="s">
        <v>60</v>
      </c>
      <c r="D34" s="48">
        <f>((D31-D32)/(D32-D33))*100</f>
        <v>21.356967403571659</v>
      </c>
      <c r="E34" s="48">
        <f>((E31-E32)/(E32-E33))*100</f>
        <v>24.953363042802366</v>
      </c>
      <c r="F34" s="49"/>
      <c r="G34" s="148">
        <v>0.5</v>
      </c>
      <c r="H34" s="149">
        <v>12.7</v>
      </c>
      <c r="I34" s="156">
        <v>1.3540000000000001</v>
      </c>
      <c r="J34" s="149">
        <f t="shared" si="0"/>
        <v>0.70082815734989645</v>
      </c>
      <c r="K34" s="159">
        <v>0.23599999999999999</v>
      </c>
      <c r="L34" s="157">
        <f t="shared" si="1"/>
        <v>0.12215320910973083</v>
      </c>
      <c r="N34" s="97"/>
    </row>
    <row r="35" spans="1:18" s="2" customFormat="1" ht="11.25" customHeight="1" thickBot="1">
      <c r="A35" s="55"/>
      <c r="B35" s="56"/>
      <c r="C35" s="57"/>
      <c r="D35" s="58"/>
      <c r="E35" s="58"/>
      <c r="F35" s="59"/>
      <c r="G35" s="58"/>
      <c r="H35" s="58"/>
      <c r="I35" s="58"/>
      <c r="J35" s="58"/>
      <c r="K35" s="58"/>
      <c r="L35" s="99"/>
      <c r="N35" s="97"/>
    </row>
    <row r="36" spans="1:18" s="2" customFormat="1" ht="22.5" customHeight="1" thickBot="1">
      <c r="A36" s="247" t="s">
        <v>61</v>
      </c>
      <c r="B36" s="248"/>
      <c r="C36" s="248"/>
      <c r="D36" s="248"/>
      <c r="E36" s="249"/>
      <c r="F36" s="60"/>
      <c r="G36" s="60"/>
      <c r="H36" s="207" t="s">
        <v>62</v>
      </c>
      <c r="I36" s="208"/>
      <c r="J36" s="208"/>
      <c r="K36" s="209"/>
      <c r="L36" s="100"/>
    </row>
    <row r="37" spans="1:18" s="2" customFormat="1" ht="22.5" customHeight="1" thickBot="1">
      <c r="A37" s="250" t="s">
        <v>63</v>
      </c>
      <c r="B37" s="251"/>
      <c r="C37" s="61" t="s">
        <v>64</v>
      </c>
      <c r="D37" s="252">
        <v>0.1905</v>
      </c>
      <c r="E37" s="253"/>
      <c r="F37" s="62"/>
      <c r="G37" s="62"/>
      <c r="H37" s="63" t="s">
        <v>65</v>
      </c>
      <c r="I37" s="101" t="s">
        <v>86</v>
      </c>
      <c r="J37" s="63" t="s">
        <v>66</v>
      </c>
      <c r="K37" s="102" t="s">
        <v>67</v>
      </c>
      <c r="L37" s="99"/>
    </row>
    <row r="38" spans="1:18" s="2" customFormat="1" ht="22.5" customHeight="1" thickBot="1">
      <c r="A38" s="224" t="s">
        <v>68</v>
      </c>
      <c r="B38" s="225"/>
      <c r="C38" s="64" t="s">
        <v>64</v>
      </c>
      <c r="D38" s="254">
        <v>0.219</v>
      </c>
      <c r="E38" s="255"/>
      <c r="F38" s="62"/>
      <c r="G38" s="62"/>
      <c r="H38" s="256" t="s">
        <v>69</v>
      </c>
      <c r="I38" s="257"/>
      <c r="J38" s="256" t="s">
        <v>70</v>
      </c>
      <c r="K38" s="257"/>
      <c r="L38" s="99"/>
    </row>
    <row r="39" spans="1:18" s="2" customFormat="1" ht="22.5" customHeight="1" thickBot="1">
      <c r="A39" s="224" t="s">
        <v>71</v>
      </c>
      <c r="B39" s="225"/>
      <c r="C39" s="65" t="s">
        <v>39</v>
      </c>
      <c r="D39" s="226">
        <f>(D38-D37)*2.54</f>
        <v>7.2389999999999996E-2</v>
      </c>
      <c r="E39" s="227"/>
      <c r="F39" s="31"/>
      <c r="G39" s="31"/>
      <c r="H39" s="66" t="s">
        <v>72</v>
      </c>
      <c r="I39" s="103">
        <v>4555</v>
      </c>
      <c r="J39" s="228">
        <v>4</v>
      </c>
      <c r="K39" s="229"/>
      <c r="L39" s="99"/>
    </row>
    <row r="40" spans="1:18" s="2" customFormat="1" ht="22.5" customHeight="1" thickBot="1">
      <c r="A40" s="230" t="s">
        <v>73</v>
      </c>
      <c r="B40" s="231"/>
      <c r="C40" s="67" t="s">
        <v>60</v>
      </c>
      <c r="D40" s="232">
        <f>IF(D39&lt;&gt;"",IF(D22&lt;&gt;"",D39/D22*100,""),"")</f>
        <v>0.51707142857142852</v>
      </c>
      <c r="E40" s="233"/>
      <c r="F40" s="68"/>
      <c r="G40" s="68"/>
      <c r="H40" s="69" t="s">
        <v>33</v>
      </c>
      <c r="I40" s="103">
        <v>4555</v>
      </c>
      <c r="J40" s="234">
        <v>4</v>
      </c>
      <c r="K40" s="235"/>
      <c r="L40" s="99"/>
      <c r="P40" s="105"/>
      <c r="Q40" s="105"/>
      <c r="R40" s="134"/>
    </row>
    <row r="41" spans="1:18" s="2" customFormat="1" ht="33" customHeight="1" thickBot="1">
      <c r="A41" s="70"/>
      <c r="B41" s="58"/>
      <c r="C41" s="58"/>
      <c r="D41" s="58"/>
      <c r="E41" s="58"/>
      <c r="F41" s="71"/>
      <c r="G41" s="58"/>
      <c r="H41" s="72"/>
      <c r="I41" s="106"/>
      <c r="J41" s="107" t="str">
        <f>I19</f>
        <v>ANTES DE INMERSIÓN</v>
      </c>
      <c r="K41" s="107" t="str">
        <f>K19</f>
        <v xml:space="preserve">DESPUÉS DE INMERSIÓN </v>
      </c>
      <c r="L41" s="108"/>
      <c r="M41" s="20"/>
      <c r="P41" s="109"/>
      <c r="Q41" s="135"/>
      <c r="R41" s="136"/>
    </row>
    <row r="42" spans="1:18" s="2" customFormat="1" ht="22.5" customHeight="1">
      <c r="A42" s="70"/>
      <c r="B42" s="58"/>
      <c r="C42" s="58"/>
      <c r="D42" s="58"/>
      <c r="E42" s="58"/>
      <c r="F42" s="58"/>
      <c r="G42" s="58"/>
      <c r="H42" s="21" t="s">
        <v>74</v>
      </c>
      <c r="I42" s="110" t="s">
        <v>60</v>
      </c>
      <c r="J42" s="111">
        <f>(J27/6.9)*100</f>
        <v>4.5533651393764805</v>
      </c>
      <c r="K42" s="112">
        <f>(L27/6.9)*100</f>
        <v>0.60011402166411609</v>
      </c>
      <c r="L42" s="99"/>
      <c r="P42" s="113"/>
      <c r="Q42" s="137"/>
      <c r="R42" s="136"/>
    </row>
    <row r="43" spans="1:18" s="2" customFormat="1" ht="22.5" customHeight="1" thickBot="1">
      <c r="A43" s="70"/>
      <c r="B43" s="73"/>
      <c r="C43" s="58"/>
      <c r="D43" s="58"/>
      <c r="E43" s="58"/>
      <c r="F43" s="58"/>
      <c r="G43" s="58"/>
      <c r="H43" s="74" t="s">
        <v>75</v>
      </c>
      <c r="I43" s="114" t="s">
        <v>60</v>
      </c>
      <c r="J43" s="115">
        <f>(J31/10.3)*100</f>
        <v>4.2915435486140421</v>
      </c>
      <c r="K43" s="116">
        <f>(L31/10.3)*100</f>
        <v>0.66835514281694097</v>
      </c>
      <c r="L43" s="99"/>
      <c r="P43" s="117"/>
      <c r="Q43" s="138"/>
      <c r="R43" s="139"/>
    </row>
    <row r="44" spans="1:18" s="2" customFormat="1" ht="22.5" customHeight="1" thickBot="1">
      <c r="A44" s="70"/>
      <c r="B44" s="73"/>
      <c r="C44" s="73"/>
      <c r="D44" s="73"/>
      <c r="E44" s="58"/>
      <c r="F44" s="58"/>
      <c r="G44" s="58"/>
      <c r="H44" s="74" t="s">
        <v>76</v>
      </c>
      <c r="I44" s="114"/>
      <c r="J44" s="118">
        <f>IF(J42&lt;J43,J42,J43)</f>
        <v>4.2915435486140421</v>
      </c>
      <c r="K44" s="119">
        <f>IF(K42&lt;K43,K42,K43)</f>
        <v>0.60011402166411609</v>
      </c>
      <c r="L44" s="120"/>
      <c r="M44" s="121"/>
    </row>
    <row r="45" spans="1:18" s="2" customFormat="1" ht="22.5" customHeight="1">
      <c r="A45" s="70"/>
      <c r="B45" s="58"/>
      <c r="C45" s="58"/>
      <c r="D45" s="59"/>
      <c r="E45" s="59"/>
      <c r="F45" s="59"/>
      <c r="G45" s="58"/>
      <c r="H45" s="4"/>
      <c r="I45" s="122"/>
      <c r="J45" s="122"/>
      <c r="K45" s="122"/>
      <c r="L45" s="99"/>
    </row>
    <row r="46" spans="1:18" s="2" customFormat="1" ht="22.5" customHeight="1">
      <c r="A46" s="70"/>
      <c r="B46" s="58"/>
      <c r="C46" s="58"/>
      <c r="D46" s="59"/>
      <c r="E46" s="59"/>
      <c r="F46" s="59"/>
      <c r="G46" s="58"/>
      <c r="H46" s="222" t="s">
        <v>77</v>
      </c>
      <c r="I46" s="222"/>
      <c r="J46" s="222" t="s">
        <v>78</v>
      </c>
      <c r="K46" s="222"/>
      <c r="L46" s="223"/>
    </row>
    <row r="47" spans="1:18" s="2" customFormat="1" ht="22.5" customHeight="1">
      <c r="A47" s="70"/>
      <c r="B47" s="56"/>
      <c r="C47" s="75"/>
      <c r="D47" s="76"/>
      <c r="E47" s="59"/>
      <c r="F47" s="59"/>
      <c r="G47" s="59"/>
      <c r="H47" s="77"/>
      <c r="I47" s="123"/>
      <c r="J47" s="77"/>
      <c r="K47" s="123"/>
      <c r="L47" s="124"/>
    </row>
    <row r="48" spans="1:18" s="2" customFormat="1" ht="22.5" customHeight="1">
      <c r="A48" s="70"/>
      <c r="B48" s="56"/>
      <c r="C48" s="75"/>
      <c r="D48" s="76"/>
      <c r="E48" s="59"/>
      <c r="F48" s="59"/>
      <c r="G48" s="59"/>
      <c r="H48" s="77"/>
      <c r="I48" s="123"/>
      <c r="J48" s="77"/>
      <c r="K48" s="123"/>
      <c r="L48" s="124"/>
    </row>
    <row r="49" spans="1:15" s="2" customFormat="1" ht="22.5" customHeight="1">
      <c r="A49" s="70"/>
      <c r="B49" s="56"/>
      <c r="C49" s="75"/>
      <c r="D49" s="76"/>
      <c r="E49" s="59"/>
      <c r="F49" s="59"/>
      <c r="G49" s="59"/>
      <c r="H49" s="77"/>
      <c r="I49" s="123"/>
      <c r="J49" s="77"/>
      <c r="K49"/>
      <c r="L49" s="124"/>
    </row>
    <row r="50" spans="1:15" s="2" customFormat="1" ht="22.5" customHeight="1">
      <c r="A50" s="70"/>
      <c r="B50" s="56"/>
      <c r="C50" s="75"/>
      <c r="D50" s="76"/>
      <c r="E50" s="59"/>
      <c r="F50" s="59"/>
      <c r="G50" s="59"/>
      <c r="H50" s="78"/>
      <c r="I50" s="78"/>
      <c r="J50" s="77"/>
      <c r="K50" s="123"/>
      <c r="L50" s="124"/>
    </row>
    <row r="51" spans="1:15" s="2" customFormat="1" ht="22.5" customHeight="1">
      <c r="A51" s="70"/>
      <c r="B51" s="56"/>
      <c r="C51" s="75"/>
      <c r="D51" s="76"/>
      <c r="E51" s="59"/>
      <c r="F51" s="59"/>
      <c r="G51" s="59"/>
      <c r="H51" s="220" t="s">
        <v>79</v>
      </c>
      <c r="I51" s="220"/>
      <c r="J51" s="220" t="s">
        <v>87</v>
      </c>
      <c r="K51" s="220"/>
      <c r="L51" s="221"/>
    </row>
    <row r="52" spans="1:15" s="2" customFormat="1" ht="22.5" customHeight="1">
      <c r="A52" s="70"/>
      <c r="B52" s="56"/>
      <c r="C52" s="75"/>
      <c r="D52" s="76"/>
      <c r="E52" s="59"/>
      <c r="F52" s="59"/>
      <c r="G52" s="59"/>
      <c r="H52" s="222" t="s">
        <v>80</v>
      </c>
      <c r="I52" s="222"/>
      <c r="J52" s="222" t="s">
        <v>81</v>
      </c>
      <c r="K52" s="222"/>
      <c r="L52" s="223"/>
    </row>
    <row r="53" spans="1:15" s="2" customFormat="1" ht="22.5" customHeight="1">
      <c r="A53" s="70"/>
      <c r="B53" s="56"/>
      <c r="C53" s="75"/>
      <c r="D53" s="76"/>
      <c r="E53" s="59"/>
      <c r="F53" s="59"/>
      <c r="G53" s="59"/>
      <c r="H53" s="186"/>
      <c r="I53" s="186"/>
      <c r="J53" s="186"/>
      <c r="K53" s="186"/>
      <c r="L53" s="99"/>
    </row>
    <row r="54" spans="1:15" s="2" customFormat="1" ht="22.5" customHeight="1">
      <c r="A54" s="70"/>
      <c r="B54" s="56"/>
      <c r="C54" s="75"/>
      <c r="D54" s="76"/>
      <c r="E54" s="59"/>
      <c r="F54" s="59"/>
      <c r="G54" s="59"/>
      <c r="H54" s="58"/>
      <c r="I54" s="58"/>
      <c r="J54" s="125"/>
      <c r="K54" s="58"/>
      <c r="L54" s="99"/>
      <c r="M54" s="126"/>
      <c r="N54" s="3"/>
    </row>
    <row r="55" spans="1:15" s="2" customFormat="1" ht="22.5" customHeight="1">
      <c r="A55" s="70"/>
      <c r="B55" s="56"/>
      <c r="C55" s="75"/>
      <c r="D55" s="76"/>
      <c r="E55" s="59"/>
      <c r="F55" s="59"/>
      <c r="G55" s="59"/>
      <c r="H55" s="58"/>
      <c r="I55" s="58"/>
      <c r="J55" s="127"/>
      <c r="K55" s="125"/>
      <c r="L55" s="128"/>
      <c r="M55" s="129"/>
      <c r="N55" s="3"/>
    </row>
    <row r="56" spans="1:15" s="2" customFormat="1" ht="22.5" customHeight="1">
      <c r="A56" s="264" t="s">
        <v>82</v>
      </c>
      <c r="B56" s="265"/>
      <c r="C56" s="265"/>
      <c r="D56" s="265"/>
      <c r="E56" s="265"/>
      <c r="F56" s="265"/>
      <c r="G56" s="265"/>
      <c r="H56" s="265"/>
      <c r="I56" s="265"/>
      <c r="J56" s="265"/>
      <c r="K56" s="265"/>
      <c r="L56" s="266"/>
      <c r="M56" s="130"/>
      <c r="N56" s="3"/>
      <c r="O56" s="3"/>
    </row>
    <row r="57" spans="1:15" s="2" customFormat="1" ht="22.5" customHeight="1">
      <c r="A57" s="261" t="s">
        <v>83</v>
      </c>
      <c r="B57" s="262"/>
      <c r="C57" s="262"/>
      <c r="D57" s="262"/>
      <c r="E57" s="262"/>
      <c r="F57" s="262"/>
      <c r="G57" s="262"/>
      <c r="H57" s="262"/>
      <c r="I57" s="262"/>
      <c r="J57" s="262"/>
      <c r="K57" s="262"/>
      <c r="L57" s="263"/>
      <c r="M57" s="3"/>
      <c r="N57" s="3"/>
      <c r="O57" s="3"/>
    </row>
    <row r="58" spans="1:15" s="2" customFormat="1" ht="22.5" customHeight="1">
      <c r="A58" s="261"/>
      <c r="B58" s="262"/>
      <c r="C58" s="262"/>
      <c r="D58" s="262"/>
      <c r="E58" s="262"/>
      <c r="F58" s="262"/>
      <c r="G58" s="262"/>
      <c r="H58" s="262"/>
      <c r="I58" s="262"/>
      <c r="J58" s="262"/>
      <c r="K58" s="262"/>
      <c r="L58" s="263"/>
      <c r="M58" s="3"/>
      <c r="N58" s="3"/>
      <c r="O58" s="3"/>
    </row>
    <row r="59" spans="1:15" ht="15" thickBot="1">
      <c r="A59" s="267" t="s">
        <v>84</v>
      </c>
      <c r="B59" s="268"/>
      <c r="C59" s="268"/>
      <c r="D59" s="268"/>
      <c r="E59" s="268"/>
      <c r="F59" s="268"/>
      <c r="G59" s="268"/>
      <c r="H59" s="268"/>
      <c r="I59" s="268"/>
      <c r="J59" s="268"/>
      <c r="K59" s="268"/>
      <c r="L59" s="269"/>
    </row>
    <row r="63" spans="1:15">
      <c r="I63" s="79"/>
      <c r="J63" s="79"/>
      <c r="K63" s="79"/>
      <c r="L63" s="79"/>
      <c r="M63" s="79"/>
      <c r="N63" s="79"/>
    </row>
    <row r="64" spans="1:15" ht="15" customHeight="1">
      <c r="E64" s="79"/>
      <c r="F64" s="79"/>
      <c r="G64" s="79"/>
      <c r="H64" s="79"/>
      <c r="I64" s="131"/>
      <c r="J64" s="131"/>
      <c r="K64" s="131"/>
      <c r="L64" s="131"/>
      <c r="M64" s="131"/>
      <c r="N64" s="131"/>
    </row>
    <row r="65" spans="2:18" ht="15" customHeight="1">
      <c r="E65" s="131"/>
      <c r="F65" s="131"/>
      <c r="G65" s="131"/>
      <c r="H65" s="131"/>
      <c r="I65" s="131"/>
      <c r="J65" s="131"/>
      <c r="K65" s="131"/>
      <c r="L65" s="131"/>
      <c r="M65" s="131"/>
      <c r="N65" s="131"/>
    </row>
    <row r="66" spans="2:18" ht="15" customHeight="1">
      <c r="E66" s="131"/>
      <c r="F66" s="131"/>
      <c r="G66" s="131"/>
      <c r="H66" s="131"/>
      <c r="I66" s="131"/>
      <c r="J66" s="131"/>
      <c r="K66" s="131"/>
      <c r="L66" s="131"/>
      <c r="M66" s="131"/>
      <c r="N66" s="131"/>
    </row>
    <row r="67" spans="2:18" ht="30.75" customHeight="1">
      <c r="E67" s="131"/>
      <c r="F67" s="131"/>
      <c r="G67" s="131"/>
      <c r="H67" s="131"/>
      <c r="I67" s="140"/>
      <c r="J67" s="140"/>
      <c r="K67" s="140"/>
      <c r="L67" s="140"/>
      <c r="M67" s="140"/>
      <c r="N67" s="140"/>
    </row>
    <row r="68" spans="2:18" ht="15" customHeight="1">
      <c r="E68" s="140"/>
      <c r="F68" s="140"/>
      <c r="G68" s="140"/>
      <c r="H68" s="140"/>
      <c r="I68" s="140"/>
      <c r="J68" s="140"/>
      <c r="K68" s="140"/>
      <c r="L68" s="140"/>
      <c r="M68" s="140"/>
      <c r="N68" s="140"/>
    </row>
    <row r="69" spans="2:18" ht="15" customHeight="1">
      <c r="E69" s="140"/>
      <c r="F69" s="140"/>
      <c r="G69" s="140"/>
      <c r="H69" s="140"/>
    </row>
    <row r="70" spans="2:18" ht="31.5" customHeight="1">
      <c r="E70" s="270"/>
      <c r="F70" s="270"/>
      <c r="G70" s="270"/>
      <c r="H70" s="270"/>
      <c r="I70" s="270"/>
      <c r="J70" s="270"/>
      <c r="K70" s="270"/>
      <c r="L70" s="270"/>
      <c r="M70" s="270"/>
      <c r="N70" s="270"/>
      <c r="O70" s="270"/>
      <c r="P70" s="270"/>
    </row>
    <row r="71" spans="2:18" ht="24" customHeight="1">
      <c r="B71" s="141"/>
      <c r="C71" s="142"/>
      <c r="D71" s="142"/>
      <c r="E71" s="142"/>
      <c r="F71" s="142"/>
      <c r="G71" s="142"/>
      <c r="H71" s="142"/>
      <c r="I71" s="142"/>
      <c r="J71" s="142"/>
      <c r="K71" s="142"/>
      <c r="L71" s="142"/>
      <c r="M71" s="142"/>
      <c r="N71" s="142"/>
      <c r="O71" s="142"/>
      <c r="P71" s="142"/>
      <c r="Q71" s="142"/>
      <c r="R71" s="142"/>
    </row>
    <row r="72" spans="2:18" ht="15" customHeight="1">
      <c r="B72" s="142"/>
      <c r="C72" s="142"/>
      <c r="D72" s="260"/>
      <c r="E72" s="260"/>
      <c r="F72" s="260"/>
      <c r="G72" s="260"/>
      <c r="H72" s="260"/>
      <c r="I72" s="260"/>
      <c r="J72" s="260"/>
      <c r="K72" s="260"/>
      <c r="L72" s="260"/>
      <c r="M72" s="260"/>
      <c r="N72" s="260"/>
      <c r="O72" s="260"/>
      <c r="P72" s="142"/>
      <c r="Q72" s="142"/>
      <c r="R72" s="142"/>
    </row>
    <row r="73" spans="2:18">
      <c r="D73" s="260"/>
      <c r="E73" s="260"/>
      <c r="F73" s="260"/>
      <c r="G73" s="260"/>
      <c r="H73" s="260"/>
      <c r="I73" s="260"/>
      <c r="J73" s="260"/>
      <c r="K73" s="260"/>
      <c r="L73" s="260"/>
      <c r="M73" s="260"/>
      <c r="N73" s="260"/>
      <c r="O73" s="260"/>
    </row>
  </sheetData>
  <sheetProtection formatCells="0" formatColumns="0" insertColumns="0" insertRows="0" deleteColumns="0" deleteRows="0"/>
  <mergeCells count="74">
    <mergeCell ref="A1:B4"/>
    <mergeCell ref="C1:J1"/>
    <mergeCell ref="K1:L1"/>
    <mergeCell ref="C2:J4"/>
    <mergeCell ref="K2:L2"/>
    <mergeCell ref="K3:L3"/>
    <mergeCell ref="K4:L4"/>
    <mergeCell ref="B5:K5"/>
    <mergeCell ref="C6:G6"/>
    <mergeCell ref="H6:I6"/>
    <mergeCell ref="J6:L6"/>
    <mergeCell ref="C7:G7"/>
    <mergeCell ref="H7:I7"/>
    <mergeCell ref="J7:L7"/>
    <mergeCell ref="A18:E18"/>
    <mergeCell ref="G18:L18"/>
    <mergeCell ref="C8:G8"/>
    <mergeCell ref="H8:I8"/>
    <mergeCell ref="J8:L8"/>
    <mergeCell ref="C9:G9"/>
    <mergeCell ref="H9:I9"/>
    <mergeCell ref="C10:G10"/>
    <mergeCell ref="H10:I10"/>
    <mergeCell ref="J10:L10"/>
    <mergeCell ref="B11:K11"/>
    <mergeCell ref="F12:G12"/>
    <mergeCell ref="H12:I12"/>
    <mergeCell ref="C13:L13"/>
    <mergeCell ref="A16:L16"/>
    <mergeCell ref="A27:B27"/>
    <mergeCell ref="A19:C19"/>
    <mergeCell ref="G19:H20"/>
    <mergeCell ref="I19:J19"/>
    <mergeCell ref="K19:L19"/>
    <mergeCell ref="A20:B20"/>
    <mergeCell ref="A21:B21"/>
    <mergeCell ref="A22:B22"/>
    <mergeCell ref="A23:B23"/>
    <mergeCell ref="A24:B24"/>
    <mergeCell ref="A25:B25"/>
    <mergeCell ref="A26:B26"/>
    <mergeCell ref="A38:B38"/>
    <mergeCell ref="D38:E38"/>
    <mergeCell ref="H38:I38"/>
    <mergeCell ref="J38:K38"/>
    <mergeCell ref="A28:B28"/>
    <mergeCell ref="A29:E29"/>
    <mergeCell ref="A30:B30"/>
    <mergeCell ref="A31:B31"/>
    <mergeCell ref="A32:B32"/>
    <mergeCell ref="A33:B33"/>
    <mergeCell ref="A34:B34"/>
    <mergeCell ref="A36:E36"/>
    <mergeCell ref="H36:K36"/>
    <mergeCell ref="A37:B37"/>
    <mergeCell ref="D37:E37"/>
    <mergeCell ref="A39:B39"/>
    <mergeCell ref="D39:E39"/>
    <mergeCell ref="J39:K39"/>
    <mergeCell ref="A40:B40"/>
    <mergeCell ref="D40:E40"/>
    <mergeCell ref="J40:K40"/>
    <mergeCell ref="D72:O73"/>
    <mergeCell ref="H46:I46"/>
    <mergeCell ref="J46:L46"/>
    <mergeCell ref="H51:I51"/>
    <mergeCell ref="J51:L51"/>
    <mergeCell ref="H52:I52"/>
    <mergeCell ref="J52:L52"/>
    <mergeCell ref="H53:K53"/>
    <mergeCell ref="A56:L56"/>
    <mergeCell ref="A57:L58"/>
    <mergeCell ref="A59:L59"/>
    <mergeCell ref="E70:P70"/>
  </mergeCells>
  <conditionalFormatting sqref="C6:G10">
    <cfRule type="containsBlanks" dxfId="199" priority="10">
      <formula>LEN(TRIM(C6))=0</formula>
    </cfRule>
  </conditionalFormatting>
  <conditionalFormatting sqref="C13:L13">
    <cfRule type="containsBlanks" dxfId="198" priority="9">
      <formula>LEN(TRIM(C13))=0</formula>
    </cfRule>
  </conditionalFormatting>
  <conditionalFormatting sqref="D20:D24">
    <cfRule type="containsBlanks" dxfId="197" priority="4">
      <formula>LEN(TRIM(D20))=0</formula>
    </cfRule>
  </conditionalFormatting>
  <conditionalFormatting sqref="D37:D38">
    <cfRule type="containsBlanks" dxfId="196" priority="3">
      <formula>LEN(TRIM(D37))=0</formula>
    </cfRule>
  </conditionalFormatting>
  <conditionalFormatting sqref="D30:E33">
    <cfRule type="containsBlanks" dxfId="195" priority="1">
      <formula>LEN(TRIM(D30))=0</formula>
    </cfRule>
  </conditionalFormatting>
  <conditionalFormatting sqref="E23">
    <cfRule type="containsBlanks" dxfId="194" priority="5">
      <formula>LEN(TRIM(E23))=0</formula>
    </cfRule>
  </conditionalFormatting>
  <conditionalFormatting sqref="F12:G12">
    <cfRule type="containsBlanks" dxfId="193" priority="8">
      <formula>LEN(TRIM(F12))=0</formula>
    </cfRule>
  </conditionalFormatting>
  <conditionalFormatting sqref="I22:I34">
    <cfRule type="containsBlanks" dxfId="192" priority="7">
      <formula>LEN(TRIM(I22))=0</formula>
    </cfRule>
  </conditionalFormatting>
  <conditionalFormatting sqref="I37">
    <cfRule type="containsBlanks" dxfId="191" priority="2">
      <formula>LEN(TRIM(I37))=0</formula>
    </cfRule>
  </conditionalFormatting>
  <conditionalFormatting sqref="K22:K34">
    <cfRule type="containsBlanks" dxfId="190" priority="6">
      <formula>LEN(TRIM(K22))=0</formula>
    </cfRule>
  </conditionalFormatting>
  <dataValidations count="2">
    <dataValidation type="list" allowBlank="1" showInputMessage="1" showErrorMessage="1" sqref="C12" xr:uid="{00000000-0002-0000-0300-000000000000}">
      <formula1>$T$6:$T$13</formula1>
    </dataValidation>
    <dataValidation type="list" allowBlank="1" showInputMessage="1" showErrorMessage="1" sqref="I37" xr:uid="{00000000-0002-0000-0300-000001000000}">
      <formula1>"5 kN, 50 kN"</formula1>
    </dataValidation>
  </dataValidations>
  <printOptions horizontalCentered="1" verticalCentered="1"/>
  <pageMargins left="0.31496062992126" right="0.31496062992126" top="0.15748031496063" bottom="0.55118110236220497" header="0" footer="0.118110236220472"/>
  <pageSetup scale="42" fitToWidth="0" fitToHeight="0" orientation="landscape" r:id="rId1"/>
  <headerFooter>
    <oddFooter>&amp;C&amp;"Arial,Normal"&amp;10GEODELTA S.A.S. Calle 68 B bis No 70 C 95, Móvil: 318 7902368 Bogotá DC - Colombia
e-mail: laboratoriogeodelta@gmail.com</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8" tint="0.59999389629810485"/>
  </sheetPr>
  <dimension ref="A1:AB73"/>
  <sheetViews>
    <sheetView showGridLines="0" view="pageBreakPreview" topLeftCell="A6" zoomScale="85" zoomScaleNormal="50" zoomScalePageLayoutView="50" workbookViewId="0">
      <selection activeCell="K2" sqref="K2:L2"/>
    </sheetView>
  </sheetViews>
  <sheetFormatPr baseColWidth="10" defaultColWidth="11" defaultRowHeight="14.25"/>
  <cols>
    <col min="1" max="1" width="10.5703125" style="3" customWidth="1"/>
    <col min="2" max="2" width="35.42578125" style="3" customWidth="1"/>
    <col min="3" max="3" width="20.85546875" style="3" customWidth="1"/>
    <col min="4" max="5" width="26.7109375" style="3" customWidth="1"/>
    <col min="6" max="6" width="3.7109375" style="3" customWidth="1"/>
    <col min="7" max="7" width="29.140625" style="3" customWidth="1"/>
    <col min="8" max="8" width="27.140625" style="3" customWidth="1"/>
    <col min="9" max="10" width="24.28515625" style="3" customWidth="1"/>
    <col min="11" max="12" width="22.42578125" style="3" customWidth="1"/>
    <col min="13" max="13" width="1.85546875" style="3" customWidth="1"/>
    <col min="14" max="16" width="12.85546875" style="3" customWidth="1"/>
    <col min="17" max="17" width="6.5703125" style="3" customWidth="1"/>
    <col min="18" max="18" width="6.28515625" style="3" customWidth="1"/>
    <col min="19" max="184" width="11" style="3"/>
    <col min="185" max="185" width="0.7109375" style="3" customWidth="1"/>
    <col min="186" max="186" width="6.5703125" style="3" customWidth="1"/>
    <col min="187" max="187" width="13.5703125" style="3" customWidth="1"/>
    <col min="188" max="188" width="13.42578125" style="3" customWidth="1"/>
    <col min="189" max="190" width="12.5703125" style="3" customWidth="1"/>
    <col min="191" max="191" width="14.85546875" style="3" customWidth="1"/>
    <col min="192" max="192" width="20.7109375" style="3" customWidth="1"/>
    <col min="193" max="193" width="12.5703125" style="3" customWidth="1"/>
    <col min="194" max="194" width="13" style="3" customWidth="1"/>
    <col min="195" max="195" width="16" style="3" customWidth="1"/>
    <col min="196" max="196" width="6.42578125" style="3" customWidth="1"/>
    <col min="197" max="197" width="16" style="3" customWidth="1"/>
    <col min="198" max="198" width="2.85546875" style="3" customWidth="1"/>
    <col min="199" max="199" width="0.85546875" style="3" customWidth="1"/>
    <col min="200" max="200" width="11" style="3"/>
    <col min="201" max="201" width="15.42578125" style="3" customWidth="1"/>
    <col min="202" max="204" width="14.85546875" style="3" customWidth="1"/>
    <col min="205" max="205" width="0.7109375" style="3" customWidth="1"/>
    <col min="206" max="206" width="11" style="3"/>
    <col min="207" max="207" width="15.7109375" style="3" customWidth="1"/>
    <col min="208" max="209" width="14.85546875" style="3" customWidth="1"/>
    <col min="210" max="210" width="3.28515625" style="3" customWidth="1"/>
    <col min="211" max="211" width="20.140625" style="3" customWidth="1"/>
    <col min="212" max="212" width="3.28515625" style="3" customWidth="1"/>
    <col min="213" max="217" width="11" style="3"/>
    <col min="218" max="230" width="4.7109375" style="3" customWidth="1"/>
    <col min="231" max="440" width="11" style="3"/>
    <col min="441" max="441" width="0.7109375" style="3" customWidth="1"/>
    <col min="442" max="442" width="6.5703125" style="3" customWidth="1"/>
    <col min="443" max="443" width="13.5703125" style="3" customWidth="1"/>
    <col min="444" max="444" width="13.42578125" style="3" customWidth="1"/>
    <col min="445" max="446" width="12.5703125" style="3" customWidth="1"/>
    <col min="447" max="447" width="14.85546875" style="3" customWidth="1"/>
    <col min="448" max="448" width="20.7109375" style="3" customWidth="1"/>
    <col min="449" max="449" width="12.5703125" style="3" customWidth="1"/>
    <col min="450" max="450" width="13" style="3" customWidth="1"/>
    <col min="451" max="451" width="16" style="3" customWidth="1"/>
    <col min="452" max="452" width="6.42578125" style="3" customWidth="1"/>
    <col min="453" max="453" width="16" style="3" customWidth="1"/>
    <col min="454" max="454" width="2.85546875" style="3" customWidth="1"/>
    <col min="455" max="455" width="0.85546875" style="3" customWidth="1"/>
    <col min="456" max="456" width="11" style="3"/>
    <col min="457" max="457" width="15.42578125" style="3" customWidth="1"/>
    <col min="458" max="460" width="14.85546875" style="3" customWidth="1"/>
    <col min="461" max="461" width="0.7109375" style="3" customWidth="1"/>
    <col min="462" max="462" width="11" style="3"/>
    <col min="463" max="463" width="15.7109375" style="3" customWidth="1"/>
    <col min="464" max="465" width="14.85546875" style="3" customWidth="1"/>
    <col min="466" max="466" width="3.28515625" style="3" customWidth="1"/>
    <col min="467" max="467" width="20.140625" style="3" customWidth="1"/>
    <col min="468" max="468" width="3.28515625" style="3" customWidth="1"/>
    <col min="469" max="473" width="11" style="3"/>
    <col min="474" max="486" width="4.7109375" style="3" customWidth="1"/>
    <col min="487" max="696" width="11" style="3"/>
    <col min="697" max="697" width="0.7109375" style="3" customWidth="1"/>
    <col min="698" max="698" width="6.5703125" style="3" customWidth="1"/>
    <col min="699" max="699" width="13.5703125" style="3" customWidth="1"/>
    <col min="700" max="700" width="13.42578125" style="3" customWidth="1"/>
    <col min="701" max="702" width="12.5703125" style="3" customWidth="1"/>
    <col min="703" max="703" width="14.85546875" style="3" customWidth="1"/>
    <col min="704" max="704" width="20.7109375" style="3" customWidth="1"/>
    <col min="705" max="705" width="12.5703125" style="3" customWidth="1"/>
    <col min="706" max="706" width="13" style="3" customWidth="1"/>
    <col min="707" max="707" width="16" style="3" customWidth="1"/>
    <col min="708" max="708" width="6.42578125" style="3" customWidth="1"/>
    <col min="709" max="709" width="16" style="3" customWidth="1"/>
    <col min="710" max="710" width="2.85546875" style="3" customWidth="1"/>
    <col min="711" max="711" width="0.85546875" style="3" customWidth="1"/>
    <col min="712" max="712" width="11" style="3"/>
    <col min="713" max="713" width="15.42578125" style="3" customWidth="1"/>
    <col min="714" max="716" width="14.85546875" style="3" customWidth="1"/>
    <col min="717" max="717" width="0.7109375" style="3" customWidth="1"/>
    <col min="718" max="718" width="11" style="3"/>
    <col min="719" max="719" width="15.7109375" style="3" customWidth="1"/>
    <col min="720" max="721" width="14.85546875" style="3" customWidth="1"/>
    <col min="722" max="722" width="3.28515625" style="3" customWidth="1"/>
    <col min="723" max="723" width="20.140625" style="3" customWidth="1"/>
    <col min="724" max="724" width="3.28515625" style="3" customWidth="1"/>
    <col min="725" max="729" width="11" style="3"/>
    <col min="730" max="742" width="4.7109375" style="3" customWidth="1"/>
    <col min="743" max="952" width="11" style="3"/>
    <col min="953" max="953" width="0.7109375" style="3" customWidth="1"/>
    <col min="954" max="954" width="6.5703125" style="3" customWidth="1"/>
    <col min="955" max="955" width="13.5703125" style="3" customWidth="1"/>
    <col min="956" max="956" width="13.42578125" style="3" customWidth="1"/>
    <col min="957" max="958" width="12.5703125" style="3" customWidth="1"/>
    <col min="959" max="959" width="14.85546875" style="3" customWidth="1"/>
    <col min="960" max="960" width="20.7109375" style="3" customWidth="1"/>
    <col min="961" max="961" width="12.5703125" style="3" customWidth="1"/>
    <col min="962" max="962" width="13" style="3" customWidth="1"/>
    <col min="963" max="963" width="16" style="3" customWidth="1"/>
    <col min="964" max="964" width="6.42578125" style="3" customWidth="1"/>
    <col min="965" max="965" width="16" style="3" customWidth="1"/>
    <col min="966" max="966" width="2.85546875" style="3" customWidth="1"/>
    <col min="967" max="967" width="0.85546875" style="3" customWidth="1"/>
    <col min="968" max="968" width="11" style="3"/>
    <col min="969" max="969" width="15.42578125" style="3" customWidth="1"/>
    <col min="970" max="972" width="14.85546875" style="3" customWidth="1"/>
    <col min="973" max="973" width="0.7109375" style="3" customWidth="1"/>
    <col min="974" max="974" width="11" style="3"/>
    <col min="975" max="975" width="15.7109375" style="3" customWidth="1"/>
    <col min="976" max="977" width="14.85546875" style="3" customWidth="1"/>
    <col min="978" max="978" width="3.28515625" style="3" customWidth="1"/>
    <col min="979" max="979" width="20.140625" style="3" customWidth="1"/>
    <col min="980" max="980" width="3.28515625" style="3" customWidth="1"/>
    <col min="981" max="985" width="11" style="3"/>
    <col min="986" max="998" width="4.7109375" style="3" customWidth="1"/>
    <col min="999" max="1208" width="11" style="3"/>
    <col min="1209" max="1209" width="0.7109375" style="3" customWidth="1"/>
    <col min="1210" max="1210" width="6.5703125" style="3" customWidth="1"/>
    <col min="1211" max="1211" width="13.5703125" style="3" customWidth="1"/>
    <col min="1212" max="1212" width="13.42578125" style="3" customWidth="1"/>
    <col min="1213" max="1214" width="12.5703125" style="3" customWidth="1"/>
    <col min="1215" max="1215" width="14.85546875" style="3" customWidth="1"/>
    <col min="1216" max="1216" width="20.7109375" style="3" customWidth="1"/>
    <col min="1217" max="1217" width="12.5703125" style="3" customWidth="1"/>
    <col min="1218" max="1218" width="13" style="3" customWidth="1"/>
    <col min="1219" max="1219" width="16" style="3" customWidth="1"/>
    <col min="1220" max="1220" width="6.42578125" style="3" customWidth="1"/>
    <col min="1221" max="1221" width="16" style="3" customWidth="1"/>
    <col min="1222" max="1222" width="2.85546875" style="3" customWidth="1"/>
    <col min="1223" max="1223" width="0.85546875" style="3" customWidth="1"/>
    <col min="1224" max="1224" width="11" style="3"/>
    <col min="1225" max="1225" width="15.42578125" style="3" customWidth="1"/>
    <col min="1226" max="1228" width="14.85546875" style="3" customWidth="1"/>
    <col min="1229" max="1229" width="0.7109375" style="3" customWidth="1"/>
    <col min="1230" max="1230" width="11" style="3"/>
    <col min="1231" max="1231" width="15.7109375" style="3" customWidth="1"/>
    <col min="1232" max="1233" width="14.85546875" style="3" customWidth="1"/>
    <col min="1234" max="1234" width="3.28515625" style="3" customWidth="1"/>
    <col min="1235" max="1235" width="20.140625" style="3" customWidth="1"/>
    <col min="1236" max="1236" width="3.28515625" style="3" customWidth="1"/>
    <col min="1237" max="1241" width="11" style="3"/>
    <col min="1242" max="1254" width="4.7109375" style="3" customWidth="1"/>
    <col min="1255" max="1464" width="11" style="3"/>
    <col min="1465" max="1465" width="0.7109375" style="3" customWidth="1"/>
    <col min="1466" max="1466" width="6.5703125" style="3" customWidth="1"/>
    <col min="1467" max="1467" width="13.5703125" style="3" customWidth="1"/>
    <col min="1468" max="1468" width="13.42578125" style="3" customWidth="1"/>
    <col min="1469" max="1470" width="12.5703125" style="3" customWidth="1"/>
    <col min="1471" max="1471" width="14.85546875" style="3" customWidth="1"/>
    <col min="1472" max="1472" width="20.7109375" style="3" customWidth="1"/>
    <col min="1473" max="1473" width="12.5703125" style="3" customWidth="1"/>
    <col min="1474" max="1474" width="13" style="3" customWidth="1"/>
    <col min="1475" max="1475" width="16" style="3" customWidth="1"/>
    <col min="1476" max="1476" width="6.42578125" style="3" customWidth="1"/>
    <col min="1477" max="1477" width="16" style="3" customWidth="1"/>
    <col min="1478" max="1478" width="2.85546875" style="3" customWidth="1"/>
    <col min="1479" max="1479" width="0.85546875" style="3" customWidth="1"/>
    <col min="1480" max="1480" width="11" style="3"/>
    <col min="1481" max="1481" width="15.42578125" style="3" customWidth="1"/>
    <col min="1482" max="1484" width="14.85546875" style="3" customWidth="1"/>
    <col min="1485" max="1485" width="0.7109375" style="3" customWidth="1"/>
    <col min="1486" max="1486" width="11" style="3"/>
    <col min="1487" max="1487" width="15.7109375" style="3" customWidth="1"/>
    <col min="1488" max="1489" width="14.85546875" style="3" customWidth="1"/>
    <col min="1490" max="1490" width="3.28515625" style="3" customWidth="1"/>
    <col min="1491" max="1491" width="20.140625" style="3" customWidth="1"/>
    <col min="1492" max="1492" width="3.28515625" style="3" customWidth="1"/>
    <col min="1493" max="1497" width="11" style="3"/>
    <col min="1498" max="1510" width="4.7109375" style="3" customWidth="1"/>
    <col min="1511" max="1720" width="11" style="3"/>
    <col min="1721" max="1721" width="0.7109375" style="3" customWidth="1"/>
    <col min="1722" max="1722" width="6.5703125" style="3" customWidth="1"/>
    <col min="1723" max="1723" width="13.5703125" style="3" customWidth="1"/>
    <col min="1724" max="1724" width="13.42578125" style="3" customWidth="1"/>
    <col min="1725" max="1726" width="12.5703125" style="3" customWidth="1"/>
    <col min="1727" max="1727" width="14.85546875" style="3" customWidth="1"/>
    <col min="1728" max="1728" width="20.7109375" style="3" customWidth="1"/>
    <col min="1729" max="1729" width="12.5703125" style="3" customWidth="1"/>
    <col min="1730" max="1730" width="13" style="3" customWidth="1"/>
    <col min="1731" max="1731" width="16" style="3" customWidth="1"/>
    <col min="1732" max="1732" width="6.42578125" style="3" customWidth="1"/>
    <col min="1733" max="1733" width="16" style="3" customWidth="1"/>
    <col min="1734" max="1734" width="2.85546875" style="3" customWidth="1"/>
    <col min="1735" max="1735" width="0.85546875" style="3" customWidth="1"/>
    <col min="1736" max="1736" width="11" style="3"/>
    <col min="1737" max="1737" width="15.42578125" style="3" customWidth="1"/>
    <col min="1738" max="1740" width="14.85546875" style="3" customWidth="1"/>
    <col min="1741" max="1741" width="0.7109375" style="3" customWidth="1"/>
    <col min="1742" max="1742" width="11" style="3"/>
    <col min="1743" max="1743" width="15.7109375" style="3" customWidth="1"/>
    <col min="1744" max="1745" width="14.85546875" style="3" customWidth="1"/>
    <col min="1746" max="1746" width="3.28515625" style="3" customWidth="1"/>
    <col min="1747" max="1747" width="20.140625" style="3" customWidth="1"/>
    <col min="1748" max="1748" width="3.28515625" style="3" customWidth="1"/>
    <col min="1749" max="1753" width="11" style="3"/>
    <col min="1754" max="1766" width="4.7109375" style="3" customWidth="1"/>
    <col min="1767" max="1976" width="11" style="3"/>
    <col min="1977" max="1977" width="0.7109375" style="3" customWidth="1"/>
    <col min="1978" max="1978" width="6.5703125" style="3" customWidth="1"/>
    <col min="1979" max="1979" width="13.5703125" style="3" customWidth="1"/>
    <col min="1980" max="1980" width="13.42578125" style="3" customWidth="1"/>
    <col min="1981" max="1982" width="12.5703125" style="3" customWidth="1"/>
    <col min="1983" max="1983" width="14.85546875" style="3" customWidth="1"/>
    <col min="1984" max="1984" width="20.7109375" style="3" customWidth="1"/>
    <col min="1985" max="1985" width="12.5703125" style="3" customWidth="1"/>
    <col min="1986" max="1986" width="13" style="3" customWidth="1"/>
    <col min="1987" max="1987" width="16" style="3" customWidth="1"/>
    <col min="1988" max="1988" width="6.42578125" style="3" customWidth="1"/>
    <col min="1989" max="1989" width="16" style="3" customWidth="1"/>
    <col min="1990" max="1990" width="2.85546875" style="3" customWidth="1"/>
    <col min="1991" max="1991" width="0.85546875" style="3" customWidth="1"/>
    <col min="1992" max="1992" width="11" style="3"/>
    <col min="1993" max="1993" width="15.42578125" style="3" customWidth="1"/>
    <col min="1994" max="1996" width="14.85546875" style="3" customWidth="1"/>
    <col min="1997" max="1997" width="0.7109375" style="3" customWidth="1"/>
    <col min="1998" max="1998" width="11" style="3"/>
    <col min="1999" max="1999" width="15.7109375" style="3" customWidth="1"/>
    <col min="2000" max="2001" width="14.85546875" style="3" customWidth="1"/>
    <col min="2002" max="2002" width="3.28515625" style="3" customWidth="1"/>
    <col min="2003" max="2003" width="20.140625" style="3" customWidth="1"/>
    <col min="2004" max="2004" width="3.28515625" style="3" customWidth="1"/>
    <col min="2005" max="2009" width="11" style="3"/>
    <col min="2010" max="2022" width="4.7109375" style="3" customWidth="1"/>
    <col min="2023" max="2232" width="11" style="3"/>
    <col min="2233" max="2233" width="0.7109375" style="3" customWidth="1"/>
    <col min="2234" max="2234" width="6.5703125" style="3" customWidth="1"/>
    <col min="2235" max="2235" width="13.5703125" style="3" customWidth="1"/>
    <col min="2236" max="2236" width="13.42578125" style="3" customWidth="1"/>
    <col min="2237" max="2238" width="12.5703125" style="3" customWidth="1"/>
    <col min="2239" max="2239" width="14.85546875" style="3" customWidth="1"/>
    <col min="2240" max="2240" width="20.7109375" style="3" customWidth="1"/>
    <col min="2241" max="2241" width="12.5703125" style="3" customWidth="1"/>
    <col min="2242" max="2242" width="13" style="3" customWidth="1"/>
    <col min="2243" max="2243" width="16" style="3" customWidth="1"/>
    <col min="2244" max="2244" width="6.42578125" style="3" customWidth="1"/>
    <col min="2245" max="2245" width="16" style="3" customWidth="1"/>
    <col min="2246" max="2246" width="2.85546875" style="3" customWidth="1"/>
    <col min="2247" max="2247" width="0.85546875" style="3" customWidth="1"/>
    <col min="2248" max="2248" width="11" style="3"/>
    <col min="2249" max="2249" width="15.42578125" style="3" customWidth="1"/>
    <col min="2250" max="2252" width="14.85546875" style="3" customWidth="1"/>
    <col min="2253" max="2253" width="0.7109375" style="3" customWidth="1"/>
    <col min="2254" max="2254" width="11" style="3"/>
    <col min="2255" max="2255" width="15.7109375" style="3" customWidth="1"/>
    <col min="2256" max="2257" width="14.85546875" style="3" customWidth="1"/>
    <col min="2258" max="2258" width="3.28515625" style="3" customWidth="1"/>
    <col min="2259" max="2259" width="20.140625" style="3" customWidth="1"/>
    <col min="2260" max="2260" width="3.28515625" style="3" customWidth="1"/>
    <col min="2261" max="2265" width="11" style="3"/>
    <col min="2266" max="2278" width="4.7109375" style="3" customWidth="1"/>
    <col min="2279" max="2488" width="11" style="3"/>
    <col min="2489" max="2489" width="0.7109375" style="3" customWidth="1"/>
    <col min="2490" max="2490" width="6.5703125" style="3" customWidth="1"/>
    <col min="2491" max="2491" width="13.5703125" style="3" customWidth="1"/>
    <col min="2492" max="2492" width="13.42578125" style="3" customWidth="1"/>
    <col min="2493" max="2494" width="12.5703125" style="3" customWidth="1"/>
    <col min="2495" max="2495" width="14.85546875" style="3" customWidth="1"/>
    <col min="2496" max="2496" width="20.7109375" style="3" customWidth="1"/>
    <col min="2497" max="2497" width="12.5703125" style="3" customWidth="1"/>
    <col min="2498" max="2498" width="13" style="3" customWidth="1"/>
    <col min="2499" max="2499" width="16" style="3" customWidth="1"/>
    <col min="2500" max="2500" width="6.42578125" style="3" customWidth="1"/>
    <col min="2501" max="2501" width="16" style="3" customWidth="1"/>
    <col min="2502" max="2502" width="2.85546875" style="3" customWidth="1"/>
    <col min="2503" max="2503" width="0.85546875" style="3" customWidth="1"/>
    <col min="2504" max="2504" width="11" style="3"/>
    <col min="2505" max="2505" width="15.42578125" style="3" customWidth="1"/>
    <col min="2506" max="2508" width="14.85546875" style="3" customWidth="1"/>
    <col min="2509" max="2509" width="0.7109375" style="3" customWidth="1"/>
    <col min="2510" max="2510" width="11" style="3"/>
    <col min="2511" max="2511" width="15.7109375" style="3" customWidth="1"/>
    <col min="2512" max="2513" width="14.85546875" style="3" customWidth="1"/>
    <col min="2514" max="2514" width="3.28515625" style="3" customWidth="1"/>
    <col min="2515" max="2515" width="20.140625" style="3" customWidth="1"/>
    <col min="2516" max="2516" width="3.28515625" style="3" customWidth="1"/>
    <col min="2517" max="2521" width="11" style="3"/>
    <col min="2522" max="2534" width="4.7109375" style="3" customWidth="1"/>
    <col min="2535" max="2744" width="11" style="3"/>
    <col min="2745" max="2745" width="0.7109375" style="3" customWidth="1"/>
    <col min="2746" max="2746" width="6.5703125" style="3" customWidth="1"/>
    <col min="2747" max="2747" width="13.5703125" style="3" customWidth="1"/>
    <col min="2748" max="2748" width="13.42578125" style="3" customWidth="1"/>
    <col min="2749" max="2750" width="12.5703125" style="3" customWidth="1"/>
    <col min="2751" max="2751" width="14.85546875" style="3" customWidth="1"/>
    <col min="2752" max="2752" width="20.7109375" style="3" customWidth="1"/>
    <col min="2753" max="2753" width="12.5703125" style="3" customWidth="1"/>
    <col min="2754" max="2754" width="13" style="3" customWidth="1"/>
    <col min="2755" max="2755" width="16" style="3" customWidth="1"/>
    <col min="2756" max="2756" width="6.42578125" style="3" customWidth="1"/>
    <col min="2757" max="2757" width="16" style="3" customWidth="1"/>
    <col min="2758" max="2758" width="2.85546875" style="3" customWidth="1"/>
    <col min="2759" max="2759" width="0.85546875" style="3" customWidth="1"/>
    <col min="2760" max="2760" width="11" style="3"/>
    <col min="2761" max="2761" width="15.42578125" style="3" customWidth="1"/>
    <col min="2762" max="2764" width="14.85546875" style="3" customWidth="1"/>
    <col min="2765" max="2765" width="0.7109375" style="3" customWidth="1"/>
    <col min="2766" max="2766" width="11" style="3"/>
    <col min="2767" max="2767" width="15.7109375" style="3" customWidth="1"/>
    <col min="2768" max="2769" width="14.85546875" style="3" customWidth="1"/>
    <col min="2770" max="2770" width="3.28515625" style="3" customWidth="1"/>
    <col min="2771" max="2771" width="20.140625" style="3" customWidth="1"/>
    <col min="2772" max="2772" width="3.28515625" style="3" customWidth="1"/>
    <col min="2773" max="2777" width="11" style="3"/>
    <col min="2778" max="2790" width="4.7109375" style="3" customWidth="1"/>
    <col min="2791" max="3000" width="11" style="3"/>
    <col min="3001" max="3001" width="0.7109375" style="3" customWidth="1"/>
    <col min="3002" max="3002" width="6.5703125" style="3" customWidth="1"/>
    <col min="3003" max="3003" width="13.5703125" style="3" customWidth="1"/>
    <col min="3004" max="3004" width="13.42578125" style="3" customWidth="1"/>
    <col min="3005" max="3006" width="12.5703125" style="3" customWidth="1"/>
    <col min="3007" max="3007" width="14.85546875" style="3" customWidth="1"/>
    <col min="3008" max="3008" width="20.7109375" style="3" customWidth="1"/>
    <col min="3009" max="3009" width="12.5703125" style="3" customWidth="1"/>
    <col min="3010" max="3010" width="13" style="3" customWidth="1"/>
    <col min="3011" max="3011" width="16" style="3" customWidth="1"/>
    <col min="3012" max="3012" width="6.42578125" style="3" customWidth="1"/>
    <col min="3013" max="3013" width="16" style="3" customWidth="1"/>
    <col min="3014" max="3014" width="2.85546875" style="3" customWidth="1"/>
    <col min="3015" max="3015" width="0.85546875" style="3" customWidth="1"/>
    <col min="3016" max="3016" width="11" style="3"/>
    <col min="3017" max="3017" width="15.42578125" style="3" customWidth="1"/>
    <col min="3018" max="3020" width="14.85546875" style="3" customWidth="1"/>
    <col min="3021" max="3021" width="0.7109375" style="3" customWidth="1"/>
    <col min="3022" max="3022" width="11" style="3"/>
    <col min="3023" max="3023" width="15.7109375" style="3" customWidth="1"/>
    <col min="3024" max="3025" width="14.85546875" style="3" customWidth="1"/>
    <col min="3026" max="3026" width="3.28515625" style="3" customWidth="1"/>
    <col min="3027" max="3027" width="20.140625" style="3" customWidth="1"/>
    <col min="3028" max="3028" width="3.28515625" style="3" customWidth="1"/>
    <col min="3029" max="3033" width="11" style="3"/>
    <col min="3034" max="3046" width="4.7109375" style="3" customWidth="1"/>
    <col min="3047" max="3256" width="11" style="3"/>
    <col min="3257" max="3257" width="0.7109375" style="3" customWidth="1"/>
    <col min="3258" max="3258" width="6.5703125" style="3" customWidth="1"/>
    <col min="3259" max="3259" width="13.5703125" style="3" customWidth="1"/>
    <col min="3260" max="3260" width="13.42578125" style="3" customWidth="1"/>
    <col min="3261" max="3262" width="12.5703125" style="3" customWidth="1"/>
    <col min="3263" max="3263" width="14.85546875" style="3" customWidth="1"/>
    <col min="3264" max="3264" width="20.7109375" style="3" customWidth="1"/>
    <col min="3265" max="3265" width="12.5703125" style="3" customWidth="1"/>
    <col min="3266" max="3266" width="13" style="3" customWidth="1"/>
    <col min="3267" max="3267" width="16" style="3" customWidth="1"/>
    <col min="3268" max="3268" width="6.42578125" style="3" customWidth="1"/>
    <col min="3269" max="3269" width="16" style="3" customWidth="1"/>
    <col min="3270" max="3270" width="2.85546875" style="3" customWidth="1"/>
    <col min="3271" max="3271" width="0.85546875" style="3" customWidth="1"/>
    <col min="3272" max="3272" width="11" style="3"/>
    <col min="3273" max="3273" width="15.42578125" style="3" customWidth="1"/>
    <col min="3274" max="3276" width="14.85546875" style="3" customWidth="1"/>
    <col min="3277" max="3277" width="0.7109375" style="3" customWidth="1"/>
    <col min="3278" max="3278" width="11" style="3"/>
    <col min="3279" max="3279" width="15.7109375" style="3" customWidth="1"/>
    <col min="3280" max="3281" width="14.85546875" style="3" customWidth="1"/>
    <col min="3282" max="3282" width="3.28515625" style="3" customWidth="1"/>
    <col min="3283" max="3283" width="20.140625" style="3" customWidth="1"/>
    <col min="3284" max="3284" width="3.28515625" style="3" customWidth="1"/>
    <col min="3285" max="3289" width="11" style="3"/>
    <col min="3290" max="3302" width="4.7109375" style="3" customWidth="1"/>
    <col min="3303" max="3512" width="11" style="3"/>
    <col min="3513" max="3513" width="0.7109375" style="3" customWidth="1"/>
    <col min="3514" max="3514" width="6.5703125" style="3" customWidth="1"/>
    <col min="3515" max="3515" width="13.5703125" style="3" customWidth="1"/>
    <col min="3516" max="3516" width="13.42578125" style="3" customWidth="1"/>
    <col min="3517" max="3518" width="12.5703125" style="3" customWidth="1"/>
    <col min="3519" max="3519" width="14.85546875" style="3" customWidth="1"/>
    <col min="3520" max="3520" width="20.7109375" style="3" customWidth="1"/>
    <col min="3521" max="3521" width="12.5703125" style="3" customWidth="1"/>
    <col min="3522" max="3522" width="13" style="3" customWidth="1"/>
    <col min="3523" max="3523" width="16" style="3" customWidth="1"/>
    <col min="3524" max="3524" width="6.42578125" style="3" customWidth="1"/>
    <col min="3525" max="3525" width="16" style="3" customWidth="1"/>
    <col min="3526" max="3526" width="2.85546875" style="3" customWidth="1"/>
    <col min="3527" max="3527" width="0.85546875" style="3" customWidth="1"/>
    <col min="3528" max="3528" width="11" style="3"/>
    <col min="3529" max="3529" width="15.42578125" style="3" customWidth="1"/>
    <col min="3530" max="3532" width="14.85546875" style="3" customWidth="1"/>
    <col min="3533" max="3533" width="0.7109375" style="3" customWidth="1"/>
    <col min="3534" max="3534" width="11" style="3"/>
    <col min="3535" max="3535" width="15.7109375" style="3" customWidth="1"/>
    <col min="3536" max="3537" width="14.85546875" style="3" customWidth="1"/>
    <col min="3538" max="3538" width="3.28515625" style="3" customWidth="1"/>
    <col min="3539" max="3539" width="20.140625" style="3" customWidth="1"/>
    <col min="3540" max="3540" width="3.28515625" style="3" customWidth="1"/>
    <col min="3541" max="3545" width="11" style="3"/>
    <col min="3546" max="3558" width="4.7109375" style="3" customWidth="1"/>
    <col min="3559" max="3768" width="11" style="3"/>
    <col min="3769" max="3769" width="0.7109375" style="3" customWidth="1"/>
    <col min="3770" max="3770" width="6.5703125" style="3" customWidth="1"/>
    <col min="3771" max="3771" width="13.5703125" style="3" customWidth="1"/>
    <col min="3772" max="3772" width="13.42578125" style="3" customWidth="1"/>
    <col min="3773" max="3774" width="12.5703125" style="3" customWidth="1"/>
    <col min="3775" max="3775" width="14.85546875" style="3" customWidth="1"/>
    <col min="3776" max="3776" width="20.7109375" style="3" customWidth="1"/>
    <col min="3777" max="3777" width="12.5703125" style="3" customWidth="1"/>
    <col min="3778" max="3778" width="13" style="3" customWidth="1"/>
    <col min="3779" max="3779" width="16" style="3" customWidth="1"/>
    <col min="3780" max="3780" width="6.42578125" style="3" customWidth="1"/>
    <col min="3781" max="3781" width="16" style="3" customWidth="1"/>
    <col min="3782" max="3782" width="2.85546875" style="3" customWidth="1"/>
    <col min="3783" max="3783" width="0.85546875" style="3" customWidth="1"/>
    <col min="3784" max="3784" width="11" style="3"/>
    <col min="3785" max="3785" width="15.42578125" style="3" customWidth="1"/>
    <col min="3786" max="3788" width="14.85546875" style="3" customWidth="1"/>
    <col min="3789" max="3789" width="0.7109375" style="3" customWidth="1"/>
    <col min="3790" max="3790" width="11" style="3"/>
    <col min="3791" max="3791" width="15.7109375" style="3" customWidth="1"/>
    <col min="3792" max="3793" width="14.85546875" style="3" customWidth="1"/>
    <col min="3794" max="3794" width="3.28515625" style="3" customWidth="1"/>
    <col min="3795" max="3795" width="20.140625" style="3" customWidth="1"/>
    <col min="3796" max="3796" width="3.28515625" style="3" customWidth="1"/>
    <col min="3797" max="3801" width="11" style="3"/>
    <col min="3802" max="3814" width="4.7109375" style="3" customWidth="1"/>
    <col min="3815" max="4024" width="11" style="3"/>
    <col min="4025" max="4025" width="0.7109375" style="3" customWidth="1"/>
    <col min="4026" max="4026" width="6.5703125" style="3" customWidth="1"/>
    <col min="4027" max="4027" width="13.5703125" style="3" customWidth="1"/>
    <col min="4028" max="4028" width="13.42578125" style="3" customWidth="1"/>
    <col min="4029" max="4030" width="12.5703125" style="3" customWidth="1"/>
    <col min="4031" max="4031" width="14.85546875" style="3" customWidth="1"/>
    <col min="4032" max="4032" width="20.7109375" style="3" customWidth="1"/>
    <col min="4033" max="4033" width="12.5703125" style="3" customWidth="1"/>
    <col min="4034" max="4034" width="13" style="3" customWidth="1"/>
    <col min="4035" max="4035" width="16" style="3" customWidth="1"/>
    <col min="4036" max="4036" width="6.42578125" style="3" customWidth="1"/>
    <col min="4037" max="4037" width="16" style="3" customWidth="1"/>
    <col min="4038" max="4038" width="2.85546875" style="3" customWidth="1"/>
    <col min="4039" max="4039" width="0.85546875" style="3" customWidth="1"/>
    <col min="4040" max="4040" width="11" style="3"/>
    <col min="4041" max="4041" width="15.42578125" style="3" customWidth="1"/>
    <col min="4042" max="4044" width="14.85546875" style="3" customWidth="1"/>
    <col min="4045" max="4045" width="0.7109375" style="3" customWidth="1"/>
    <col min="4046" max="4046" width="11" style="3"/>
    <col min="4047" max="4047" width="15.7109375" style="3" customWidth="1"/>
    <col min="4048" max="4049" width="14.85546875" style="3" customWidth="1"/>
    <col min="4050" max="4050" width="3.28515625" style="3" customWidth="1"/>
    <col min="4051" max="4051" width="20.140625" style="3" customWidth="1"/>
    <col min="4052" max="4052" width="3.28515625" style="3" customWidth="1"/>
    <col min="4053" max="4057" width="11" style="3"/>
    <col min="4058" max="4070" width="4.7109375" style="3" customWidth="1"/>
    <col min="4071" max="4280" width="11" style="3"/>
    <col min="4281" max="4281" width="0.7109375" style="3" customWidth="1"/>
    <col min="4282" max="4282" width="6.5703125" style="3" customWidth="1"/>
    <col min="4283" max="4283" width="13.5703125" style="3" customWidth="1"/>
    <col min="4284" max="4284" width="13.42578125" style="3" customWidth="1"/>
    <col min="4285" max="4286" width="12.5703125" style="3" customWidth="1"/>
    <col min="4287" max="4287" width="14.85546875" style="3" customWidth="1"/>
    <col min="4288" max="4288" width="20.7109375" style="3" customWidth="1"/>
    <col min="4289" max="4289" width="12.5703125" style="3" customWidth="1"/>
    <col min="4290" max="4290" width="13" style="3" customWidth="1"/>
    <col min="4291" max="4291" width="16" style="3" customWidth="1"/>
    <col min="4292" max="4292" width="6.42578125" style="3" customWidth="1"/>
    <col min="4293" max="4293" width="16" style="3" customWidth="1"/>
    <col min="4294" max="4294" width="2.85546875" style="3" customWidth="1"/>
    <col min="4295" max="4295" width="0.85546875" style="3" customWidth="1"/>
    <col min="4296" max="4296" width="11" style="3"/>
    <col min="4297" max="4297" width="15.42578125" style="3" customWidth="1"/>
    <col min="4298" max="4300" width="14.85546875" style="3" customWidth="1"/>
    <col min="4301" max="4301" width="0.7109375" style="3" customWidth="1"/>
    <col min="4302" max="4302" width="11" style="3"/>
    <col min="4303" max="4303" width="15.7109375" style="3" customWidth="1"/>
    <col min="4304" max="4305" width="14.85546875" style="3" customWidth="1"/>
    <col min="4306" max="4306" width="3.28515625" style="3" customWidth="1"/>
    <col min="4307" max="4307" width="20.140625" style="3" customWidth="1"/>
    <col min="4308" max="4308" width="3.28515625" style="3" customWidth="1"/>
    <col min="4309" max="4313" width="11" style="3"/>
    <col min="4314" max="4326" width="4.7109375" style="3" customWidth="1"/>
    <col min="4327" max="4536" width="11" style="3"/>
    <col min="4537" max="4537" width="0.7109375" style="3" customWidth="1"/>
    <col min="4538" max="4538" width="6.5703125" style="3" customWidth="1"/>
    <col min="4539" max="4539" width="13.5703125" style="3" customWidth="1"/>
    <col min="4540" max="4540" width="13.42578125" style="3" customWidth="1"/>
    <col min="4541" max="4542" width="12.5703125" style="3" customWidth="1"/>
    <col min="4543" max="4543" width="14.85546875" style="3" customWidth="1"/>
    <col min="4544" max="4544" width="20.7109375" style="3" customWidth="1"/>
    <col min="4545" max="4545" width="12.5703125" style="3" customWidth="1"/>
    <col min="4546" max="4546" width="13" style="3" customWidth="1"/>
    <col min="4547" max="4547" width="16" style="3" customWidth="1"/>
    <col min="4548" max="4548" width="6.42578125" style="3" customWidth="1"/>
    <col min="4549" max="4549" width="16" style="3" customWidth="1"/>
    <col min="4550" max="4550" width="2.85546875" style="3" customWidth="1"/>
    <col min="4551" max="4551" width="0.85546875" style="3" customWidth="1"/>
    <col min="4552" max="4552" width="11" style="3"/>
    <col min="4553" max="4553" width="15.42578125" style="3" customWidth="1"/>
    <col min="4554" max="4556" width="14.85546875" style="3" customWidth="1"/>
    <col min="4557" max="4557" width="0.7109375" style="3" customWidth="1"/>
    <col min="4558" max="4558" width="11" style="3"/>
    <col min="4559" max="4559" width="15.7109375" style="3" customWidth="1"/>
    <col min="4560" max="4561" width="14.85546875" style="3" customWidth="1"/>
    <col min="4562" max="4562" width="3.28515625" style="3" customWidth="1"/>
    <col min="4563" max="4563" width="20.140625" style="3" customWidth="1"/>
    <col min="4564" max="4564" width="3.28515625" style="3" customWidth="1"/>
    <col min="4565" max="4569" width="11" style="3"/>
    <col min="4570" max="4582" width="4.7109375" style="3" customWidth="1"/>
    <col min="4583" max="4792" width="11" style="3"/>
    <col min="4793" max="4793" width="0.7109375" style="3" customWidth="1"/>
    <col min="4794" max="4794" width="6.5703125" style="3" customWidth="1"/>
    <col min="4795" max="4795" width="13.5703125" style="3" customWidth="1"/>
    <col min="4796" max="4796" width="13.42578125" style="3" customWidth="1"/>
    <col min="4797" max="4798" width="12.5703125" style="3" customWidth="1"/>
    <col min="4799" max="4799" width="14.85546875" style="3" customWidth="1"/>
    <col min="4800" max="4800" width="20.7109375" style="3" customWidth="1"/>
    <col min="4801" max="4801" width="12.5703125" style="3" customWidth="1"/>
    <col min="4802" max="4802" width="13" style="3" customWidth="1"/>
    <col min="4803" max="4803" width="16" style="3" customWidth="1"/>
    <col min="4804" max="4804" width="6.42578125" style="3" customWidth="1"/>
    <col min="4805" max="4805" width="16" style="3" customWidth="1"/>
    <col min="4806" max="4806" width="2.85546875" style="3" customWidth="1"/>
    <col min="4807" max="4807" width="0.85546875" style="3" customWidth="1"/>
    <col min="4808" max="4808" width="11" style="3"/>
    <col min="4809" max="4809" width="15.42578125" style="3" customWidth="1"/>
    <col min="4810" max="4812" width="14.85546875" style="3" customWidth="1"/>
    <col min="4813" max="4813" width="0.7109375" style="3" customWidth="1"/>
    <col min="4814" max="4814" width="11" style="3"/>
    <col min="4815" max="4815" width="15.7109375" style="3" customWidth="1"/>
    <col min="4816" max="4817" width="14.85546875" style="3" customWidth="1"/>
    <col min="4818" max="4818" width="3.28515625" style="3" customWidth="1"/>
    <col min="4819" max="4819" width="20.140625" style="3" customWidth="1"/>
    <col min="4820" max="4820" width="3.28515625" style="3" customWidth="1"/>
    <col min="4821" max="4825" width="11" style="3"/>
    <col min="4826" max="4838" width="4.7109375" style="3" customWidth="1"/>
    <col min="4839" max="5048" width="11" style="3"/>
    <col min="5049" max="5049" width="0.7109375" style="3" customWidth="1"/>
    <col min="5050" max="5050" width="6.5703125" style="3" customWidth="1"/>
    <col min="5051" max="5051" width="13.5703125" style="3" customWidth="1"/>
    <col min="5052" max="5052" width="13.42578125" style="3" customWidth="1"/>
    <col min="5053" max="5054" width="12.5703125" style="3" customWidth="1"/>
    <col min="5055" max="5055" width="14.85546875" style="3" customWidth="1"/>
    <col min="5056" max="5056" width="20.7109375" style="3" customWidth="1"/>
    <col min="5057" max="5057" width="12.5703125" style="3" customWidth="1"/>
    <col min="5058" max="5058" width="13" style="3" customWidth="1"/>
    <col min="5059" max="5059" width="16" style="3" customWidth="1"/>
    <col min="5060" max="5060" width="6.42578125" style="3" customWidth="1"/>
    <col min="5061" max="5061" width="16" style="3" customWidth="1"/>
    <col min="5062" max="5062" width="2.85546875" style="3" customWidth="1"/>
    <col min="5063" max="5063" width="0.85546875" style="3" customWidth="1"/>
    <col min="5064" max="5064" width="11" style="3"/>
    <col min="5065" max="5065" width="15.42578125" style="3" customWidth="1"/>
    <col min="5066" max="5068" width="14.85546875" style="3" customWidth="1"/>
    <col min="5069" max="5069" width="0.7109375" style="3" customWidth="1"/>
    <col min="5070" max="5070" width="11" style="3"/>
    <col min="5071" max="5071" width="15.7109375" style="3" customWidth="1"/>
    <col min="5072" max="5073" width="14.85546875" style="3" customWidth="1"/>
    <col min="5074" max="5074" width="3.28515625" style="3" customWidth="1"/>
    <col min="5075" max="5075" width="20.140625" style="3" customWidth="1"/>
    <col min="5076" max="5076" width="3.28515625" style="3" customWidth="1"/>
    <col min="5077" max="5081" width="11" style="3"/>
    <col min="5082" max="5094" width="4.7109375" style="3" customWidth="1"/>
    <col min="5095" max="5304" width="11" style="3"/>
    <col min="5305" max="5305" width="0.7109375" style="3" customWidth="1"/>
    <col min="5306" max="5306" width="6.5703125" style="3" customWidth="1"/>
    <col min="5307" max="5307" width="13.5703125" style="3" customWidth="1"/>
    <col min="5308" max="5308" width="13.42578125" style="3" customWidth="1"/>
    <col min="5309" max="5310" width="12.5703125" style="3" customWidth="1"/>
    <col min="5311" max="5311" width="14.85546875" style="3" customWidth="1"/>
    <col min="5312" max="5312" width="20.7109375" style="3" customWidth="1"/>
    <col min="5313" max="5313" width="12.5703125" style="3" customWidth="1"/>
    <col min="5314" max="5314" width="13" style="3" customWidth="1"/>
    <col min="5315" max="5315" width="16" style="3" customWidth="1"/>
    <col min="5316" max="5316" width="6.42578125" style="3" customWidth="1"/>
    <col min="5317" max="5317" width="16" style="3" customWidth="1"/>
    <col min="5318" max="5318" width="2.85546875" style="3" customWidth="1"/>
    <col min="5319" max="5319" width="0.85546875" style="3" customWidth="1"/>
    <col min="5320" max="5320" width="11" style="3"/>
    <col min="5321" max="5321" width="15.42578125" style="3" customWidth="1"/>
    <col min="5322" max="5324" width="14.85546875" style="3" customWidth="1"/>
    <col min="5325" max="5325" width="0.7109375" style="3" customWidth="1"/>
    <col min="5326" max="5326" width="11" style="3"/>
    <col min="5327" max="5327" width="15.7109375" style="3" customWidth="1"/>
    <col min="5328" max="5329" width="14.85546875" style="3" customWidth="1"/>
    <col min="5330" max="5330" width="3.28515625" style="3" customWidth="1"/>
    <col min="5331" max="5331" width="20.140625" style="3" customWidth="1"/>
    <col min="5332" max="5332" width="3.28515625" style="3" customWidth="1"/>
    <col min="5333" max="5337" width="11" style="3"/>
    <col min="5338" max="5350" width="4.7109375" style="3" customWidth="1"/>
    <col min="5351" max="5560" width="11" style="3"/>
    <col min="5561" max="5561" width="0.7109375" style="3" customWidth="1"/>
    <col min="5562" max="5562" width="6.5703125" style="3" customWidth="1"/>
    <col min="5563" max="5563" width="13.5703125" style="3" customWidth="1"/>
    <col min="5564" max="5564" width="13.42578125" style="3" customWidth="1"/>
    <col min="5565" max="5566" width="12.5703125" style="3" customWidth="1"/>
    <col min="5567" max="5567" width="14.85546875" style="3" customWidth="1"/>
    <col min="5568" max="5568" width="20.7109375" style="3" customWidth="1"/>
    <col min="5569" max="5569" width="12.5703125" style="3" customWidth="1"/>
    <col min="5570" max="5570" width="13" style="3" customWidth="1"/>
    <col min="5571" max="5571" width="16" style="3" customWidth="1"/>
    <col min="5572" max="5572" width="6.42578125" style="3" customWidth="1"/>
    <col min="5573" max="5573" width="16" style="3" customWidth="1"/>
    <col min="5574" max="5574" width="2.85546875" style="3" customWidth="1"/>
    <col min="5575" max="5575" width="0.85546875" style="3" customWidth="1"/>
    <col min="5576" max="5576" width="11" style="3"/>
    <col min="5577" max="5577" width="15.42578125" style="3" customWidth="1"/>
    <col min="5578" max="5580" width="14.85546875" style="3" customWidth="1"/>
    <col min="5581" max="5581" width="0.7109375" style="3" customWidth="1"/>
    <col min="5582" max="5582" width="11" style="3"/>
    <col min="5583" max="5583" width="15.7109375" style="3" customWidth="1"/>
    <col min="5584" max="5585" width="14.85546875" style="3" customWidth="1"/>
    <col min="5586" max="5586" width="3.28515625" style="3" customWidth="1"/>
    <col min="5587" max="5587" width="20.140625" style="3" customWidth="1"/>
    <col min="5588" max="5588" width="3.28515625" style="3" customWidth="1"/>
    <col min="5589" max="5593" width="11" style="3"/>
    <col min="5594" max="5606" width="4.7109375" style="3" customWidth="1"/>
    <col min="5607" max="5816" width="11" style="3"/>
    <col min="5817" max="5817" width="0.7109375" style="3" customWidth="1"/>
    <col min="5818" max="5818" width="6.5703125" style="3" customWidth="1"/>
    <col min="5819" max="5819" width="13.5703125" style="3" customWidth="1"/>
    <col min="5820" max="5820" width="13.42578125" style="3" customWidth="1"/>
    <col min="5821" max="5822" width="12.5703125" style="3" customWidth="1"/>
    <col min="5823" max="5823" width="14.85546875" style="3" customWidth="1"/>
    <col min="5824" max="5824" width="20.7109375" style="3" customWidth="1"/>
    <col min="5825" max="5825" width="12.5703125" style="3" customWidth="1"/>
    <col min="5826" max="5826" width="13" style="3" customWidth="1"/>
    <col min="5827" max="5827" width="16" style="3" customWidth="1"/>
    <col min="5828" max="5828" width="6.42578125" style="3" customWidth="1"/>
    <col min="5829" max="5829" width="16" style="3" customWidth="1"/>
    <col min="5830" max="5830" width="2.85546875" style="3" customWidth="1"/>
    <col min="5831" max="5831" width="0.85546875" style="3" customWidth="1"/>
    <col min="5832" max="5832" width="11" style="3"/>
    <col min="5833" max="5833" width="15.42578125" style="3" customWidth="1"/>
    <col min="5834" max="5836" width="14.85546875" style="3" customWidth="1"/>
    <col min="5837" max="5837" width="0.7109375" style="3" customWidth="1"/>
    <col min="5838" max="5838" width="11" style="3"/>
    <col min="5839" max="5839" width="15.7109375" style="3" customWidth="1"/>
    <col min="5840" max="5841" width="14.85546875" style="3" customWidth="1"/>
    <col min="5842" max="5842" width="3.28515625" style="3" customWidth="1"/>
    <col min="5843" max="5843" width="20.140625" style="3" customWidth="1"/>
    <col min="5844" max="5844" width="3.28515625" style="3" customWidth="1"/>
    <col min="5845" max="5849" width="11" style="3"/>
    <col min="5850" max="5862" width="4.7109375" style="3" customWidth="1"/>
    <col min="5863" max="6072" width="11" style="3"/>
    <col min="6073" max="6073" width="0.7109375" style="3" customWidth="1"/>
    <col min="6074" max="6074" width="6.5703125" style="3" customWidth="1"/>
    <col min="6075" max="6075" width="13.5703125" style="3" customWidth="1"/>
    <col min="6076" max="6076" width="13.42578125" style="3" customWidth="1"/>
    <col min="6077" max="6078" width="12.5703125" style="3" customWidth="1"/>
    <col min="6079" max="6079" width="14.85546875" style="3" customWidth="1"/>
    <col min="6080" max="6080" width="20.7109375" style="3" customWidth="1"/>
    <col min="6081" max="6081" width="12.5703125" style="3" customWidth="1"/>
    <col min="6082" max="6082" width="13" style="3" customWidth="1"/>
    <col min="6083" max="6083" width="16" style="3" customWidth="1"/>
    <col min="6084" max="6084" width="6.42578125" style="3" customWidth="1"/>
    <col min="6085" max="6085" width="16" style="3" customWidth="1"/>
    <col min="6086" max="6086" width="2.85546875" style="3" customWidth="1"/>
    <col min="6087" max="6087" width="0.85546875" style="3" customWidth="1"/>
    <col min="6088" max="6088" width="11" style="3"/>
    <col min="6089" max="6089" width="15.42578125" style="3" customWidth="1"/>
    <col min="6090" max="6092" width="14.85546875" style="3" customWidth="1"/>
    <col min="6093" max="6093" width="0.7109375" style="3" customWidth="1"/>
    <col min="6094" max="6094" width="11" style="3"/>
    <col min="6095" max="6095" width="15.7109375" style="3" customWidth="1"/>
    <col min="6096" max="6097" width="14.85546875" style="3" customWidth="1"/>
    <col min="6098" max="6098" width="3.28515625" style="3" customWidth="1"/>
    <col min="6099" max="6099" width="20.140625" style="3" customWidth="1"/>
    <col min="6100" max="6100" width="3.28515625" style="3" customWidth="1"/>
    <col min="6101" max="6105" width="11" style="3"/>
    <col min="6106" max="6118" width="4.7109375" style="3" customWidth="1"/>
    <col min="6119" max="6328" width="11" style="3"/>
    <col min="6329" max="6329" width="0.7109375" style="3" customWidth="1"/>
    <col min="6330" max="6330" width="6.5703125" style="3" customWidth="1"/>
    <col min="6331" max="6331" width="13.5703125" style="3" customWidth="1"/>
    <col min="6332" max="6332" width="13.42578125" style="3" customWidth="1"/>
    <col min="6333" max="6334" width="12.5703125" style="3" customWidth="1"/>
    <col min="6335" max="6335" width="14.85546875" style="3" customWidth="1"/>
    <col min="6336" max="6336" width="20.7109375" style="3" customWidth="1"/>
    <col min="6337" max="6337" width="12.5703125" style="3" customWidth="1"/>
    <col min="6338" max="6338" width="13" style="3" customWidth="1"/>
    <col min="6339" max="6339" width="16" style="3" customWidth="1"/>
    <col min="6340" max="6340" width="6.42578125" style="3" customWidth="1"/>
    <col min="6341" max="6341" width="16" style="3" customWidth="1"/>
    <col min="6342" max="6342" width="2.85546875" style="3" customWidth="1"/>
    <col min="6343" max="6343" width="0.85546875" style="3" customWidth="1"/>
    <col min="6344" max="6344" width="11" style="3"/>
    <col min="6345" max="6345" width="15.42578125" style="3" customWidth="1"/>
    <col min="6346" max="6348" width="14.85546875" style="3" customWidth="1"/>
    <col min="6349" max="6349" width="0.7109375" style="3" customWidth="1"/>
    <col min="6350" max="6350" width="11" style="3"/>
    <col min="6351" max="6351" width="15.7109375" style="3" customWidth="1"/>
    <col min="6352" max="6353" width="14.85546875" style="3" customWidth="1"/>
    <col min="6354" max="6354" width="3.28515625" style="3" customWidth="1"/>
    <col min="6355" max="6355" width="20.140625" style="3" customWidth="1"/>
    <col min="6356" max="6356" width="3.28515625" style="3" customWidth="1"/>
    <col min="6357" max="6361" width="11" style="3"/>
    <col min="6362" max="6374" width="4.7109375" style="3" customWidth="1"/>
    <col min="6375" max="6584" width="11" style="3"/>
    <col min="6585" max="6585" width="0.7109375" style="3" customWidth="1"/>
    <col min="6586" max="6586" width="6.5703125" style="3" customWidth="1"/>
    <col min="6587" max="6587" width="13.5703125" style="3" customWidth="1"/>
    <col min="6588" max="6588" width="13.42578125" style="3" customWidth="1"/>
    <col min="6589" max="6590" width="12.5703125" style="3" customWidth="1"/>
    <col min="6591" max="6591" width="14.85546875" style="3" customWidth="1"/>
    <col min="6592" max="6592" width="20.7109375" style="3" customWidth="1"/>
    <col min="6593" max="6593" width="12.5703125" style="3" customWidth="1"/>
    <col min="6594" max="6594" width="13" style="3" customWidth="1"/>
    <col min="6595" max="6595" width="16" style="3" customWidth="1"/>
    <col min="6596" max="6596" width="6.42578125" style="3" customWidth="1"/>
    <col min="6597" max="6597" width="16" style="3" customWidth="1"/>
    <col min="6598" max="6598" width="2.85546875" style="3" customWidth="1"/>
    <col min="6599" max="6599" width="0.85546875" style="3" customWidth="1"/>
    <col min="6600" max="6600" width="11" style="3"/>
    <col min="6601" max="6601" width="15.42578125" style="3" customWidth="1"/>
    <col min="6602" max="6604" width="14.85546875" style="3" customWidth="1"/>
    <col min="6605" max="6605" width="0.7109375" style="3" customWidth="1"/>
    <col min="6606" max="6606" width="11" style="3"/>
    <col min="6607" max="6607" width="15.7109375" style="3" customWidth="1"/>
    <col min="6608" max="6609" width="14.85546875" style="3" customWidth="1"/>
    <col min="6610" max="6610" width="3.28515625" style="3" customWidth="1"/>
    <col min="6611" max="6611" width="20.140625" style="3" customWidth="1"/>
    <col min="6612" max="6612" width="3.28515625" style="3" customWidth="1"/>
    <col min="6613" max="6617" width="11" style="3"/>
    <col min="6618" max="6630" width="4.7109375" style="3" customWidth="1"/>
    <col min="6631" max="6840" width="11" style="3"/>
    <col min="6841" max="6841" width="0.7109375" style="3" customWidth="1"/>
    <col min="6842" max="6842" width="6.5703125" style="3" customWidth="1"/>
    <col min="6843" max="6843" width="13.5703125" style="3" customWidth="1"/>
    <col min="6844" max="6844" width="13.42578125" style="3" customWidth="1"/>
    <col min="6845" max="6846" width="12.5703125" style="3" customWidth="1"/>
    <col min="6847" max="6847" width="14.85546875" style="3" customWidth="1"/>
    <col min="6848" max="6848" width="20.7109375" style="3" customWidth="1"/>
    <col min="6849" max="6849" width="12.5703125" style="3" customWidth="1"/>
    <col min="6850" max="6850" width="13" style="3" customWidth="1"/>
    <col min="6851" max="6851" width="16" style="3" customWidth="1"/>
    <col min="6852" max="6852" width="6.42578125" style="3" customWidth="1"/>
    <col min="6853" max="6853" width="16" style="3" customWidth="1"/>
    <col min="6854" max="6854" width="2.85546875" style="3" customWidth="1"/>
    <col min="6855" max="6855" width="0.85546875" style="3" customWidth="1"/>
    <col min="6856" max="6856" width="11" style="3"/>
    <col min="6857" max="6857" width="15.42578125" style="3" customWidth="1"/>
    <col min="6858" max="6860" width="14.85546875" style="3" customWidth="1"/>
    <col min="6861" max="6861" width="0.7109375" style="3" customWidth="1"/>
    <col min="6862" max="6862" width="11" style="3"/>
    <col min="6863" max="6863" width="15.7109375" style="3" customWidth="1"/>
    <col min="6864" max="6865" width="14.85546875" style="3" customWidth="1"/>
    <col min="6866" max="6866" width="3.28515625" style="3" customWidth="1"/>
    <col min="6867" max="6867" width="20.140625" style="3" customWidth="1"/>
    <col min="6868" max="6868" width="3.28515625" style="3" customWidth="1"/>
    <col min="6869" max="6873" width="11" style="3"/>
    <col min="6874" max="6886" width="4.7109375" style="3" customWidth="1"/>
    <col min="6887" max="7096" width="11" style="3"/>
    <col min="7097" max="7097" width="0.7109375" style="3" customWidth="1"/>
    <col min="7098" max="7098" width="6.5703125" style="3" customWidth="1"/>
    <col min="7099" max="7099" width="13.5703125" style="3" customWidth="1"/>
    <col min="7100" max="7100" width="13.42578125" style="3" customWidth="1"/>
    <col min="7101" max="7102" width="12.5703125" style="3" customWidth="1"/>
    <col min="7103" max="7103" width="14.85546875" style="3" customWidth="1"/>
    <col min="7104" max="7104" width="20.7109375" style="3" customWidth="1"/>
    <col min="7105" max="7105" width="12.5703125" style="3" customWidth="1"/>
    <col min="7106" max="7106" width="13" style="3" customWidth="1"/>
    <col min="7107" max="7107" width="16" style="3" customWidth="1"/>
    <col min="7108" max="7108" width="6.42578125" style="3" customWidth="1"/>
    <col min="7109" max="7109" width="16" style="3" customWidth="1"/>
    <col min="7110" max="7110" width="2.85546875" style="3" customWidth="1"/>
    <col min="7111" max="7111" width="0.85546875" style="3" customWidth="1"/>
    <col min="7112" max="7112" width="11" style="3"/>
    <col min="7113" max="7113" width="15.42578125" style="3" customWidth="1"/>
    <col min="7114" max="7116" width="14.85546875" style="3" customWidth="1"/>
    <col min="7117" max="7117" width="0.7109375" style="3" customWidth="1"/>
    <col min="7118" max="7118" width="11" style="3"/>
    <col min="7119" max="7119" width="15.7109375" style="3" customWidth="1"/>
    <col min="7120" max="7121" width="14.85546875" style="3" customWidth="1"/>
    <col min="7122" max="7122" width="3.28515625" style="3" customWidth="1"/>
    <col min="7123" max="7123" width="20.140625" style="3" customWidth="1"/>
    <col min="7124" max="7124" width="3.28515625" style="3" customWidth="1"/>
    <col min="7125" max="7129" width="11" style="3"/>
    <col min="7130" max="7142" width="4.7109375" style="3" customWidth="1"/>
    <col min="7143" max="7352" width="11" style="3"/>
    <col min="7353" max="7353" width="0.7109375" style="3" customWidth="1"/>
    <col min="7354" max="7354" width="6.5703125" style="3" customWidth="1"/>
    <col min="7355" max="7355" width="13.5703125" style="3" customWidth="1"/>
    <col min="7356" max="7356" width="13.42578125" style="3" customWidth="1"/>
    <col min="7357" max="7358" width="12.5703125" style="3" customWidth="1"/>
    <col min="7359" max="7359" width="14.85546875" style="3" customWidth="1"/>
    <col min="7360" max="7360" width="20.7109375" style="3" customWidth="1"/>
    <col min="7361" max="7361" width="12.5703125" style="3" customWidth="1"/>
    <col min="7362" max="7362" width="13" style="3" customWidth="1"/>
    <col min="7363" max="7363" width="16" style="3" customWidth="1"/>
    <col min="7364" max="7364" width="6.42578125" style="3" customWidth="1"/>
    <col min="7365" max="7365" width="16" style="3" customWidth="1"/>
    <col min="7366" max="7366" width="2.85546875" style="3" customWidth="1"/>
    <col min="7367" max="7367" width="0.85546875" style="3" customWidth="1"/>
    <col min="7368" max="7368" width="11" style="3"/>
    <col min="7369" max="7369" width="15.42578125" style="3" customWidth="1"/>
    <col min="7370" max="7372" width="14.85546875" style="3" customWidth="1"/>
    <col min="7373" max="7373" width="0.7109375" style="3" customWidth="1"/>
    <col min="7374" max="7374" width="11" style="3"/>
    <col min="7375" max="7375" width="15.7109375" style="3" customWidth="1"/>
    <col min="7376" max="7377" width="14.85546875" style="3" customWidth="1"/>
    <col min="7378" max="7378" width="3.28515625" style="3" customWidth="1"/>
    <col min="7379" max="7379" width="20.140625" style="3" customWidth="1"/>
    <col min="7380" max="7380" width="3.28515625" style="3" customWidth="1"/>
    <col min="7381" max="7385" width="11" style="3"/>
    <col min="7386" max="7398" width="4.7109375" style="3" customWidth="1"/>
    <col min="7399" max="7608" width="11" style="3"/>
    <col min="7609" max="7609" width="0.7109375" style="3" customWidth="1"/>
    <col min="7610" max="7610" width="6.5703125" style="3" customWidth="1"/>
    <col min="7611" max="7611" width="13.5703125" style="3" customWidth="1"/>
    <col min="7612" max="7612" width="13.42578125" style="3" customWidth="1"/>
    <col min="7613" max="7614" width="12.5703125" style="3" customWidth="1"/>
    <col min="7615" max="7615" width="14.85546875" style="3" customWidth="1"/>
    <col min="7616" max="7616" width="20.7109375" style="3" customWidth="1"/>
    <col min="7617" max="7617" width="12.5703125" style="3" customWidth="1"/>
    <col min="7618" max="7618" width="13" style="3" customWidth="1"/>
    <col min="7619" max="7619" width="16" style="3" customWidth="1"/>
    <col min="7620" max="7620" width="6.42578125" style="3" customWidth="1"/>
    <col min="7621" max="7621" width="16" style="3" customWidth="1"/>
    <col min="7622" max="7622" width="2.85546875" style="3" customWidth="1"/>
    <col min="7623" max="7623" width="0.85546875" style="3" customWidth="1"/>
    <col min="7624" max="7624" width="11" style="3"/>
    <col min="7625" max="7625" width="15.42578125" style="3" customWidth="1"/>
    <col min="7626" max="7628" width="14.85546875" style="3" customWidth="1"/>
    <col min="7629" max="7629" width="0.7109375" style="3" customWidth="1"/>
    <col min="7630" max="7630" width="11" style="3"/>
    <col min="7631" max="7631" width="15.7109375" style="3" customWidth="1"/>
    <col min="7632" max="7633" width="14.85546875" style="3" customWidth="1"/>
    <col min="7634" max="7634" width="3.28515625" style="3" customWidth="1"/>
    <col min="7635" max="7635" width="20.140625" style="3" customWidth="1"/>
    <col min="7636" max="7636" width="3.28515625" style="3" customWidth="1"/>
    <col min="7637" max="7641" width="11" style="3"/>
    <col min="7642" max="7654" width="4.7109375" style="3" customWidth="1"/>
    <col min="7655" max="7864" width="11" style="3"/>
    <col min="7865" max="7865" width="0.7109375" style="3" customWidth="1"/>
    <col min="7866" max="7866" width="6.5703125" style="3" customWidth="1"/>
    <col min="7867" max="7867" width="13.5703125" style="3" customWidth="1"/>
    <col min="7868" max="7868" width="13.42578125" style="3" customWidth="1"/>
    <col min="7869" max="7870" width="12.5703125" style="3" customWidth="1"/>
    <col min="7871" max="7871" width="14.85546875" style="3" customWidth="1"/>
    <col min="7872" max="7872" width="20.7109375" style="3" customWidth="1"/>
    <col min="7873" max="7873" width="12.5703125" style="3" customWidth="1"/>
    <col min="7874" max="7874" width="13" style="3" customWidth="1"/>
    <col min="7875" max="7875" width="16" style="3" customWidth="1"/>
    <col min="7876" max="7876" width="6.42578125" style="3" customWidth="1"/>
    <col min="7877" max="7877" width="16" style="3" customWidth="1"/>
    <col min="7878" max="7878" width="2.85546875" style="3" customWidth="1"/>
    <col min="7879" max="7879" width="0.85546875" style="3" customWidth="1"/>
    <col min="7880" max="7880" width="11" style="3"/>
    <col min="7881" max="7881" width="15.42578125" style="3" customWidth="1"/>
    <col min="7882" max="7884" width="14.85546875" style="3" customWidth="1"/>
    <col min="7885" max="7885" width="0.7109375" style="3" customWidth="1"/>
    <col min="7886" max="7886" width="11" style="3"/>
    <col min="7887" max="7887" width="15.7109375" style="3" customWidth="1"/>
    <col min="7888" max="7889" width="14.85546875" style="3" customWidth="1"/>
    <col min="7890" max="7890" width="3.28515625" style="3" customWidth="1"/>
    <col min="7891" max="7891" width="20.140625" style="3" customWidth="1"/>
    <col min="7892" max="7892" width="3.28515625" style="3" customWidth="1"/>
    <col min="7893" max="7897" width="11" style="3"/>
    <col min="7898" max="7910" width="4.7109375" style="3" customWidth="1"/>
    <col min="7911" max="8120" width="11" style="3"/>
    <col min="8121" max="8121" width="0.7109375" style="3" customWidth="1"/>
    <col min="8122" max="8122" width="6.5703125" style="3" customWidth="1"/>
    <col min="8123" max="8123" width="13.5703125" style="3" customWidth="1"/>
    <col min="8124" max="8124" width="13.42578125" style="3" customWidth="1"/>
    <col min="8125" max="8126" width="12.5703125" style="3" customWidth="1"/>
    <col min="8127" max="8127" width="14.85546875" style="3" customWidth="1"/>
    <col min="8128" max="8128" width="20.7109375" style="3" customWidth="1"/>
    <col min="8129" max="8129" width="12.5703125" style="3" customWidth="1"/>
    <col min="8130" max="8130" width="13" style="3" customWidth="1"/>
    <col min="8131" max="8131" width="16" style="3" customWidth="1"/>
    <col min="8132" max="8132" width="6.42578125" style="3" customWidth="1"/>
    <col min="8133" max="8133" width="16" style="3" customWidth="1"/>
    <col min="8134" max="8134" width="2.85546875" style="3" customWidth="1"/>
    <col min="8135" max="8135" width="0.85546875" style="3" customWidth="1"/>
    <col min="8136" max="8136" width="11" style="3"/>
    <col min="8137" max="8137" width="15.42578125" style="3" customWidth="1"/>
    <col min="8138" max="8140" width="14.85546875" style="3" customWidth="1"/>
    <col min="8141" max="8141" width="0.7109375" style="3" customWidth="1"/>
    <col min="8142" max="8142" width="11" style="3"/>
    <col min="8143" max="8143" width="15.7109375" style="3" customWidth="1"/>
    <col min="8144" max="8145" width="14.85546875" style="3" customWidth="1"/>
    <col min="8146" max="8146" width="3.28515625" style="3" customWidth="1"/>
    <col min="8147" max="8147" width="20.140625" style="3" customWidth="1"/>
    <col min="8148" max="8148" width="3.28515625" style="3" customWidth="1"/>
    <col min="8149" max="8153" width="11" style="3"/>
    <col min="8154" max="8166" width="4.7109375" style="3" customWidth="1"/>
    <col min="8167" max="8376" width="11" style="3"/>
    <col min="8377" max="8377" width="0.7109375" style="3" customWidth="1"/>
    <col min="8378" max="8378" width="6.5703125" style="3" customWidth="1"/>
    <col min="8379" max="8379" width="13.5703125" style="3" customWidth="1"/>
    <col min="8380" max="8380" width="13.42578125" style="3" customWidth="1"/>
    <col min="8381" max="8382" width="12.5703125" style="3" customWidth="1"/>
    <col min="8383" max="8383" width="14.85546875" style="3" customWidth="1"/>
    <col min="8384" max="8384" width="20.7109375" style="3" customWidth="1"/>
    <col min="8385" max="8385" width="12.5703125" style="3" customWidth="1"/>
    <col min="8386" max="8386" width="13" style="3" customWidth="1"/>
    <col min="8387" max="8387" width="16" style="3" customWidth="1"/>
    <col min="8388" max="8388" width="6.42578125" style="3" customWidth="1"/>
    <col min="8389" max="8389" width="16" style="3" customWidth="1"/>
    <col min="8390" max="8390" width="2.85546875" style="3" customWidth="1"/>
    <col min="8391" max="8391" width="0.85546875" style="3" customWidth="1"/>
    <col min="8392" max="8392" width="11" style="3"/>
    <col min="8393" max="8393" width="15.42578125" style="3" customWidth="1"/>
    <col min="8394" max="8396" width="14.85546875" style="3" customWidth="1"/>
    <col min="8397" max="8397" width="0.7109375" style="3" customWidth="1"/>
    <col min="8398" max="8398" width="11" style="3"/>
    <col min="8399" max="8399" width="15.7109375" style="3" customWidth="1"/>
    <col min="8400" max="8401" width="14.85546875" style="3" customWidth="1"/>
    <col min="8402" max="8402" width="3.28515625" style="3" customWidth="1"/>
    <col min="8403" max="8403" width="20.140625" style="3" customWidth="1"/>
    <col min="8404" max="8404" width="3.28515625" style="3" customWidth="1"/>
    <col min="8405" max="8409" width="11" style="3"/>
    <col min="8410" max="8422" width="4.7109375" style="3" customWidth="1"/>
    <col min="8423" max="8632" width="11" style="3"/>
    <col min="8633" max="8633" width="0.7109375" style="3" customWidth="1"/>
    <col min="8634" max="8634" width="6.5703125" style="3" customWidth="1"/>
    <col min="8635" max="8635" width="13.5703125" style="3" customWidth="1"/>
    <col min="8636" max="8636" width="13.42578125" style="3" customWidth="1"/>
    <col min="8637" max="8638" width="12.5703125" style="3" customWidth="1"/>
    <col min="8639" max="8639" width="14.85546875" style="3" customWidth="1"/>
    <col min="8640" max="8640" width="20.7109375" style="3" customWidth="1"/>
    <col min="8641" max="8641" width="12.5703125" style="3" customWidth="1"/>
    <col min="8642" max="8642" width="13" style="3" customWidth="1"/>
    <col min="8643" max="8643" width="16" style="3" customWidth="1"/>
    <col min="8644" max="8644" width="6.42578125" style="3" customWidth="1"/>
    <col min="8645" max="8645" width="16" style="3" customWidth="1"/>
    <col min="8646" max="8646" width="2.85546875" style="3" customWidth="1"/>
    <col min="8647" max="8647" width="0.85546875" style="3" customWidth="1"/>
    <col min="8648" max="8648" width="11" style="3"/>
    <col min="8649" max="8649" width="15.42578125" style="3" customWidth="1"/>
    <col min="8650" max="8652" width="14.85546875" style="3" customWidth="1"/>
    <col min="8653" max="8653" width="0.7109375" style="3" customWidth="1"/>
    <col min="8654" max="8654" width="11" style="3"/>
    <col min="8655" max="8655" width="15.7109375" style="3" customWidth="1"/>
    <col min="8656" max="8657" width="14.85546875" style="3" customWidth="1"/>
    <col min="8658" max="8658" width="3.28515625" style="3" customWidth="1"/>
    <col min="8659" max="8659" width="20.140625" style="3" customWidth="1"/>
    <col min="8660" max="8660" width="3.28515625" style="3" customWidth="1"/>
    <col min="8661" max="8665" width="11" style="3"/>
    <col min="8666" max="8678" width="4.7109375" style="3" customWidth="1"/>
    <col min="8679" max="8888" width="11" style="3"/>
    <col min="8889" max="8889" width="0.7109375" style="3" customWidth="1"/>
    <col min="8890" max="8890" width="6.5703125" style="3" customWidth="1"/>
    <col min="8891" max="8891" width="13.5703125" style="3" customWidth="1"/>
    <col min="8892" max="8892" width="13.42578125" style="3" customWidth="1"/>
    <col min="8893" max="8894" width="12.5703125" style="3" customWidth="1"/>
    <col min="8895" max="8895" width="14.85546875" style="3" customWidth="1"/>
    <col min="8896" max="8896" width="20.7109375" style="3" customWidth="1"/>
    <col min="8897" max="8897" width="12.5703125" style="3" customWidth="1"/>
    <col min="8898" max="8898" width="13" style="3" customWidth="1"/>
    <col min="8899" max="8899" width="16" style="3" customWidth="1"/>
    <col min="8900" max="8900" width="6.42578125" style="3" customWidth="1"/>
    <col min="8901" max="8901" width="16" style="3" customWidth="1"/>
    <col min="8902" max="8902" width="2.85546875" style="3" customWidth="1"/>
    <col min="8903" max="8903" width="0.85546875" style="3" customWidth="1"/>
    <col min="8904" max="8904" width="11" style="3"/>
    <col min="8905" max="8905" width="15.42578125" style="3" customWidth="1"/>
    <col min="8906" max="8908" width="14.85546875" style="3" customWidth="1"/>
    <col min="8909" max="8909" width="0.7109375" style="3" customWidth="1"/>
    <col min="8910" max="8910" width="11" style="3"/>
    <col min="8911" max="8911" width="15.7109375" style="3" customWidth="1"/>
    <col min="8912" max="8913" width="14.85546875" style="3" customWidth="1"/>
    <col min="8914" max="8914" width="3.28515625" style="3" customWidth="1"/>
    <col min="8915" max="8915" width="20.140625" style="3" customWidth="1"/>
    <col min="8916" max="8916" width="3.28515625" style="3" customWidth="1"/>
    <col min="8917" max="8921" width="11" style="3"/>
    <col min="8922" max="8934" width="4.7109375" style="3" customWidth="1"/>
    <col min="8935" max="9144" width="11" style="3"/>
    <col min="9145" max="9145" width="0.7109375" style="3" customWidth="1"/>
    <col min="9146" max="9146" width="6.5703125" style="3" customWidth="1"/>
    <col min="9147" max="9147" width="13.5703125" style="3" customWidth="1"/>
    <col min="9148" max="9148" width="13.42578125" style="3" customWidth="1"/>
    <col min="9149" max="9150" width="12.5703125" style="3" customWidth="1"/>
    <col min="9151" max="9151" width="14.85546875" style="3" customWidth="1"/>
    <col min="9152" max="9152" width="20.7109375" style="3" customWidth="1"/>
    <col min="9153" max="9153" width="12.5703125" style="3" customWidth="1"/>
    <col min="9154" max="9154" width="13" style="3" customWidth="1"/>
    <col min="9155" max="9155" width="16" style="3" customWidth="1"/>
    <col min="9156" max="9156" width="6.42578125" style="3" customWidth="1"/>
    <col min="9157" max="9157" width="16" style="3" customWidth="1"/>
    <col min="9158" max="9158" width="2.85546875" style="3" customWidth="1"/>
    <col min="9159" max="9159" width="0.85546875" style="3" customWidth="1"/>
    <col min="9160" max="9160" width="11" style="3"/>
    <col min="9161" max="9161" width="15.42578125" style="3" customWidth="1"/>
    <col min="9162" max="9164" width="14.85546875" style="3" customWidth="1"/>
    <col min="9165" max="9165" width="0.7109375" style="3" customWidth="1"/>
    <col min="9166" max="9166" width="11" style="3"/>
    <col min="9167" max="9167" width="15.7109375" style="3" customWidth="1"/>
    <col min="9168" max="9169" width="14.85546875" style="3" customWidth="1"/>
    <col min="9170" max="9170" width="3.28515625" style="3" customWidth="1"/>
    <col min="9171" max="9171" width="20.140625" style="3" customWidth="1"/>
    <col min="9172" max="9172" width="3.28515625" style="3" customWidth="1"/>
    <col min="9173" max="9177" width="11" style="3"/>
    <col min="9178" max="9190" width="4.7109375" style="3" customWidth="1"/>
    <col min="9191" max="9400" width="11" style="3"/>
    <col min="9401" max="9401" width="0.7109375" style="3" customWidth="1"/>
    <col min="9402" max="9402" width="6.5703125" style="3" customWidth="1"/>
    <col min="9403" max="9403" width="13.5703125" style="3" customWidth="1"/>
    <col min="9404" max="9404" width="13.42578125" style="3" customWidth="1"/>
    <col min="9405" max="9406" width="12.5703125" style="3" customWidth="1"/>
    <col min="9407" max="9407" width="14.85546875" style="3" customWidth="1"/>
    <col min="9408" max="9408" width="20.7109375" style="3" customWidth="1"/>
    <col min="9409" max="9409" width="12.5703125" style="3" customWidth="1"/>
    <col min="9410" max="9410" width="13" style="3" customWidth="1"/>
    <col min="9411" max="9411" width="16" style="3" customWidth="1"/>
    <col min="9412" max="9412" width="6.42578125" style="3" customWidth="1"/>
    <col min="9413" max="9413" width="16" style="3" customWidth="1"/>
    <col min="9414" max="9414" width="2.85546875" style="3" customWidth="1"/>
    <col min="9415" max="9415" width="0.85546875" style="3" customWidth="1"/>
    <col min="9416" max="9416" width="11" style="3"/>
    <col min="9417" max="9417" width="15.42578125" style="3" customWidth="1"/>
    <col min="9418" max="9420" width="14.85546875" style="3" customWidth="1"/>
    <col min="9421" max="9421" width="0.7109375" style="3" customWidth="1"/>
    <col min="9422" max="9422" width="11" style="3"/>
    <col min="9423" max="9423" width="15.7109375" style="3" customWidth="1"/>
    <col min="9424" max="9425" width="14.85546875" style="3" customWidth="1"/>
    <col min="9426" max="9426" width="3.28515625" style="3" customWidth="1"/>
    <col min="9427" max="9427" width="20.140625" style="3" customWidth="1"/>
    <col min="9428" max="9428" width="3.28515625" style="3" customWidth="1"/>
    <col min="9429" max="9433" width="11" style="3"/>
    <col min="9434" max="9446" width="4.7109375" style="3" customWidth="1"/>
    <col min="9447" max="9656" width="11" style="3"/>
    <col min="9657" max="9657" width="0.7109375" style="3" customWidth="1"/>
    <col min="9658" max="9658" width="6.5703125" style="3" customWidth="1"/>
    <col min="9659" max="9659" width="13.5703125" style="3" customWidth="1"/>
    <col min="9660" max="9660" width="13.42578125" style="3" customWidth="1"/>
    <col min="9661" max="9662" width="12.5703125" style="3" customWidth="1"/>
    <col min="9663" max="9663" width="14.85546875" style="3" customWidth="1"/>
    <col min="9664" max="9664" width="20.7109375" style="3" customWidth="1"/>
    <col min="9665" max="9665" width="12.5703125" style="3" customWidth="1"/>
    <col min="9666" max="9666" width="13" style="3" customWidth="1"/>
    <col min="9667" max="9667" width="16" style="3" customWidth="1"/>
    <col min="9668" max="9668" width="6.42578125" style="3" customWidth="1"/>
    <col min="9669" max="9669" width="16" style="3" customWidth="1"/>
    <col min="9670" max="9670" width="2.85546875" style="3" customWidth="1"/>
    <col min="9671" max="9671" width="0.85546875" style="3" customWidth="1"/>
    <col min="9672" max="9672" width="11" style="3"/>
    <col min="9673" max="9673" width="15.42578125" style="3" customWidth="1"/>
    <col min="9674" max="9676" width="14.85546875" style="3" customWidth="1"/>
    <col min="9677" max="9677" width="0.7109375" style="3" customWidth="1"/>
    <col min="9678" max="9678" width="11" style="3"/>
    <col min="9679" max="9679" width="15.7109375" style="3" customWidth="1"/>
    <col min="9680" max="9681" width="14.85546875" style="3" customWidth="1"/>
    <col min="9682" max="9682" width="3.28515625" style="3" customWidth="1"/>
    <col min="9683" max="9683" width="20.140625" style="3" customWidth="1"/>
    <col min="9684" max="9684" width="3.28515625" style="3" customWidth="1"/>
    <col min="9685" max="9689" width="11" style="3"/>
    <col min="9690" max="9702" width="4.7109375" style="3" customWidth="1"/>
    <col min="9703" max="9912" width="11" style="3"/>
    <col min="9913" max="9913" width="0.7109375" style="3" customWidth="1"/>
    <col min="9914" max="9914" width="6.5703125" style="3" customWidth="1"/>
    <col min="9915" max="9915" width="13.5703125" style="3" customWidth="1"/>
    <col min="9916" max="9916" width="13.42578125" style="3" customWidth="1"/>
    <col min="9917" max="9918" width="12.5703125" style="3" customWidth="1"/>
    <col min="9919" max="9919" width="14.85546875" style="3" customWidth="1"/>
    <col min="9920" max="9920" width="20.7109375" style="3" customWidth="1"/>
    <col min="9921" max="9921" width="12.5703125" style="3" customWidth="1"/>
    <col min="9922" max="9922" width="13" style="3" customWidth="1"/>
    <col min="9923" max="9923" width="16" style="3" customWidth="1"/>
    <col min="9924" max="9924" width="6.42578125" style="3" customWidth="1"/>
    <col min="9925" max="9925" width="16" style="3" customWidth="1"/>
    <col min="9926" max="9926" width="2.85546875" style="3" customWidth="1"/>
    <col min="9927" max="9927" width="0.85546875" style="3" customWidth="1"/>
    <col min="9928" max="9928" width="11" style="3"/>
    <col min="9929" max="9929" width="15.42578125" style="3" customWidth="1"/>
    <col min="9930" max="9932" width="14.85546875" style="3" customWidth="1"/>
    <col min="9933" max="9933" width="0.7109375" style="3" customWidth="1"/>
    <col min="9934" max="9934" width="11" style="3"/>
    <col min="9935" max="9935" width="15.7109375" style="3" customWidth="1"/>
    <col min="9936" max="9937" width="14.85546875" style="3" customWidth="1"/>
    <col min="9938" max="9938" width="3.28515625" style="3" customWidth="1"/>
    <col min="9939" max="9939" width="20.140625" style="3" customWidth="1"/>
    <col min="9940" max="9940" width="3.28515625" style="3" customWidth="1"/>
    <col min="9941" max="9945" width="11" style="3"/>
    <col min="9946" max="9958" width="4.7109375" style="3" customWidth="1"/>
    <col min="9959" max="10168" width="11" style="3"/>
    <col min="10169" max="10169" width="0.7109375" style="3" customWidth="1"/>
    <col min="10170" max="10170" width="6.5703125" style="3" customWidth="1"/>
    <col min="10171" max="10171" width="13.5703125" style="3" customWidth="1"/>
    <col min="10172" max="10172" width="13.42578125" style="3" customWidth="1"/>
    <col min="10173" max="10174" width="12.5703125" style="3" customWidth="1"/>
    <col min="10175" max="10175" width="14.85546875" style="3" customWidth="1"/>
    <col min="10176" max="10176" width="20.7109375" style="3" customWidth="1"/>
    <col min="10177" max="10177" width="12.5703125" style="3" customWidth="1"/>
    <col min="10178" max="10178" width="13" style="3" customWidth="1"/>
    <col min="10179" max="10179" width="16" style="3" customWidth="1"/>
    <col min="10180" max="10180" width="6.42578125" style="3" customWidth="1"/>
    <col min="10181" max="10181" width="16" style="3" customWidth="1"/>
    <col min="10182" max="10182" width="2.85546875" style="3" customWidth="1"/>
    <col min="10183" max="10183" width="0.85546875" style="3" customWidth="1"/>
    <col min="10184" max="10184" width="11" style="3"/>
    <col min="10185" max="10185" width="15.42578125" style="3" customWidth="1"/>
    <col min="10186" max="10188" width="14.85546875" style="3" customWidth="1"/>
    <col min="10189" max="10189" width="0.7109375" style="3" customWidth="1"/>
    <col min="10190" max="10190" width="11" style="3"/>
    <col min="10191" max="10191" width="15.7109375" style="3" customWidth="1"/>
    <col min="10192" max="10193" width="14.85546875" style="3" customWidth="1"/>
    <col min="10194" max="10194" width="3.28515625" style="3" customWidth="1"/>
    <col min="10195" max="10195" width="20.140625" style="3" customWidth="1"/>
    <col min="10196" max="10196" width="3.28515625" style="3" customWidth="1"/>
    <col min="10197" max="10201" width="11" style="3"/>
    <col min="10202" max="10214" width="4.7109375" style="3" customWidth="1"/>
    <col min="10215" max="10424" width="11" style="3"/>
    <col min="10425" max="10425" width="0.7109375" style="3" customWidth="1"/>
    <col min="10426" max="10426" width="6.5703125" style="3" customWidth="1"/>
    <col min="10427" max="10427" width="13.5703125" style="3" customWidth="1"/>
    <col min="10428" max="10428" width="13.42578125" style="3" customWidth="1"/>
    <col min="10429" max="10430" width="12.5703125" style="3" customWidth="1"/>
    <col min="10431" max="10431" width="14.85546875" style="3" customWidth="1"/>
    <col min="10432" max="10432" width="20.7109375" style="3" customWidth="1"/>
    <col min="10433" max="10433" width="12.5703125" style="3" customWidth="1"/>
    <col min="10434" max="10434" width="13" style="3" customWidth="1"/>
    <col min="10435" max="10435" width="16" style="3" customWidth="1"/>
    <col min="10436" max="10436" width="6.42578125" style="3" customWidth="1"/>
    <col min="10437" max="10437" width="16" style="3" customWidth="1"/>
    <col min="10438" max="10438" width="2.85546875" style="3" customWidth="1"/>
    <col min="10439" max="10439" width="0.85546875" style="3" customWidth="1"/>
    <col min="10440" max="10440" width="11" style="3"/>
    <col min="10441" max="10441" width="15.42578125" style="3" customWidth="1"/>
    <col min="10442" max="10444" width="14.85546875" style="3" customWidth="1"/>
    <col min="10445" max="10445" width="0.7109375" style="3" customWidth="1"/>
    <col min="10446" max="10446" width="11" style="3"/>
    <col min="10447" max="10447" width="15.7109375" style="3" customWidth="1"/>
    <col min="10448" max="10449" width="14.85546875" style="3" customWidth="1"/>
    <col min="10450" max="10450" width="3.28515625" style="3" customWidth="1"/>
    <col min="10451" max="10451" width="20.140625" style="3" customWidth="1"/>
    <col min="10452" max="10452" width="3.28515625" style="3" customWidth="1"/>
    <col min="10453" max="10457" width="11" style="3"/>
    <col min="10458" max="10470" width="4.7109375" style="3" customWidth="1"/>
    <col min="10471" max="10680" width="11" style="3"/>
    <col min="10681" max="10681" width="0.7109375" style="3" customWidth="1"/>
    <col min="10682" max="10682" width="6.5703125" style="3" customWidth="1"/>
    <col min="10683" max="10683" width="13.5703125" style="3" customWidth="1"/>
    <col min="10684" max="10684" width="13.42578125" style="3" customWidth="1"/>
    <col min="10685" max="10686" width="12.5703125" style="3" customWidth="1"/>
    <col min="10687" max="10687" width="14.85546875" style="3" customWidth="1"/>
    <col min="10688" max="10688" width="20.7109375" style="3" customWidth="1"/>
    <col min="10689" max="10689" width="12.5703125" style="3" customWidth="1"/>
    <col min="10690" max="10690" width="13" style="3" customWidth="1"/>
    <col min="10691" max="10691" width="16" style="3" customWidth="1"/>
    <col min="10692" max="10692" width="6.42578125" style="3" customWidth="1"/>
    <col min="10693" max="10693" width="16" style="3" customWidth="1"/>
    <col min="10694" max="10694" width="2.85546875" style="3" customWidth="1"/>
    <col min="10695" max="10695" width="0.85546875" style="3" customWidth="1"/>
    <col min="10696" max="10696" width="11" style="3"/>
    <col min="10697" max="10697" width="15.42578125" style="3" customWidth="1"/>
    <col min="10698" max="10700" width="14.85546875" style="3" customWidth="1"/>
    <col min="10701" max="10701" width="0.7109375" style="3" customWidth="1"/>
    <col min="10702" max="10702" width="11" style="3"/>
    <col min="10703" max="10703" width="15.7109375" style="3" customWidth="1"/>
    <col min="10704" max="10705" width="14.85546875" style="3" customWidth="1"/>
    <col min="10706" max="10706" width="3.28515625" style="3" customWidth="1"/>
    <col min="10707" max="10707" width="20.140625" style="3" customWidth="1"/>
    <col min="10708" max="10708" width="3.28515625" style="3" customWidth="1"/>
    <col min="10709" max="10713" width="11" style="3"/>
    <col min="10714" max="10726" width="4.7109375" style="3" customWidth="1"/>
    <col min="10727" max="10936" width="11" style="3"/>
    <col min="10937" max="10937" width="0.7109375" style="3" customWidth="1"/>
    <col min="10938" max="10938" width="6.5703125" style="3" customWidth="1"/>
    <col min="10939" max="10939" width="13.5703125" style="3" customWidth="1"/>
    <col min="10940" max="10940" width="13.42578125" style="3" customWidth="1"/>
    <col min="10941" max="10942" width="12.5703125" style="3" customWidth="1"/>
    <col min="10943" max="10943" width="14.85546875" style="3" customWidth="1"/>
    <col min="10944" max="10944" width="20.7109375" style="3" customWidth="1"/>
    <col min="10945" max="10945" width="12.5703125" style="3" customWidth="1"/>
    <col min="10946" max="10946" width="13" style="3" customWidth="1"/>
    <col min="10947" max="10947" width="16" style="3" customWidth="1"/>
    <col min="10948" max="10948" width="6.42578125" style="3" customWidth="1"/>
    <col min="10949" max="10949" width="16" style="3" customWidth="1"/>
    <col min="10950" max="10950" width="2.85546875" style="3" customWidth="1"/>
    <col min="10951" max="10951" width="0.85546875" style="3" customWidth="1"/>
    <col min="10952" max="10952" width="11" style="3"/>
    <col min="10953" max="10953" width="15.42578125" style="3" customWidth="1"/>
    <col min="10954" max="10956" width="14.85546875" style="3" customWidth="1"/>
    <col min="10957" max="10957" width="0.7109375" style="3" customWidth="1"/>
    <col min="10958" max="10958" width="11" style="3"/>
    <col min="10959" max="10959" width="15.7109375" style="3" customWidth="1"/>
    <col min="10960" max="10961" width="14.85546875" style="3" customWidth="1"/>
    <col min="10962" max="10962" width="3.28515625" style="3" customWidth="1"/>
    <col min="10963" max="10963" width="20.140625" style="3" customWidth="1"/>
    <col min="10964" max="10964" width="3.28515625" style="3" customWidth="1"/>
    <col min="10965" max="10969" width="11" style="3"/>
    <col min="10970" max="10982" width="4.7109375" style="3" customWidth="1"/>
    <col min="10983" max="11192" width="11" style="3"/>
    <col min="11193" max="11193" width="0.7109375" style="3" customWidth="1"/>
    <col min="11194" max="11194" width="6.5703125" style="3" customWidth="1"/>
    <col min="11195" max="11195" width="13.5703125" style="3" customWidth="1"/>
    <col min="11196" max="11196" width="13.42578125" style="3" customWidth="1"/>
    <col min="11197" max="11198" width="12.5703125" style="3" customWidth="1"/>
    <col min="11199" max="11199" width="14.85546875" style="3" customWidth="1"/>
    <col min="11200" max="11200" width="20.7109375" style="3" customWidth="1"/>
    <col min="11201" max="11201" width="12.5703125" style="3" customWidth="1"/>
    <col min="11202" max="11202" width="13" style="3" customWidth="1"/>
    <col min="11203" max="11203" width="16" style="3" customWidth="1"/>
    <col min="11204" max="11204" width="6.42578125" style="3" customWidth="1"/>
    <col min="11205" max="11205" width="16" style="3" customWidth="1"/>
    <col min="11206" max="11206" width="2.85546875" style="3" customWidth="1"/>
    <col min="11207" max="11207" width="0.85546875" style="3" customWidth="1"/>
    <col min="11208" max="11208" width="11" style="3"/>
    <col min="11209" max="11209" width="15.42578125" style="3" customWidth="1"/>
    <col min="11210" max="11212" width="14.85546875" style="3" customWidth="1"/>
    <col min="11213" max="11213" width="0.7109375" style="3" customWidth="1"/>
    <col min="11214" max="11214" width="11" style="3"/>
    <col min="11215" max="11215" width="15.7109375" style="3" customWidth="1"/>
    <col min="11216" max="11217" width="14.85546875" style="3" customWidth="1"/>
    <col min="11218" max="11218" width="3.28515625" style="3" customWidth="1"/>
    <col min="11219" max="11219" width="20.140625" style="3" customWidth="1"/>
    <col min="11220" max="11220" width="3.28515625" style="3" customWidth="1"/>
    <col min="11221" max="11225" width="11" style="3"/>
    <col min="11226" max="11238" width="4.7109375" style="3" customWidth="1"/>
    <col min="11239" max="11448" width="11" style="3"/>
    <col min="11449" max="11449" width="0.7109375" style="3" customWidth="1"/>
    <col min="11450" max="11450" width="6.5703125" style="3" customWidth="1"/>
    <col min="11451" max="11451" width="13.5703125" style="3" customWidth="1"/>
    <col min="11452" max="11452" width="13.42578125" style="3" customWidth="1"/>
    <col min="11453" max="11454" width="12.5703125" style="3" customWidth="1"/>
    <col min="11455" max="11455" width="14.85546875" style="3" customWidth="1"/>
    <col min="11456" max="11456" width="20.7109375" style="3" customWidth="1"/>
    <col min="11457" max="11457" width="12.5703125" style="3" customWidth="1"/>
    <col min="11458" max="11458" width="13" style="3" customWidth="1"/>
    <col min="11459" max="11459" width="16" style="3" customWidth="1"/>
    <col min="11460" max="11460" width="6.42578125" style="3" customWidth="1"/>
    <col min="11461" max="11461" width="16" style="3" customWidth="1"/>
    <col min="11462" max="11462" width="2.85546875" style="3" customWidth="1"/>
    <col min="11463" max="11463" width="0.85546875" style="3" customWidth="1"/>
    <col min="11464" max="11464" width="11" style="3"/>
    <col min="11465" max="11465" width="15.42578125" style="3" customWidth="1"/>
    <col min="11466" max="11468" width="14.85546875" style="3" customWidth="1"/>
    <col min="11469" max="11469" width="0.7109375" style="3" customWidth="1"/>
    <col min="11470" max="11470" width="11" style="3"/>
    <col min="11471" max="11471" width="15.7109375" style="3" customWidth="1"/>
    <col min="11472" max="11473" width="14.85546875" style="3" customWidth="1"/>
    <col min="11474" max="11474" width="3.28515625" style="3" customWidth="1"/>
    <col min="11475" max="11475" width="20.140625" style="3" customWidth="1"/>
    <col min="11476" max="11476" width="3.28515625" style="3" customWidth="1"/>
    <col min="11477" max="11481" width="11" style="3"/>
    <col min="11482" max="11494" width="4.7109375" style="3" customWidth="1"/>
    <col min="11495" max="11704" width="11" style="3"/>
    <col min="11705" max="11705" width="0.7109375" style="3" customWidth="1"/>
    <col min="11706" max="11706" width="6.5703125" style="3" customWidth="1"/>
    <col min="11707" max="11707" width="13.5703125" style="3" customWidth="1"/>
    <col min="11708" max="11708" width="13.42578125" style="3" customWidth="1"/>
    <col min="11709" max="11710" width="12.5703125" style="3" customWidth="1"/>
    <col min="11711" max="11711" width="14.85546875" style="3" customWidth="1"/>
    <col min="11712" max="11712" width="20.7109375" style="3" customWidth="1"/>
    <col min="11713" max="11713" width="12.5703125" style="3" customWidth="1"/>
    <col min="11714" max="11714" width="13" style="3" customWidth="1"/>
    <col min="11715" max="11715" width="16" style="3" customWidth="1"/>
    <col min="11716" max="11716" width="6.42578125" style="3" customWidth="1"/>
    <col min="11717" max="11717" width="16" style="3" customWidth="1"/>
    <col min="11718" max="11718" width="2.85546875" style="3" customWidth="1"/>
    <col min="11719" max="11719" width="0.85546875" style="3" customWidth="1"/>
    <col min="11720" max="11720" width="11" style="3"/>
    <col min="11721" max="11721" width="15.42578125" style="3" customWidth="1"/>
    <col min="11722" max="11724" width="14.85546875" style="3" customWidth="1"/>
    <col min="11725" max="11725" width="0.7109375" style="3" customWidth="1"/>
    <col min="11726" max="11726" width="11" style="3"/>
    <col min="11727" max="11727" width="15.7109375" style="3" customWidth="1"/>
    <col min="11728" max="11729" width="14.85546875" style="3" customWidth="1"/>
    <col min="11730" max="11730" width="3.28515625" style="3" customWidth="1"/>
    <col min="11731" max="11731" width="20.140625" style="3" customWidth="1"/>
    <col min="11732" max="11732" width="3.28515625" style="3" customWidth="1"/>
    <col min="11733" max="11737" width="11" style="3"/>
    <col min="11738" max="11750" width="4.7109375" style="3" customWidth="1"/>
    <col min="11751" max="11960" width="11" style="3"/>
    <col min="11961" max="11961" width="0.7109375" style="3" customWidth="1"/>
    <col min="11962" max="11962" width="6.5703125" style="3" customWidth="1"/>
    <col min="11963" max="11963" width="13.5703125" style="3" customWidth="1"/>
    <col min="11964" max="11964" width="13.42578125" style="3" customWidth="1"/>
    <col min="11965" max="11966" width="12.5703125" style="3" customWidth="1"/>
    <col min="11967" max="11967" width="14.85546875" style="3" customWidth="1"/>
    <col min="11968" max="11968" width="20.7109375" style="3" customWidth="1"/>
    <col min="11969" max="11969" width="12.5703125" style="3" customWidth="1"/>
    <col min="11970" max="11970" width="13" style="3" customWidth="1"/>
    <col min="11971" max="11971" width="16" style="3" customWidth="1"/>
    <col min="11972" max="11972" width="6.42578125" style="3" customWidth="1"/>
    <col min="11973" max="11973" width="16" style="3" customWidth="1"/>
    <col min="11974" max="11974" width="2.85546875" style="3" customWidth="1"/>
    <col min="11975" max="11975" width="0.85546875" style="3" customWidth="1"/>
    <col min="11976" max="11976" width="11" style="3"/>
    <col min="11977" max="11977" width="15.42578125" style="3" customWidth="1"/>
    <col min="11978" max="11980" width="14.85546875" style="3" customWidth="1"/>
    <col min="11981" max="11981" width="0.7109375" style="3" customWidth="1"/>
    <col min="11982" max="11982" width="11" style="3"/>
    <col min="11983" max="11983" width="15.7109375" style="3" customWidth="1"/>
    <col min="11984" max="11985" width="14.85546875" style="3" customWidth="1"/>
    <col min="11986" max="11986" width="3.28515625" style="3" customWidth="1"/>
    <col min="11987" max="11987" width="20.140625" style="3" customWidth="1"/>
    <col min="11988" max="11988" width="3.28515625" style="3" customWidth="1"/>
    <col min="11989" max="11993" width="11" style="3"/>
    <col min="11994" max="12006" width="4.7109375" style="3" customWidth="1"/>
    <col min="12007" max="12216" width="11" style="3"/>
    <col min="12217" max="12217" width="0.7109375" style="3" customWidth="1"/>
    <col min="12218" max="12218" width="6.5703125" style="3" customWidth="1"/>
    <col min="12219" max="12219" width="13.5703125" style="3" customWidth="1"/>
    <col min="12220" max="12220" width="13.42578125" style="3" customWidth="1"/>
    <col min="12221" max="12222" width="12.5703125" style="3" customWidth="1"/>
    <col min="12223" max="12223" width="14.85546875" style="3" customWidth="1"/>
    <col min="12224" max="12224" width="20.7109375" style="3" customWidth="1"/>
    <col min="12225" max="12225" width="12.5703125" style="3" customWidth="1"/>
    <col min="12226" max="12226" width="13" style="3" customWidth="1"/>
    <col min="12227" max="12227" width="16" style="3" customWidth="1"/>
    <col min="12228" max="12228" width="6.42578125" style="3" customWidth="1"/>
    <col min="12229" max="12229" width="16" style="3" customWidth="1"/>
    <col min="12230" max="12230" width="2.85546875" style="3" customWidth="1"/>
    <col min="12231" max="12231" width="0.85546875" style="3" customWidth="1"/>
    <col min="12232" max="12232" width="11" style="3"/>
    <col min="12233" max="12233" width="15.42578125" style="3" customWidth="1"/>
    <col min="12234" max="12236" width="14.85546875" style="3" customWidth="1"/>
    <col min="12237" max="12237" width="0.7109375" style="3" customWidth="1"/>
    <col min="12238" max="12238" width="11" style="3"/>
    <col min="12239" max="12239" width="15.7109375" style="3" customWidth="1"/>
    <col min="12240" max="12241" width="14.85546875" style="3" customWidth="1"/>
    <col min="12242" max="12242" width="3.28515625" style="3" customWidth="1"/>
    <col min="12243" max="12243" width="20.140625" style="3" customWidth="1"/>
    <col min="12244" max="12244" width="3.28515625" style="3" customWidth="1"/>
    <col min="12245" max="12249" width="11" style="3"/>
    <col min="12250" max="12262" width="4.7109375" style="3" customWidth="1"/>
    <col min="12263" max="12472" width="11" style="3"/>
    <col min="12473" max="12473" width="0.7109375" style="3" customWidth="1"/>
    <col min="12474" max="12474" width="6.5703125" style="3" customWidth="1"/>
    <col min="12475" max="12475" width="13.5703125" style="3" customWidth="1"/>
    <col min="12476" max="12476" width="13.42578125" style="3" customWidth="1"/>
    <col min="12477" max="12478" width="12.5703125" style="3" customWidth="1"/>
    <col min="12479" max="12479" width="14.85546875" style="3" customWidth="1"/>
    <col min="12480" max="12480" width="20.7109375" style="3" customWidth="1"/>
    <col min="12481" max="12481" width="12.5703125" style="3" customWidth="1"/>
    <col min="12482" max="12482" width="13" style="3" customWidth="1"/>
    <col min="12483" max="12483" width="16" style="3" customWidth="1"/>
    <col min="12484" max="12484" width="6.42578125" style="3" customWidth="1"/>
    <col min="12485" max="12485" width="16" style="3" customWidth="1"/>
    <col min="12486" max="12486" width="2.85546875" style="3" customWidth="1"/>
    <col min="12487" max="12487" width="0.85546875" style="3" customWidth="1"/>
    <col min="12488" max="12488" width="11" style="3"/>
    <col min="12489" max="12489" width="15.42578125" style="3" customWidth="1"/>
    <col min="12490" max="12492" width="14.85546875" style="3" customWidth="1"/>
    <col min="12493" max="12493" width="0.7109375" style="3" customWidth="1"/>
    <col min="12494" max="12494" width="11" style="3"/>
    <col min="12495" max="12495" width="15.7109375" style="3" customWidth="1"/>
    <col min="12496" max="12497" width="14.85546875" style="3" customWidth="1"/>
    <col min="12498" max="12498" width="3.28515625" style="3" customWidth="1"/>
    <col min="12499" max="12499" width="20.140625" style="3" customWidth="1"/>
    <col min="12500" max="12500" width="3.28515625" style="3" customWidth="1"/>
    <col min="12501" max="12505" width="11" style="3"/>
    <col min="12506" max="12518" width="4.7109375" style="3" customWidth="1"/>
    <col min="12519" max="12728" width="11" style="3"/>
    <col min="12729" max="12729" width="0.7109375" style="3" customWidth="1"/>
    <col min="12730" max="12730" width="6.5703125" style="3" customWidth="1"/>
    <col min="12731" max="12731" width="13.5703125" style="3" customWidth="1"/>
    <col min="12732" max="12732" width="13.42578125" style="3" customWidth="1"/>
    <col min="12733" max="12734" width="12.5703125" style="3" customWidth="1"/>
    <col min="12735" max="12735" width="14.85546875" style="3" customWidth="1"/>
    <col min="12736" max="12736" width="20.7109375" style="3" customWidth="1"/>
    <col min="12737" max="12737" width="12.5703125" style="3" customWidth="1"/>
    <col min="12738" max="12738" width="13" style="3" customWidth="1"/>
    <col min="12739" max="12739" width="16" style="3" customWidth="1"/>
    <col min="12740" max="12740" width="6.42578125" style="3" customWidth="1"/>
    <col min="12741" max="12741" width="16" style="3" customWidth="1"/>
    <col min="12742" max="12742" width="2.85546875" style="3" customWidth="1"/>
    <col min="12743" max="12743" width="0.85546875" style="3" customWidth="1"/>
    <col min="12744" max="12744" width="11" style="3"/>
    <col min="12745" max="12745" width="15.42578125" style="3" customWidth="1"/>
    <col min="12746" max="12748" width="14.85546875" style="3" customWidth="1"/>
    <col min="12749" max="12749" width="0.7109375" style="3" customWidth="1"/>
    <col min="12750" max="12750" width="11" style="3"/>
    <col min="12751" max="12751" width="15.7109375" style="3" customWidth="1"/>
    <col min="12752" max="12753" width="14.85546875" style="3" customWidth="1"/>
    <col min="12754" max="12754" width="3.28515625" style="3" customWidth="1"/>
    <col min="12755" max="12755" width="20.140625" style="3" customWidth="1"/>
    <col min="12756" max="12756" width="3.28515625" style="3" customWidth="1"/>
    <col min="12757" max="12761" width="11" style="3"/>
    <col min="12762" max="12774" width="4.7109375" style="3" customWidth="1"/>
    <col min="12775" max="12984" width="11" style="3"/>
    <col min="12985" max="12985" width="0.7109375" style="3" customWidth="1"/>
    <col min="12986" max="12986" width="6.5703125" style="3" customWidth="1"/>
    <col min="12987" max="12987" width="13.5703125" style="3" customWidth="1"/>
    <col min="12988" max="12988" width="13.42578125" style="3" customWidth="1"/>
    <col min="12989" max="12990" width="12.5703125" style="3" customWidth="1"/>
    <col min="12991" max="12991" width="14.85546875" style="3" customWidth="1"/>
    <col min="12992" max="12992" width="20.7109375" style="3" customWidth="1"/>
    <col min="12993" max="12993" width="12.5703125" style="3" customWidth="1"/>
    <col min="12994" max="12994" width="13" style="3" customWidth="1"/>
    <col min="12995" max="12995" width="16" style="3" customWidth="1"/>
    <col min="12996" max="12996" width="6.42578125" style="3" customWidth="1"/>
    <col min="12997" max="12997" width="16" style="3" customWidth="1"/>
    <col min="12998" max="12998" width="2.85546875" style="3" customWidth="1"/>
    <col min="12999" max="12999" width="0.85546875" style="3" customWidth="1"/>
    <col min="13000" max="13000" width="11" style="3"/>
    <col min="13001" max="13001" width="15.42578125" style="3" customWidth="1"/>
    <col min="13002" max="13004" width="14.85546875" style="3" customWidth="1"/>
    <col min="13005" max="13005" width="0.7109375" style="3" customWidth="1"/>
    <col min="13006" max="13006" width="11" style="3"/>
    <col min="13007" max="13007" width="15.7109375" style="3" customWidth="1"/>
    <col min="13008" max="13009" width="14.85546875" style="3" customWidth="1"/>
    <col min="13010" max="13010" width="3.28515625" style="3" customWidth="1"/>
    <col min="13011" max="13011" width="20.140625" style="3" customWidth="1"/>
    <col min="13012" max="13012" width="3.28515625" style="3" customWidth="1"/>
    <col min="13013" max="13017" width="11" style="3"/>
    <col min="13018" max="13030" width="4.7109375" style="3" customWidth="1"/>
    <col min="13031" max="13240" width="11" style="3"/>
    <col min="13241" max="13241" width="0.7109375" style="3" customWidth="1"/>
    <col min="13242" max="13242" width="6.5703125" style="3" customWidth="1"/>
    <col min="13243" max="13243" width="13.5703125" style="3" customWidth="1"/>
    <col min="13244" max="13244" width="13.42578125" style="3" customWidth="1"/>
    <col min="13245" max="13246" width="12.5703125" style="3" customWidth="1"/>
    <col min="13247" max="13247" width="14.85546875" style="3" customWidth="1"/>
    <col min="13248" max="13248" width="20.7109375" style="3" customWidth="1"/>
    <col min="13249" max="13249" width="12.5703125" style="3" customWidth="1"/>
    <col min="13250" max="13250" width="13" style="3" customWidth="1"/>
    <col min="13251" max="13251" width="16" style="3" customWidth="1"/>
    <col min="13252" max="13252" width="6.42578125" style="3" customWidth="1"/>
    <col min="13253" max="13253" width="16" style="3" customWidth="1"/>
    <col min="13254" max="13254" width="2.85546875" style="3" customWidth="1"/>
    <col min="13255" max="13255" width="0.85546875" style="3" customWidth="1"/>
    <col min="13256" max="13256" width="11" style="3"/>
    <col min="13257" max="13257" width="15.42578125" style="3" customWidth="1"/>
    <col min="13258" max="13260" width="14.85546875" style="3" customWidth="1"/>
    <col min="13261" max="13261" width="0.7109375" style="3" customWidth="1"/>
    <col min="13262" max="13262" width="11" style="3"/>
    <col min="13263" max="13263" width="15.7109375" style="3" customWidth="1"/>
    <col min="13264" max="13265" width="14.85546875" style="3" customWidth="1"/>
    <col min="13266" max="13266" width="3.28515625" style="3" customWidth="1"/>
    <col min="13267" max="13267" width="20.140625" style="3" customWidth="1"/>
    <col min="13268" max="13268" width="3.28515625" style="3" customWidth="1"/>
    <col min="13269" max="13273" width="11" style="3"/>
    <col min="13274" max="13286" width="4.7109375" style="3" customWidth="1"/>
    <col min="13287" max="13496" width="11" style="3"/>
    <col min="13497" max="13497" width="0.7109375" style="3" customWidth="1"/>
    <col min="13498" max="13498" width="6.5703125" style="3" customWidth="1"/>
    <col min="13499" max="13499" width="13.5703125" style="3" customWidth="1"/>
    <col min="13500" max="13500" width="13.42578125" style="3" customWidth="1"/>
    <col min="13501" max="13502" width="12.5703125" style="3" customWidth="1"/>
    <col min="13503" max="13503" width="14.85546875" style="3" customWidth="1"/>
    <col min="13504" max="13504" width="20.7109375" style="3" customWidth="1"/>
    <col min="13505" max="13505" width="12.5703125" style="3" customWidth="1"/>
    <col min="13506" max="13506" width="13" style="3" customWidth="1"/>
    <col min="13507" max="13507" width="16" style="3" customWidth="1"/>
    <col min="13508" max="13508" width="6.42578125" style="3" customWidth="1"/>
    <col min="13509" max="13509" width="16" style="3" customWidth="1"/>
    <col min="13510" max="13510" width="2.85546875" style="3" customWidth="1"/>
    <col min="13511" max="13511" width="0.85546875" style="3" customWidth="1"/>
    <col min="13512" max="13512" width="11" style="3"/>
    <col min="13513" max="13513" width="15.42578125" style="3" customWidth="1"/>
    <col min="13514" max="13516" width="14.85546875" style="3" customWidth="1"/>
    <col min="13517" max="13517" width="0.7109375" style="3" customWidth="1"/>
    <col min="13518" max="13518" width="11" style="3"/>
    <col min="13519" max="13519" width="15.7109375" style="3" customWidth="1"/>
    <col min="13520" max="13521" width="14.85546875" style="3" customWidth="1"/>
    <col min="13522" max="13522" width="3.28515625" style="3" customWidth="1"/>
    <col min="13523" max="13523" width="20.140625" style="3" customWidth="1"/>
    <col min="13524" max="13524" width="3.28515625" style="3" customWidth="1"/>
    <col min="13525" max="13529" width="11" style="3"/>
    <col min="13530" max="13542" width="4.7109375" style="3" customWidth="1"/>
    <col min="13543" max="13752" width="11" style="3"/>
    <col min="13753" max="13753" width="0.7109375" style="3" customWidth="1"/>
    <col min="13754" max="13754" width="6.5703125" style="3" customWidth="1"/>
    <col min="13755" max="13755" width="13.5703125" style="3" customWidth="1"/>
    <col min="13756" max="13756" width="13.42578125" style="3" customWidth="1"/>
    <col min="13757" max="13758" width="12.5703125" style="3" customWidth="1"/>
    <col min="13759" max="13759" width="14.85546875" style="3" customWidth="1"/>
    <col min="13760" max="13760" width="20.7109375" style="3" customWidth="1"/>
    <col min="13761" max="13761" width="12.5703125" style="3" customWidth="1"/>
    <col min="13762" max="13762" width="13" style="3" customWidth="1"/>
    <col min="13763" max="13763" width="16" style="3" customWidth="1"/>
    <col min="13764" max="13764" width="6.42578125" style="3" customWidth="1"/>
    <col min="13765" max="13765" width="16" style="3" customWidth="1"/>
    <col min="13766" max="13766" width="2.85546875" style="3" customWidth="1"/>
    <col min="13767" max="13767" width="0.85546875" style="3" customWidth="1"/>
    <col min="13768" max="13768" width="11" style="3"/>
    <col min="13769" max="13769" width="15.42578125" style="3" customWidth="1"/>
    <col min="13770" max="13772" width="14.85546875" style="3" customWidth="1"/>
    <col min="13773" max="13773" width="0.7109375" style="3" customWidth="1"/>
    <col min="13774" max="13774" width="11" style="3"/>
    <col min="13775" max="13775" width="15.7109375" style="3" customWidth="1"/>
    <col min="13776" max="13777" width="14.85546875" style="3" customWidth="1"/>
    <col min="13778" max="13778" width="3.28515625" style="3" customWidth="1"/>
    <col min="13779" max="13779" width="20.140625" style="3" customWidth="1"/>
    <col min="13780" max="13780" width="3.28515625" style="3" customWidth="1"/>
    <col min="13781" max="13785" width="11" style="3"/>
    <col min="13786" max="13798" width="4.7109375" style="3" customWidth="1"/>
    <col min="13799" max="14008" width="11" style="3"/>
    <col min="14009" max="14009" width="0.7109375" style="3" customWidth="1"/>
    <col min="14010" max="14010" width="6.5703125" style="3" customWidth="1"/>
    <col min="14011" max="14011" width="13.5703125" style="3" customWidth="1"/>
    <col min="14012" max="14012" width="13.42578125" style="3" customWidth="1"/>
    <col min="14013" max="14014" width="12.5703125" style="3" customWidth="1"/>
    <col min="14015" max="14015" width="14.85546875" style="3" customWidth="1"/>
    <col min="14016" max="14016" width="20.7109375" style="3" customWidth="1"/>
    <col min="14017" max="14017" width="12.5703125" style="3" customWidth="1"/>
    <col min="14018" max="14018" width="13" style="3" customWidth="1"/>
    <col min="14019" max="14019" width="16" style="3" customWidth="1"/>
    <col min="14020" max="14020" width="6.42578125" style="3" customWidth="1"/>
    <col min="14021" max="14021" width="16" style="3" customWidth="1"/>
    <col min="14022" max="14022" width="2.85546875" style="3" customWidth="1"/>
    <col min="14023" max="14023" width="0.85546875" style="3" customWidth="1"/>
    <col min="14024" max="14024" width="11" style="3"/>
    <col min="14025" max="14025" width="15.42578125" style="3" customWidth="1"/>
    <col min="14026" max="14028" width="14.85546875" style="3" customWidth="1"/>
    <col min="14029" max="14029" width="0.7109375" style="3" customWidth="1"/>
    <col min="14030" max="14030" width="11" style="3"/>
    <col min="14031" max="14031" width="15.7109375" style="3" customWidth="1"/>
    <col min="14032" max="14033" width="14.85546875" style="3" customWidth="1"/>
    <col min="14034" max="14034" width="3.28515625" style="3" customWidth="1"/>
    <col min="14035" max="14035" width="20.140625" style="3" customWidth="1"/>
    <col min="14036" max="14036" width="3.28515625" style="3" customWidth="1"/>
    <col min="14037" max="14041" width="11" style="3"/>
    <col min="14042" max="14054" width="4.7109375" style="3" customWidth="1"/>
    <col min="14055" max="14264" width="11" style="3"/>
    <col min="14265" max="14265" width="0.7109375" style="3" customWidth="1"/>
    <col min="14266" max="14266" width="6.5703125" style="3" customWidth="1"/>
    <col min="14267" max="14267" width="13.5703125" style="3" customWidth="1"/>
    <col min="14268" max="14268" width="13.42578125" style="3" customWidth="1"/>
    <col min="14269" max="14270" width="12.5703125" style="3" customWidth="1"/>
    <col min="14271" max="14271" width="14.85546875" style="3" customWidth="1"/>
    <col min="14272" max="14272" width="20.7109375" style="3" customWidth="1"/>
    <col min="14273" max="14273" width="12.5703125" style="3" customWidth="1"/>
    <col min="14274" max="14274" width="13" style="3" customWidth="1"/>
    <col min="14275" max="14275" width="16" style="3" customWidth="1"/>
    <col min="14276" max="14276" width="6.42578125" style="3" customWidth="1"/>
    <col min="14277" max="14277" width="16" style="3" customWidth="1"/>
    <col min="14278" max="14278" width="2.85546875" style="3" customWidth="1"/>
    <col min="14279" max="14279" width="0.85546875" style="3" customWidth="1"/>
    <col min="14280" max="14280" width="11" style="3"/>
    <col min="14281" max="14281" width="15.42578125" style="3" customWidth="1"/>
    <col min="14282" max="14284" width="14.85546875" style="3" customWidth="1"/>
    <col min="14285" max="14285" width="0.7109375" style="3" customWidth="1"/>
    <col min="14286" max="14286" width="11" style="3"/>
    <col min="14287" max="14287" width="15.7109375" style="3" customWidth="1"/>
    <col min="14288" max="14289" width="14.85546875" style="3" customWidth="1"/>
    <col min="14290" max="14290" width="3.28515625" style="3" customWidth="1"/>
    <col min="14291" max="14291" width="20.140625" style="3" customWidth="1"/>
    <col min="14292" max="14292" width="3.28515625" style="3" customWidth="1"/>
    <col min="14293" max="14297" width="11" style="3"/>
    <col min="14298" max="14310" width="4.7109375" style="3" customWidth="1"/>
    <col min="14311" max="14520" width="11" style="3"/>
    <col min="14521" max="14521" width="0.7109375" style="3" customWidth="1"/>
    <col min="14522" max="14522" width="6.5703125" style="3" customWidth="1"/>
    <col min="14523" max="14523" width="13.5703125" style="3" customWidth="1"/>
    <col min="14524" max="14524" width="13.42578125" style="3" customWidth="1"/>
    <col min="14525" max="14526" width="12.5703125" style="3" customWidth="1"/>
    <col min="14527" max="14527" width="14.85546875" style="3" customWidth="1"/>
    <col min="14528" max="14528" width="20.7109375" style="3" customWidth="1"/>
    <col min="14529" max="14529" width="12.5703125" style="3" customWidth="1"/>
    <col min="14530" max="14530" width="13" style="3" customWidth="1"/>
    <col min="14531" max="14531" width="16" style="3" customWidth="1"/>
    <col min="14532" max="14532" width="6.42578125" style="3" customWidth="1"/>
    <col min="14533" max="14533" width="16" style="3" customWidth="1"/>
    <col min="14534" max="14534" width="2.85546875" style="3" customWidth="1"/>
    <col min="14535" max="14535" width="0.85546875" style="3" customWidth="1"/>
    <col min="14536" max="14536" width="11" style="3"/>
    <col min="14537" max="14537" width="15.42578125" style="3" customWidth="1"/>
    <col min="14538" max="14540" width="14.85546875" style="3" customWidth="1"/>
    <col min="14541" max="14541" width="0.7109375" style="3" customWidth="1"/>
    <col min="14542" max="14542" width="11" style="3"/>
    <col min="14543" max="14543" width="15.7109375" style="3" customWidth="1"/>
    <col min="14544" max="14545" width="14.85546875" style="3" customWidth="1"/>
    <col min="14546" max="14546" width="3.28515625" style="3" customWidth="1"/>
    <col min="14547" max="14547" width="20.140625" style="3" customWidth="1"/>
    <col min="14548" max="14548" width="3.28515625" style="3" customWidth="1"/>
    <col min="14549" max="14553" width="11" style="3"/>
    <col min="14554" max="14566" width="4.7109375" style="3" customWidth="1"/>
    <col min="14567" max="14776" width="11" style="3"/>
    <col min="14777" max="14777" width="0.7109375" style="3" customWidth="1"/>
    <col min="14778" max="14778" width="6.5703125" style="3" customWidth="1"/>
    <col min="14779" max="14779" width="13.5703125" style="3" customWidth="1"/>
    <col min="14780" max="14780" width="13.42578125" style="3" customWidth="1"/>
    <col min="14781" max="14782" width="12.5703125" style="3" customWidth="1"/>
    <col min="14783" max="14783" width="14.85546875" style="3" customWidth="1"/>
    <col min="14784" max="14784" width="20.7109375" style="3" customWidth="1"/>
    <col min="14785" max="14785" width="12.5703125" style="3" customWidth="1"/>
    <col min="14786" max="14786" width="13" style="3" customWidth="1"/>
    <col min="14787" max="14787" width="16" style="3" customWidth="1"/>
    <col min="14788" max="14788" width="6.42578125" style="3" customWidth="1"/>
    <col min="14789" max="14789" width="16" style="3" customWidth="1"/>
    <col min="14790" max="14790" width="2.85546875" style="3" customWidth="1"/>
    <col min="14791" max="14791" width="0.85546875" style="3" customWidth="1"/>
    <col min="14792" max="14792" width="11" style="3"/>
    <col min="14793" max="14793" width="15.42578125" style="3" customWidth="1"/>
    <col min="14794" max="14796" width="14.85546875" style="3" customWidth="1"/>
    <col min="14797" max="14797" width="0.7109375" style="3" customWidth="1"/>
    <col min="14798" max="14798" width="11" style="3"/>
    <col min="14799" max="14799" width="15.7109375" style="3" customWidth="1"/>
    <col min="14800" max="14801" width="14.85546875" style="3" customWidth="1"/>
    <col min="14802" max="14802" width="3.28515625" style="3" customWidth="1"/>
    <col min="14803" max="14803" width="20.140625" style="3" customWidth="1"/>
    <col min="14804" max="14804" width="3.28515625" style="3" customWidth="1"/>
    <col min="14805" max="14809" width="11" style="3"/>
    <col min="14810" max="14822" width="4.7109375" style="3" customWidth="1"/>
    <col min="14823" max="15032" width="11" style="3"/>
    <col min="15033" max="15033" width="0.7109375" style="3" customWidth="1"/>
    <col min="15034" max="15034" width="6.5703125" style="3" customWidth="1"/>
    <col min="15035" max="15035" width="13.5703125" style="3" customWidth="1"/>
    <col min="15036" max="15036" width="13.42578125" style="3" customWidth="1"/>
    <col min="15037" max="15038" width="12.5703125" style="3" customWidth="1"/>
    <col min="15039" max="15039" width="14.85546875" style="3" customWidth="1"/>
    <col min="15040" max="15040" width="20.7109375" style="3" customWidth="1"/>
    <col min="15041" max="15041" width="12.5703125" style="3" customWidth="1"/>
    <col min="15042" max="15042" width="13" style="3" customWidth="1"/>
    <col min="15043" max="15043" width="16" style="3" customWidth="1"/>
    <col min="15044" max="15044" width="6.42578125" style="3" customWidth="1"/>
    <col min="15045" max="15045" width="16" style="3" customWidth="1"/>
    <col min="15046" max="15046" width="2.85546875" style="3" customWidth="1"/>
    <col min="15047" max="15047" width="0.85546875" style="3" customWidth="1"/>
    <col min="15048" max="15048" width="11" style="3"/>
    <col min="15049" max="15049" width="15.42578125" style="3" customWidth="1"/>
    <col min="15050" max="15052" width="14.85546875" style="3" customWidth="1"/>
    <col min="15053" max="15053" width="0.7109375" style="3" customWidth="1"/>
    <col min="15054" max="15054" width="11" style="3"/>
    <col min="15055" max="15055" width="15.7109375" style="3" customWidth="1"/>
    <col min="15056" max="15057" width="14.85546875" style="3" customWidth="1"/>
    <col min="15058" max="15058" width="3.28515625" style="3" customWidth="1"/>
    <col min="15059" max="15059" width="20.140625" style="3" customWidth="1"/>
    <col min="15060" max="15060" width="3.28515625" style="3" customWidth="1"/>
    <col min="15061" max="15065" width="11" style="3"/>
    <col min="15066" max="15078" width="4.7109375" style="3" customWidth="1"/>
    <col min="15079" max="15288" width="11" style="3"/>
    <col min="15289" max="15289" width="0.7109375" style="3" customWidth="1"/>
    <col min="15290" max="15290" width="6.5703125" style="3" customWidth="1"/>
    <col min="15291" max="15291" width="13.5703125" style="3" customWidth="1"/>
    <col min="15292" max="15292" width="13.42578125" style="3" customWidth="1"/>
    <col min="15293" max="15294" width="12.5703125" style="3" customWidth="1"/>
    <col min="15295" max="15295" width="14.85546875" style="3" customWidth="1"/>
    <col min="15296" max="15296" width="20.7109375" style="3" customWidth="1"/>
    <col min="15297" max="15297" width="12.5703125" style="3" customWidth="1"/>
    <col min="15298" max="15298" width="13" style="3" customWidth="1"/>
    <col min="15299" max="15299" width="16" style="3" customWidth="1"/>
    <col min="15300" max="15300" width="6.42578125" style="3" customWidth="1"/>
    <col min="15301" max="15301" width="16" style="3" customWidth="1"/>
    <col min="15302" max="15302" width="2.85546875" style="3" customWidth="1"/>
    <col min="15303" max="15303" width="0.85546875" style="3" customWidth="1"/>
    <col min="15304" max="15304" width="11" style="3"/>
    <col min="15305" max="15305" width="15.42578125" style="3" customWidth="1"/>
    <col min="15306" max="15308" width="14.85546875" style="3" customWidth="1"/>
    <col min="15309" max="15309" width="0.7109375" style="3" customWidth="1"/>
    <col min="15310" max="15310" width="11" style="3"/>
    <col min="15311" max="15311" width="15.7109375" style="3" customWidth="1"/>
    <col min="15312" max="15313" width="14.85546875" style="3" customWidth="1"/>
    <col min="15314" max="15314" width="3.28515625" style="3" customWidth="1"/>
    <col min="15315" max="15315" width="20.140625" style="3" customWidth="1"/>
    <col min="15316" max="15316" width="3.28515625" style="3" customWidth="1"/>
    <col min="15317" max="15321" width="11" style="3"/>
    <col min="15322" max="15334" width="4.7109375" style="3" customWidth="1"/>
    <col min="15335" max="15544" width="11" style="3"/>
    <col min="15545" max="15545" width="0.7109375" style="3" customWidth="1"/>
    <col min="15546" max="15546" width="6.5703125" style="3" customWidth="1"/>
    <col min="15547" max="15547" width="13.5703125" style="3" customWidth="1"/>
    <col min="15548" max="15548" width="13.42578125" style="3" customWidth="1"/>
    <col min="15549" max="15550" width="12.5703125" style="3" customWidth="1"/>
    <col min="15551" max="15551" width="14.85546875" style="3" customWidth="1"/>
    <col min="15552" max="15552" width="20.7109375" style="3" customWidth="1"/>
    <col min="15553" max="15553" width="12.5703125" style="3" customWidth="1"/>
    <col min="15554" max="15554" width="13" style="3" customWidth="1"/>
    <col min="15555" max="15555" width="16" style="3" customWidth="1"/>
    <col min="15556" max="15556" width="6.42578125" style="3" customWidth="1"/>
    <col min="15557" max="15557" width="16" style="3" customWidth="1"/>
    <col min="15558" max="15558" width="2.85546875" style="3" customWidth="1"/>
    <col min="15559" max="15559" width="0.85546875" style="3" customWidth="1"/>
    <col min="15560" max="15560" width="11" style="3"/>
    <col min="15561" max="15561" width="15.42578125" style="3" customWidth="1"/>
    <col min="15562" max="15564" width="14.85546875" style="3" customWidth="1"/>
    <col min="15565" max="15565" width="0.7109375" style="3" customWidth="1"/>
    <col min="15566" max="15566" width="11" style="3"/>
    <col min="15567" max="15567" width="15.7109375" style="3" customWidth="1"/>
    <col min="15568" max="15569" width="14.85546875" style="3" customWidth="1"/>
    <col min="15570" max="15570" width="3.28515625" style="3" customWidth="1"/>
    <col min="15571" max="15571" width="20.140625" style="3" customWidth="1"/>
    <col min="15572" max="15572" width="3.28515625" style="3" customWidth="1"/>
    <col min="15573" max="15577" width="11" style="3"/>
    <col min="15578" max="15590" width="4.7109375" style="3" customWidth="1"/>
    <col min="15591" max="15800" width="11" style="3"/>
    <col min="15801" max="15801" width="0.7109375" style="3" customWidth="1"/>
    <col min="15802" max="15802" width="6.5703125" style="3" customWidth="1"/>
    <col min="15803" max="15803" width="13.5703125" style="3" customWidth="1"/>
    <col min="15804" max="15804" width="13.42578125" style="3" customWidth="1"/>
    <col min="15805" max="15806" width="12.5703125" style="3" customWidth="1"/>
    <col min="15807" max="15807" width="14.85546875" style="3" customWidth="1"/>
    <col min="15808" max="15808" width="20.7109375" style="3" customWidth="1"/>
    <col min="15809" max="15809" width="12.5703125" style="3" customWidth="1"/>
    <col min="15810" max="15810" width="13" style="3" customWidth="1"/>
    <col min="15811" max="15811" width="16" style="3" customWidth="1"/>
    <col min="15812" max="15812" width="6.42578125" style="3" customWidth="1"/>
    <col min="15813" max="15813" width="16" style="3" customWidth="1"/>
    <col min="15814" max="15814" width="2.85546875" style="3" customWidth="1"/>
    <col min="15815" max="15815" width="0.85546875" style="3" customWidth="1"/>
    <col min="15816" max="15816" width="11" style="3"/>
    <col min="15817" max="15817" width="15.42578125" style="3" customWidth="1"/>
    <col min="15818" max="15820" width="14.85546875" style="3" customWidth="1"/>
    <col min="15821" max="15821" width="0.7109375" style="3" customWidth="1"/>
    <col min="15822" max="15822" width="11" style="3"/>
    <col min="15823" max="15823" width="15.7109375" style="3" customWidth="1"/>
    <col min="15824" max="15825" width="14.85546875" style="3" customWidth="1"/>
    <col min="15826" max="15826" width="3.28515625" style="3" customWidth="1"/>
    <col min="15827" max="15827" width="20.140625" style="3" customWidth="1"/>
    <col min="15828" max="15828" width="3.28515625" style="3" customWidth="1"/>
    <col min="15829" max="15833" width="11" style="3"/>
    <col min="15834" max="15846" width="4.7109375" style="3" customWidth="1"/>
    <col min="15847" max="16056" width="11" style="3"/>
    <col min="16057" max="16057" width="0.7109375" style="3" customWidth="1"/>
    <col min="16058" max="16058" width="6.5703125" style="3" customWidth="1"/>
    <col min="16059" max="16059" width="13.5703125" style="3" customWidth="1"/>
    <col min="16060" max="16060" width="13.42578125" style="3" customWidth="1"/>
    <col min="16061" max="16062" width="12.5703125" style="3" customWidth="1"/>
    <col min="16063" max="16063" width="14.85546875" style="3" customWidth="1"/>
    <col min="16064" max="16064" width="20.7109375" style="3" customWidth="1"/>
    <col min="16065" max="16065" width="12.5703125" style="3" customWidth="1"/>
    <col min="16066" max="16066" width="13" style="3" customWidth="1"/>
    <col min="16067" max="16067" width="16" style="3" customWidth="1"/>
    <col min="16068" max="16068" width="6.42578125" style="3" customWidth="1"/>
    <col min="16069" max="16069" width="16" style="3" customWidth="1"/>
    <col min="16070" max="16070" width="2.85546875" style="3" customWidth="1"/>
    <col min="16071" max="16071" width="0.85546875" style="3" customWidth="1"/>
    <col min="16072" max="16072" width="11" style="3"/>
    <col min="16073" max="16073" width="15.42578125" style="3" customWidth="1"/>
    <col min="16074" max="16076" width="14.85546875" style="3" customWidth="1"/>
    <col min="16077" max="16077" width="0.7109375" style="3" customWidth="1"/>
    <col min="16078" max="16078" width="11" style="3"/>
    <col min="16079" max="16079" width="15.7109375" style="3" customWidth="1"/>
    <col min="16080" max="16081" width="14.85546875" style="3" customWidth="1"/>
    <col min="16082" max="16082" width="3.28515625" style="3" customWidth="1"/>
    <col min="16083" max="16083" width="20.140625" style="3" customWidth="1"/>
    <col min="16084" max="16084" width="3.28515625" style="3" customWidth="1"/>
    <col min="16085" max="16089" width="11" style="3"/>
    <col min="16090" max="16102" width="4.7109375" style="3" customWidth="1"/>
    <col min="16103" max="16384" width="11" style="3"/>
  </cols>
  <sheetData>
    <row r="1" spans="1:28" s="1" customFormat="1" ht="19.5" customHeight="1">
      <c r="A1" s="236"/>
      <c r="B1" s="237"/>
      <c r="C1" s="179" t="s">
        <v>0</v>
      </c>
      <c r="D1" s="179"/>
      <c r="E1" s="179"/>
      <c r="F1" s="179"/>
      <c r="G1" s="179"/>
      <c r="H1" s="179"/>
      <c r="I1" s="179"/>
      <c r="J1" s="179"/>
      <c r="K1" s="180" t="s">
        <v>1</v>
      </c>
      <c r="L1" s="181"/>
      <c r="O1" s="80"/>
      <c r="P1" s="80"/>
      <c r="Q1" s="80"/>
      <c r="R1" s="80"/>
      <c r="S1" s="80"/>
      <c r="T1" s="80"/>
      <c r="U1" s="80"/>
      <c r="V1" s="80"/>
      <c r="W1" s="80"/>
      <c r="X1" s="80"/>
      <c r="Y1" s="80"/>
      <c r="Z1" s="80"/>
      <c r="AA1" s="80"/>
    </row>
    <row r="2" spans="1:28" s="1" customFormat="1" ht="19.5" customHeight="1">
      <c r="A2" s="238"/>
      <c r="B2" s="186"/>
      <c r="C2" s="241" t="s">
        <v>2</v>
      </c>
      <c r="D2" s="241"/>
      <c r="E2" s="241"/>
      <c r="F2" s="241"/>
      <c r="G2" s="241"/>
      <c r="H2" s="241"/>
      <c r="I2" s="241"/>
      <c r="J2" s="241"/>
      <c r="K2" s="182" t="s">
        <v>89</v>
      </c>
      <c r="L2" s="183"/>
      <c r="O2" s="80"/>
      <c r="P2" s="80"/>
      <c r="Q2" s="80"/>
      <c r="R2" s="80"/>
      <c r="S2" s="80"/>
      <c r="T2" s="80"/>
      <c r="U2" s="80"/>
      <c r="V2" s="80"/>
      <c r="W2" s="80"/>
      <c r="X2" s="80"/>
      <c r="Y2" s="80"/>
      <c r="Z2" s="80"/>
      <c r="AA2" s="80"/>
    </row>
    <row r="3" spans="1:28" s="1" customFormat="1" ht="19.5" customHeight="1">
      <c r="A3" s="238"/>
      <c r="B3" s="186"/>
      <c r="C3" s="241"/>
      <c r="D3" s="241"/>
      <c r="E3" s="241"/>
      <c r="F3" s="241"/>
      <c r="G3" s="241"/>
      <c r="H3" s="241"/>
      <c r="I3" s="241"/>
      <c r="J3" s="241"/>
      <c r="K3" s="182" t="s">
        <v>3</v>
      </c>
      <c r="L3" s="183"/>
      <c r="Q3" s="132"/>
      <c r="R3" s="80"/>
      <c r="T3" s="132" t="s">
        <v>4</v>
      </c>
      <c r="U3" s="132"/>
      <c r="V3" s="80"/>
      <c r="W3" s="80"/>
      <c r="X3" s="80"/>
      <c r="Y3" s="80"/>
      <c r="Z3" s="80"/>
      <c r="AA3" s="80"/>
    </row>
    <row r="4" spans="1:28" s="1" customFormat="1" ht="19.5" customHeight="1" thickBot="1">
      <c r="A4" s="239"/>
      <c r="B4" s="240"/>
      <c r="C4" s="242"/>
      <c r="D4" s="242"/>
      <c r="E4" s="242"/>
      <c r="F4" s="242"/>
      <c r="G4" s="242"/>
      <c r="H4" s="242"/>
      <c r="I4" s="242"/>
      <c r="J4" s="242"/>
      <c r="K4" s="184" t="s">
        <v>88</v>
      </c>
      <c r="L4" s="185"/>
      <c r="Q4" s="132"/>
      <c r="R4" s="80"/>
      <c r="S4" s="132"/>
      <c r="T4" s="132"/>
      <c r="U4" s="132"/>
      <c r="V4" s="80"/>
      <c r="W4" s="80"/>
      <c r="X4" s="80"/>
      <c r="Y4" s="80"/>
      <c r="Z4" s="80"/>
      <c r="AA4" s="80"/>
    </row>
    <row r="5" spans="1:28" s="1" customFormat="1" ht="3.95" customHeight="1" thickBot="1">
      <c r="A5" s="5"/>
      <c r="B5" s="186"/>
      <c r="C5" s="186"/>
      <c r="D5" s="186"/>
      <c r="E5" s="186"/>
      <c r="F5" s="186"/>
      <c r="G5" s="186"/>
      <c r="H5" s="186"/>
      <c r="I5" s="186"/>
      <c r="J5" s="186"/>
      <c r="K5" s="186"/>
      <c r="L5" s="81"/>
      <c r="Q5" s="132"/>
      <c r="R5" s="132"/>
      <c r="T5" s="132"/>
      <c r="U5" s="132"/>
      <c r="V5" s="80"/>
      <c r="W5" s="80"/>
      <c r="X5" s="80"/>
      <c r="Y5" s="80"/>
      <c r="Z5" s="80"/>
      <c r="AA5" s="80"/>
      <c r="AB5" s="80"/>
    </row>
    <row r="6" spans="1:28" s="1" customFormat="1" ht="22.5" customHeight="1">
      <c r="A6" s="6"/>
      <c r="B6" s="7" t="s">
        <v>5</v>
      </c>
      <c r="C6" s="273" t="s">
        <v>91</v>
      </c>
      <c r="D6" s="273"/>
      <c r="E6" s="273"/>
      <c r="F6" s="273"/>
      <c r="G6" s="273"/>
      <c r="H6" s="188" t="s">
        <v>6</v>
      </c>
      <c r="I6" s="188"/>
      <c r="J6" s="189">
        <v>45884</v>
      </c>
      <c r="K6" s="189"/>
      <c r="L6" s="190"/>
      <c r="Q6" s="80"/>
      <c r="R6" s="80"/>
      <c r="T6" s="133" t="s">
        <v>7</v>
      </c>
      <c r="U6" s="80"/>
      <c r="V6" s="80"/>
      <c r="W6" s="80"/>
      <c r="X6" s="80"/>
      <c r="Y6" s="80"/>
      <c r="Z6" s="80"/>
      <c r="AA6" s="80"/>
      <c r="AB6" s="80"/>
    </row>
    <row r="7" spans="1:28" s="1" customFormat="1" ht="24.75" customHeight="1">
      <c r="A7" s="5"/>
      <c r="B7" s="9" t="s">
        <v>8</v>
      </c>
      <c r="C7" s="274" t="s">
        <v>92</v>
      </c>
      <c r="D7" s="274"/>
      <c r="E7" s="274"/>
      <c r="F7" s="274"/>
      <c r="G7" s="274"/>
      <c r="H7" s="192" t="s">
        <v>9</v>
      </c>
      <c r="I7" s="192"/>
      <c r="J7" s="193">
        <v>45922</v>
      </c>
      <c r="K7" s="193"/>
      <c r="L7" s="194"/>
      <c r="Q7" s="80"/>
      <c r="R7" s="80"/>
      <c r="T7" s="133" t="s">
        <v>102</v>
      </c>
      <c r="U7" s="80"/>
      <c r="V7" s="80"/>
      <c r="W7" s="80"/>
      <c r="X7" s="80"/>
      <c r="Y7" s="80"/>
      <c r="Z7" s="80"/>
      <c r="AA7" s="80"/>
      <c r="AB7" s="80"/>
    </row>
    <row r="8" spans="1:28" s="1" customFormat="1" ht="22.5" customHeight="1">
      <c r="A8" s="5"/>
      <c r="B8" s="9" t="s">
        <v>11</v>
      </c>
      <c r="C8" s="271" t="s">
        <v>12</v>
      </c>
      <c r="D8" s="272"/>
      <c r="E8" s="272"/>
      <c r="F8" s="272"/>
      <c r="G8" s="272"/>
      <c r="H8" s="192" t="s">
        <v>13</v>
      </c>
      <c r="I8" s="192"/>
      <c r="J8" s="193">
        <v>45932</v>
      </c>
      <c r="K8" s="193"/>
      <c r="L8" s="194"/>
      <c r="Q8" s="80"/>
      <c r="R8" s="80"/>
      <c r="S8" s="1">
        <f>17-2.57</f>
        <v>14.43</v>
      </c>
      <c r="T8" s="133" t="s">
        <v>14</v>
      </c>
      <c r="U8" s="80"/>
      <c r="V8" s="80"/>
      <c r="W8" s="80"/>
      <c r="X8" s="80"/>
      <c r="Y8" s="80"/>
      <c r="Z8" s="80"/>
      <c r="AA8" s="80"/>
      <c r="AB8" s="80"/>
    </row>
    <row r="9" spans="1:28" s="1" customFormat="1" ht="22.5" customHeight="1">
      <c r="A9" s="5"/>
      <c r="B9" s="9" t="s">
        <v>15</v>
      </c>
      <c r="C9" s="202" t="s">
        <v>93</v>
      </c>
      <c r="D9" s="202"/>
      <c r="E9" s="202"/>
      <c r="F9" s="202"/>
      <c r="G9" s="202"/>
      <c r="H9" s="192" t="s">
        <v>16</v>
      </c>
      <c r="I9" s="192"/>
      <c r="J9" s="82" t="s">
        <v>17</v>
      </c>
      <c r="K9" s="83" t="s">
        <v>90</v>
      </c>
      <c r="L9" s="84" t="s">
        <v>85</v>
      </c>
      <c r="Q9" s="80"/>
      <c r="R9" s="80"/>
      <c r="T9" s="133" t="s">
        <v>18</v>
      </c>
      <c r="U9" s="80"/>
      <c r="V9" s="80"/>
      <c r="W9" s="80"/>
      <c r="X9" s="80"/>
      <c r="Y9" s="80"/>
      <c r="Z9" s="80"/>
      <c r="AA9" s="80"/>
      <c r="AB9" s="80"/>
    </row>
    <row r="10" spans="1:28" s="1" customFormat="1" ht="22.5" customHeight="1">
      <c r="A10" s="5"/>
      <c r="B10" s="10" t="s">
        <v>19</v>
      </c>
      <c r="C10" s="202" t="s">
        <v>20</v>
      </c>
      <c r="D10" s="202"/>
      <c r="E10" s="202"/>
      <c r="F10" s="202"/>
      <c r="G10" s="202"/>
      <c r="H10" s="196" t="s">
        <v>21</v>
      </c>
      <c r="I10" s="196"/>
      <c r="J10" s="197" t="str">
        <f>CONCATENATE(K9,," ",L9,"-",D12,"-",F12)</f>
        <v>056 25-PALMA SECA AP1-4</v>
      </c>
      <c r="K10" s="197"/>
      <c r="L10" s="198"/>
      <c r="Q10" s="80"/>
      <c r="R10" s="80"/>
      <c r="T10" s="133" t="s">
        <v>22</v>
      </c>
      <c r="U10" s="80"/>
      <c r="V10" s="80"/>
      <c r="W10" s="80"/>
      <c r="X10" s="80"/>
      <c r="Y10" s="80"/>
      <c r="Z10" s="80"/>
      <c r="AA10" s="80"/>
      <c r="AB10" s="80"/>
    </row>
    <row r="11" spans="1:28" s="1" customFormat="1" ht="3.95" customHeight="1" thickBot="1">
      <c r="A11" s="11"/>
      <c r="B11" s="199"/>
      <c r="C11" s="199"/>
      <c r="D11" s="199"/>
      <c r="E11" s="199"/>
      <c r="F11" s="199"/>
      <c r="G11" s="199"/>
      <c r="H11" s="199"/>
      <c r="I11" s="199"/>
      <c r="J11" s="199"/>
      <c r="K11" s="199"/>
      <c r="L11" s="85"/>
      <c r="Q11" s="80"/>
      <c r="R11" s="80"/>
      <c r="T11" s="133"/>
      <c r="U11" s="80"/>
      <c r="V11" s="80"/>
      <c r="W11" s="80"/>
      <c r="X11" s="80"/>
      <c r="Y11" s="80"/>
      <c r="Z11" s="80"/>
      <c r="AA11" s="80"/>
      <c r="AB11" s="80"/>
    </row>
    <row r="12" spans="1:28" s="1" customFormat="1" ht="22.5" customHeight="1">
      <c r="A12" s="6"/>
      <c r="B12" s="7" t="s">
        <v>23</v>
      </c>
      <c r="C12" s="12" t="s">
        <v>102</v>
      </c>
      <c r="D12" s="13" t="s">
        <v>104</v>
      </c>
      <c r="E12" s="14" t="s">
        <v>24</v>
      </c>
      <c r="F12" s="200">
        <v>4</v>
      </c>
      <c r="G12" s="200"/>
      <c r="H12" s="201" t="s">
        <v>25</v>
      </c>
      <c r="I12" s="201"/>
      <c r="J12" s="86">
        <v>1.8</v>
      </c>
      <c r="K12" s="87" t="s">
        <v>26</v>
      </c>
      <c r="L12" s="88">
        <v>2</v>
      </c>
      <c r="Q12" s="80"/>
      <c r="R12" s="80"/>
      <c r="T12" s="133"/>
      <c r="U12" s="80"/>
      <c r="V12" s="80"/>
      <c r="W12" s="80"/>
      <c r="X12" s="80"/>
      <c r="Y12" s="80"/>
      <c r="Z12" s="80"/>
      <c r="AA12" s="80"/>
      <c r="AB12" s="80"/>
    </row>
    <row r="13" spans="1:28" s="1" customFormat="1" ht="22.5" customHeight="1">
      <c r="A13" s="5"/>
      <c r="B13" s="9" t="s">
        <v>27</v>
      </c>
      <c r="C13" s="202" t="s">
        <v>106</v>
      </c>
      <c r="D13" s="202"/>
      <c r="E13" s="202"/>
      <c r="F13" s="202"/>
      <c r="G13" s="202"/>
      <c r="H13" s="202"/>
      <c r="I13" s="202"/>
      <c r="J13" s="202"/>
      <c r="K13" s="202"/>
      <c r="L13" s="203"/>
      <c r="O13" s="1">
        <f>-MOD1</f>
        <v>0</v>
      </c>
      <c r="Q13" s="80"/>
      <c r="R13" s="80"/>
      <c r="T13" s="133"/>
      <c r="U13" s="80"/>
      <c r="V13" s="80"/>
      <c r="W13" s="80"/>
      <c r="X13" s="80"/>
      <c r="Y13" s="80"/>
      <c r="Z13" s="80"/>
      <c r="AA13" s="80"/>
      <c r="AB13" s="80"/>
    </row>
    <row r="14" spans="1:28" s="1" customFormat="1" ht="6.95" customHeight="1" thickBot="1">
      <c r="A14" s="11"/>
      <c r="B14" s="15"/>
      <c r="C14" s="16"/>
      <c r="D14" s="16"/>
      <c r="E14" s="16"/>
      <c r="F14" s="16"/>
      <c r="G14" s="16"/>
      <c r="H14" s="16"/>
      <c r="I14" s="16"/>
      <c r="J14" s="16"/>
      <c r="K14" s="16"/>
      <c r="L14" s="89"/>
      <c r="P14" s="80"/>
      <c r="Q14" s="80"/>
      <c r="R14" s="80"/>
      <c r="S14" s="80"/>
      <c r="T14" s="80"/>
      <c r="U14" s="80"/>
      <c r="V14" s="80"/>
      <c r="W14" s="80"/>
      <c r="X14" s="80"/>
      <c r="Y14" s="80"/>
      <c r="Z14" s="80"/>
      <c r="AA14" s="80"/>
      <c r="AB14" s="80"/>
    </row>
    <row r="15" spans="1:28" ht="14.25" customHeight="1" thickBot="1">
      <c r="A15" s="17"/>
      <c r="B15" s="18"/>
      <c r="C15" s="18"/>
      <c r="D15" s="18"/>
      <c r="E15" s="18"/>
      <c r="F15" s="18"/>
      <c r="G15" s="18"/>
      <c r="H15" s="18"/>
      <c r="I15" s="18"/>
      <c r="J15" s="18"/>
      <c r="K15" s="18"/>
      <c r="L15" s="90"/>
    </row>
    <row r="16" spans="1:28" ht="22.5" customHeight="1" thickBot="1">
      <c r="A16" s="204"/>
      <c r="B16" s="205"/>
      <c r="C16" s="205"/>
      <c r="D16" s="205"/>
      <c r="E16" s="205"/>
      <c r="F16" s="205"/>
      <c r="G16" s="205"/>
      <c r="H16" s="205"/>
      <c r="I16" s="205"/>
      <c r="J16" s="205"/>
      <c r="K16" s="205"/>
      <c r="L16" s="206"/>
    </row>
    <row r="17" spans="1:19" ht="22.5" customHeight="1" thickBot="1">
      <c r="A17" s="17"/>
      <c r="B17" s="18"/>
      <c r="C17" s="18"/>
      <c r="D17" s="18"/>
      <c r="E17" s="18"/>
      <c r="F17" s="18"/>
      <c r="G17" s="19"/>
      <c r="H17" s="19"/>
      <c r="I17" s="19"/>
      <c r="J17" s="19"/>
      <c r="K17" s="19"/>
      <c r="L17" s="91"/>
    </row>
    <row r="18" spans="1:19" s="2" customFormat="1" ht="22.5" customHeight="1" thickBot="1">
      <c r="A18" s="207" t="s">
        <v>28</v>
      </c>
      <c r="B18" s="208"/>
      <c r="C18" s="208"/>
      <c r="D18" s="208"/>
      <c r="E18" s="209"/>
      <c r="F18" s="20"/>
      <c r="G18" s="207" t="s">
        <v>28</v>
      </c>
      <c r="H18" s="208"/>
      <c r="I18" s="208"/>
      <c r="J18" s="208"/>
      <c r="K18" s="208"/>
      <c r="L18" s="209"/>
      <c r="O18" s="92"/>
    </row>
    <row r="19" spans="1:19" s="2" customFormat="1" ht="27.75" customHeight="1" thickBot="1">
      <c r="A19" s="210"/>
      <c r="B19" s="211"/>
      <c r="C19" s="211"/>
      <c r="D19" s="22" t="s">
        <v>29</v>
      </c>
      <c r="E19" s="23" t="s">
        <v>30</v>
      </c>
      <c r="F19" s="24"/>
      <c r="G19" s="243" t="s">
        <v>31</v>
      </c>
      <c r="H19" s="244"/>
      <c r="I19" s="212" t="s">
        <v>32</v>
      </c>
      <c r="J19" s="213"/>
      <c r="K19" s="214" t="s">
        <v>33</v>
      </c>
      <c r="L19" s="215"/>
    </row>
    <row r="20" spans="1:19" s="2" customFormat="1" ht="22.5" customHeight="1">
      <c r="A20" s="216" t="s">
        <v>34</v>
      </c>
      <c r="B20" s="217"/>
      <c r="C20" s="25"/>
      <c r="D20" s="26">
        <v>549</v>
      </c>
      <c r="E20" s="27">
        <f>D20</f>
        <v>549</v>
      </c>
      <c r="F20" s="28"/>
      <c r="G20" s="245"/>
      <c r="H20" s="246"/>
      <c r="I20" s="93" t="s">
        <v>35</v>
      </c>
      <c r="J20" s="168" t="s">
        <v>36</v>
      </c>
      <c r="K20" s="95" t="s">
        <v>37</v>
      </c>
      <c r="L20" s="150" t="s">
        <v>36</v>
      </c>
      <c r="N20" s="92"/>
    </row>
    <row r="21" spans="1:19" s="2" customFormat="1" ht="22.5" customHeight="1">
      <c r="A21" s="216" t="s">
        <v>38</v>
      </c>
      <c r="B21" s="217"/>
      <c r="C21" s="25" t="s">
        <v>39</v>
      </c>
      <c r="D21" s="160">
        <v>15.22</v>
      </c>
      <c r="E21" s="161">
        <f>D21</f>
        <v>15.22</v>
      </c>
      <c r="F21" s="31"/>
      <c r="G21" s="96" t="s">
        <v>40</v>
      </c>
      <c r="H21" s="32" t="s">
        <v>41</v>
      </c>
      <c r="I21" s="96" t="s">
        <v>42</v>
      </c>
      <c r="J21" s="151" t="s">
        <v>43</v>
      </c>
      <c r="K21" s="96" t="s">
        <v>42</v>
      </c>
      <c r="L21" s="151" t="s">
        <v>43</v>
      </c>
      <c r="N21" s="97"/>
    </row>
    <row r="22" spans="1:19" s="2" customFormat="1" ht="22.5" customHeight="1">
      <c r="A22" s="216" t="s">
        <v>44</v>
      </c>
      <c r="B22" s="217"/>
      <c r="C22" s="25" t="s">
        <v>39</v>
      </c>
      <c r="D22" s="160">
        <v>15.4</v>
      </c>
      <c r="E22" s="161">
        <f>D22+E39</f>
        <v>15.4</v>
      </c>
      <c r="F22" s="31"/>
      <c r="G22" s="145">
        <v>0</v>
      </c>
      <c r="H22" s="33">
        <v>0</v>
      </c>
      <c r="I22" s="144">
        <v>0</v>
      </c>
      <c r="J22" s="152">
        <v>0</v>
      </c>
      <c r="K22" s="144">
        <v>0</v>
      </c>
      <c r="L22" s="152">
        <v>0</v>
      </c>
      <c r="N22" s="97"/>
      <c r="O22" s="2">
        <v>0.20599999999999999</v>
      </c>
      <c r="P22" s="2">
        <v>5.8000000000000003E-2</v>
      </c>
      <c r="S22" s="2">
        <v>0.13100000000000001</v>
      </c>
    </row>
    <row r="23" spans="1:19" s="2" customFormat="1" ht="22.5" customHeight="1">
      <c r="A23" s="216" t="s">
        <v>45</v>
      </c>
      <c r="B23" s="217"/>
      <c r="C23" s="34" t="s">
        <v>46</v>
      </c>
      <c r="D23" s="35">
        <v>8322</v>
      </c>
      <c r="E23" s="36">
        <v>8710</v>
      </c>
      <c r="F23" s="31"/>
      <c r="G23" s="145">
        <v>5.0000000000000001E-3</v>
      </c>
      <c r="H23" s="33">
        <v>0.127</v>
      </c>
      <c r="I23" s="144">
        <v>0.13100000000000001</v>
      </c>
      <c r="J23" s="153">
        <f t="shared" ref="J23:J34" si="0">((I23/19.32)*10)</f>
        <v>6.7805383022774335E-2</v>
      </c>
      <c r="K23" s="98">
        <v>0.111</v>
      </c>
      <c r="L23" s="153">
        <f t="shared" ref="L23:L34" si="1">((K23/19.32)*10)</f>
        <v>5.745341614906832E-2</v>
      </c>
      <c r="N23" s="97"/>
      <c r="O23" s="2">
        <v>0.44500000000000001</v>
      </c>
      <c r="P23" s="2">
        <v>0.129</v>
      </c>
      <c r="S23" s="2">
        <v>0.56899999999999995</v>
      </c>
    </row>
    <row r="24" spans="1:19" s="2" customFormat="1" ht="22.5" customHeight="1">
      <c r="A24" s="216" t="s">
        <v>47</v>
      </c>
      <c r="B24" s="217"/>
      <c r="C24" s="34" t="s">
        <v>46</v>
      </c>
      <c r="D24" s="35">
        <v>3868</v>
      </c>
      <c r="E24" s="37">
        <f>D24</f>
        <v>3868</v>
      </c>
      <c r="F24" s="38"/>
      <c r="G24" s="145">
        <v>2.5000000000000001E-2</v>
      </c>
      <c r="H24" s="33">
        <v>0.63500000000000001</v>
      </c>
      <c r="I24" s="144">
        <v>0.56899999999999995</v>
      </c>
      <c r="J24" s="153">
        <f t="shared" si="0"/>
        <v>0.29451345755693575</v>
      </c>
      <c r="K24" s="98">
        <v>0.17199999999999999</v>
      </c>
      <c r="L24" s="153">
        <f t="shared" si="1"/>
        <v>8.9026915113871619E-2</v>
      </c>
      <c r="N24" s="97"/>
      <c r="O24" s="2">
        <v>0.68300000000000005</v>
      </c>
      <c r="P24" s="2">
        <v>0.21299999999999999</v>
      </c>
      <c r="S24" s="2">
        <v>0.89800000000000002</v>
      </c>
    </row>
    <row r="25" spans="1:19" s="2" customFormat="1" ht="22.5" customHeight="1">
      <c r="A25" s="216" t="s">
        <v>48</v>
      </c>
      <c r="B25" s="217"/>
      <c r="C25" s="34" t="s">
        <v>46</v>
      </c>
      <c r="D25" s="39">
        <f>+D23-D24</f>
        <v>4454</v>
      </c>
      <c r="E25" s="40">
        <f>E23-E24</f>
        <v>4842</v>
      </c>
      <c r="F25" s="41"/>
      <c r="G25" s="145">
        <v>0.05</v>
      </c>
      <c r="H25" s="33">
        <v>1.27</v>
      </c>
      <c r="I25" s="144">
        <v>0.89800000000000002</v>
      </c>
      <c r="J25" s="153">
        <f t="shared" si="0"/>
        <v>0.46480331262939961</v>
      </c>
      <c r="K25" s="98">
        <v>0.20100000000000001</v>
      </c>
      <c r="L25" s="153">
        <f t="shared" si="1"/>
        <v>0.10403726708074534</v>
      </c>
      <c r="N25" s="97"/>
      <c r="O25" s="2">
        <v>0.96599999999999997</v>
      </c>
      <c r="P25" s="2">
        <v>0.27300000000000002</v>
      </c>
      <c r="S25" s="2">
        <v>1.075</v>
      </c>
    </row>
    <row r="26" spans="1:19" s="2" customFormat="1" ht="22.5" customHeight="1">
      <c r="A26" s="216" t="s">
        <v>49</v>
      </c>
      <c r="B26" s="217"/>
      <c r="C26" s="34" t="s">
        <v>50</v>
      </c>
      <c r="D26" s="39">
        <f>((PI()*(D21*D21))/4)*D22</f>
        <v>2801.8179098749447</v>
      </c>
      <c r="E26" s="40">
        <f>((PI()*(E21*E21))/4)*E22</f>
        <v>2801.8179098749447</v>
      </c>
      <c r="F26" s="41"/>
      <c r="G26" s="145">
        <v>7.4999999999999997E-2</v>
      </c>
      <c r="H26" s="33">
        <v>1.905</v>
      </c>
      <c r="I26" s="144">
        <v>1.075</v>
      </c>
      <c r="J26" s="153">
        <f t="shared" si="0"/>
        <v>0.55641821946169767</v>
      </c>
      <c r="K26" s="98">
        <v>0.216</v>
      </c>
      <c r="L26" s="153">
        <f t="shared" si="1"/>
        <v>0.11180124223602483</v>
      </c>
      <c r="N26" s="97"/>
      <c r="O26" s="2">
        <v>1.1819999999999999</v>
      </c>
      <c r="P26" s="2">
        <v>0.313</v>
      </c>
      <c r="S26" s="2">
        <v>1.23</v>
      </c>
    </row>
    <row r="27" spans="1:19" s="2" customFormat="1" ht="22.5" customHeight="1">
      <c r="A27" s="216" t="s">
        <v>51</v>
      </c>
      <c r="B27" s="217"/>
      <c r="C27" s="34" t="s">
        <v>52</v>
      </c>
      <c r="D27" s="42">
        <f>D25/D26</f>
        <v>1.5896821789531634</v>
      </c>
      <c r="E27" s="43">
        <f>E25/E26</f>
        <v>1.7281636979100172</v>
      </c>
      <c r="F27" s="44"/>
      <c r="G27" s="146">
        <v>0.1</v>
      </c>
      <c r="H27" s="45">
        <v>2.54</v>
      </c>
      <c r="I27" s="154">
        <v>1.23</v>
      </c>
      <c r="J27" s="155">
        <f t="shared" si="0"/>
        <v>0.63664596273291918</v>
      </c>
      <c r="K27" s="158">
        <v>0.22600000000000001</v>
      </c>
      <c r="L27" s="155">
        <f t="shared" si="1"/>
        <v>0.11697722567287785</v>
      </c>
      <c r="N27" s="97"/>
      <c r="O27" s="2">
        <v>1.327</v>
      </c>
      <c r="P27" s="2">
        <v>0.36499999999999999</v>
      </c>
      <c r="S27" s="2">
        <v>1.367</v>
      </c>
    </row>
    <row r="28" spans="1:19" s="2" customFormat="1" ht="22.5" customHeight="1" thickBot="1">
      <c r="A28" s="218" t="s">
        <v>53</v>
      </c>
      <c r="B28" s="219"/>
      <c r="C28" s="46" t="s">
        <v>52</v>
      </c>
      <c r="D28" s="47">
        <f>D27/(1+D34/100)</f>
        <v>1.2724462060892494</v>
      </c>
      <c r="E28" s="48">
        <f>E27/(1+E34/100)</f>
        <v>1.2588820086154664</v>
      </c>
      <c r="F28" s="49"/>
      <c r="G28" s="145">
        <v>0.125</v>
      </c>
      <c r="H28" s="33">
        <v>3.1749999999999998</v>
      </c>
      <c r="I28" s="144">
        <v>1.367</v>
      </c>
      <c r="J28" s="153">
        <f t="shared" si="0"/>
        <v>0.70755693581780532</v>
      </c>
      <c r="K28" s="98">
        <v>0.23599999999999999</v>
      </c>
      <c r="L28" s="153">
        <f t="shared" si="1"/>
        <v>0.12215320910973083</v>
      </c>
      <c r="N28" s="97"/>
      <c r="O28" s="2">
        <v>1.468</v>
      </c>
      <c r="P28" s="2">
        <v>0.40899999999999997</v>
      </c>
      <c r="S28" s="2">
        <v>1.5169999999999999</v>
      </c>
    </row>
    <row r="29" spans="1:19" s="2" customFormat="1" ht="22.5" customHeight="1" thickBot="1">
      <c r="A29" s="207" t="s">
        <v>54</v>
      </c>
      <c r="B29" s="208" t="s">
        <v>54</v>
      </c>
      <c r="C29" s="208"/>
      <c r="D29" s="208"/>
      <c r="E29" s="209"/>
      <c r="F29" s="49"/>
      <c r="G29" s="147">
        <v>0.15</v>
      </c>
      <c r="H29" s="33">
        <v>3.81</v>
      </c>
      <c r="I29" s="144">
        <v>1.5169999999999999</v>
      </c>
      <c r="J29" s="153">
        <f t="shared" si="0"/>
        <v>0.78519668737060044</v>
      </c>
      <c r="K29" s="98">
        <v>0.24299999999999999</v>
      </c>
      <c r="L29" s="153">
        <f>((K29/19.32)*10)</f>
        <v>0.12577639751552794</v>
      </c>
      <c r="N29" s="97"/>
      <c r="O29" s="2">
        <v>1.637</v>
      </c>
      <c r="P29" s="2">
        <v>0.45300000000000001</v>
      </c>
      <c r="S29" s="2">
        <v>1.6659999999999999</v>
      </c>
    </row>
    <row r="30" spans="1:19" s="2" customFormat="1" ht="22.5" customHeight="1">
      <c r="A30" s="258" t="s">
        <v>55</v>
      </c>
      <c r="B30" s="259"/>
      <c r="C30" s="50"/>
      <c r="D30" s="51">
        <v>636</v>
      </c>
      <c r="E30" s="52">
        <v>618</v>
      </c>
      <c r="F30" s="44"/>
      <c r="G30" s="145">
        <v>0.17499999999999999</v>
      </c>
      <c r="H30" s="33">
        <v>4.4450000000000003</v>
      </c>
      <c r="I30" s="144">
        <v>1.6659999999999999</v>
      </c>
      <c r="J30" s="153">
        <f t="shared" si="0"/>
        <v>0.86231884057971009</v>
      </c>
      <c r="K30" s="98">
        <v>0.253</v>
      </c>
      <c r="L30" s="153">
        <f t="shared" si="1"/>
        <v>0.13095238095238096</v>
      </c>
      <c r="N30" s="97"/>
      <c r="O30" s="2">
        <v>1.7769999999999999</v>
      </c>
      <c r="P30" s="2">
        <v>0.48399999999999999</v>
      </c>
      <c r="S30" s="2">
        <v>1.7609999999999999</v>
      </c>
    </row>
    <row r="31" spans="1:19" s="2" customFormat="1" ht="22.5" customHeight="1">
      <c r="A31" s="216" t="s">
        <v>56</v>
      </c>
      <c r="B31" s="217"/>
      <c r="C31" s="25" t="s">
        <v>46</v>
      </c>
      <c r="D31" s="53">
        <v>210.9</v>
      </c>
      <c r="E31" s="54">
        <v>406.47</v>
      </c>
      <c r="F31" s="41"/>
      <c r="G31" s="146">
        <v>0.2</v>
      </c>
      <c r="H31" s="45">
        <v>5.08</v>
      </c>
      <c r="I31" s="154">
        <v>1.7609999999999999</v>
      </c>
      <c r="J31" s="155">
        <f t="shared" si="0"/>
        <v>0.91149068322981364</v>
      </c>
      <c r="K31" s="158">
        <v>0.26100000000000001</v>
      </c>
      <c r="L31" s="155">
        <f t="shared" si="1"/>
        <v>0.13509316770186336</v>
      </c>
      <c r="N31" s="97"/>
      <c r="O31" s="2">
        <v>2.181</v>
      </c>
      <c r="P31" s="2">
        <v>0.61399999999999999</v>
      </c>
      <c r="S31" s="2">
        <v>2.0089999999999999</v>
      </c>
    </row>
    <row r="32" spans="1:19" s="2" customFormat="1" ht="22.5" customHeight="1">
      <c r="A32" s="216" t="s">
        <v>57</v>
      </c>
      <c r="B32" s="217"/>
      <c r="C32" s="25" t="s">
        <v>46</v>
      </c>
      <c r="D32" s="53">
        <v>176.48</v>
      </c>
      <c r="E32" s="54">
        <v>308.81</v>
      </c>
      <c r="F32" s="49"/>
      <c r="G32" s="145">
        <v>0.3</v>
      </c>
      <c r="H32" s="33">
        <v>7.62</v>
      </c>
      <c r="I32" s="144">
        <v>2.0089999999999999</v>
      </c>
      <c r="J32" s="153">
        <f t="shared" si="0"/>
        <v>1.0398550724637681</v>
      </c>
      <c r="K32" s="98">
        <v>0.28100000000000003</v>
      </c>
      <c r="L32" s="153">
        <f t="shared" si="1"/>
        <v>0.14544513457556937</v>
      </c>
      <c r="N32" s="97"/>
      <c r="O32" s="2">
        <v>2.4950000000000001</v>
      </c>
      <c r="P32" s="2">
        <v>0.72199999999999998</v>
      </c>
      <c r="S32" s="2">
        <v>2.0710000000000002</v>
      </c>
    </row>
    <row r="33" spans="1:21" s="2" customFormat="1" ht="22.5" customHeight="1">
      <c r="A33" s="216" t="s">
        <v>58</v>
      </c>
      <c r="B33" s="217"/>
      <c r="C33" s="25" t="s">
        <v>46</v>
      </c>
      <c r="D33" s="53">
        <v>38.42</v>
      </c>
      <c r="E33" s="54">
        <v>46.83</v>
      </c>
      <c r="F33" s="49"/>
      <c r="G33" s="145">
        <v>0.4</v>
      </c>
      <c r="H33" s="33">
        <v>10.16</v>
      </c>
      <c r="I33" s="144">
        <v>2.0710000000000002</v>
      </c>
      <c r="J33" s="153">
        <f t="shared" si="0"/>
        <v>1.0719461697722568</v>
      </c>
      <c r="K33" s="98">
        <v>0.29899999999999999</v>
      </c>
      <c r="L33" s="153">
        <f t="shared" si="1"/>
        <v>0.15476190476190474</v>
      </c>
      <c r="N33" s="97"/>
      <c r="O33" s="2">
        <v>2.7589999999999999</v>
      </c>
      <c r="P33" s="2">
        <v>0.81399999999999995</v>
      </c>
      <c r="S33" s="2">
        <v>2.0939999999999999</v>
      </c>
    </row>
    <row r="34" spans="1:21" s="2" customFormat="1" ht="22.5" customHeight="1" thickBot="1">
      <c r="A34" s="218" t="s">
        <v>59</v>
      </c>
      <c r="B34" s="219"/>
      <c r="C34" s="46" t="s">
        <v>60</v>
      </c>
      <c r="D34" s="47">
        <f>((D31-D32)/(D32-D33))*100</f>
        <v>24.931189337969009</v>
      </c>
      <c r="E34" s="48">
        <f>((E31-E32)/(E32-E33))*100</f>
        <v>37.277654782807858</v>
      </c>
      <c r="F34" s="49"/>
      <c r="G34" s="148">
        <v>0.5</v>
      </c>
      <c r="H34" s="149">
        <v>12.7</v>
      </c>
      <c r="I34" s="156">
        <v>2.0939999999999999</v>
      </c>
      <c r="J34" s="157">
        <f t="shared" si="0"/>
        <v>1.0838509316770186</v>
      </c>
      <c r="K34" s="159">
        <v>0.318</v>
      </c>
      <c r="L34" s="157">
        <f t="shared" si="1"/>
        <v>0.16459627329192544</v>
      </c>
      <c r="N34" s="97"/>
    </row>
    <row r="35" spans="1:21" s="2" customFormat="1" ht="11.25" customHeight="1" thickBot="1">
      <c r="A35" s="55"/>
      <c r="B35" s="56"/>
      <c r="C35" s="57"/>
      <c r="D35" s="58"/>
      <c r="E35" s="58"/>
      <c r="F35" s="59"/>
      <c r="G35" s="58"/>
      <c r="H35" s="58"/>
      <c r="I35" s="58"/>
      <c r="J35" s="58"/>
      <c r="K35" s="58"/>
      <c r="L35" s="99"/>
      <c r="N35" s="97"/>
    </row>
    <row r="36" spans="1:21" s="2" customFormat="1" ht="22.5" customHeight="1" thickBot="1">
      <c r="A36" s="247" t="s">
        <v>61</v>
      </c>
      <c r="B36" s="248"/>
      <c r="C36" s="248"/>
      <c r="D36" s="248"/>
      <c r="E36" s="249"/>
      <c r="F36" s="60"/>
      <c r="G36" s="60"/>
      <c r="H36" s="207" t="s">
        <v>62</v>
      </c>
      <c r="I36" s="208"/>
      <c r="J36" s="208"/>
      <c r="K36" s="209"/>
      <c r="L36" s="100"/>
      <c r="U36" s="2">
        <v>0.111</v>
      </c>
    </row>
    <row r="37" spans="1:21" s="2" customFormat="1" ht="22.5" customHeight="1" thickBot="1">
      <c r="A37" s="250" t="s">
        <v>63</v>
      </c>
      <c r="B37" s="251"/>
      <c r="C37" s="61" t="s">
        <v>64</v>
      </c>
      <c r="D37" s="277">
        <v>0.54</v>
      </c>
      <c r="E37" s="278"/>
      <c r="F37" s="62"/>
      <c r="G37" s="62"/>
      <c r="H37" s="63" t="s">
        <v>65</v>
      </c>
      <c r="I37" s="101" t="s">
        <v>86</v>
      </c>
      <c r="J37" s="63" t="s">
        <v>66</v>
      </c>
      <c r="K37" s="102" t="s">
        <v>67</v>
      </c>
      <c r="L37" s="99"/>
      <c r="P37" s="2">
        <v>0.111</v>
      </c>
      <c r="U37" s="2">
        <v>0.17199999999999999</v>
      </c>
    </row>
    <row r="38" spans="1:21" s="2" customFormat="1" ht="22.5" customHeight="1" thickBot="1">
      <c r="A38" s="224" t="s">
        <v>68</v>
      </c>
      <c r="B38" s="225"/>
      <c r="C38" s="64" t="s">
        <v>64</v>
      </c>
      <c r="D38" s="254">
        <v>0.6885</v>
      </c>
      <c r="E38" s="255"/>
      <c r="F38" s="62"/>
      <c r="G38" s="62"/>
      <c r="H38" s="256" t="s">
        <v>69</v>
      </c>
      <c r="I38" s="257"/>
      <c r="J38" s="256" t="s">
        <v>70</v>
      </c>
      <c r="K38" s="257"/>
      <c r="L38" s="99"/>
      <c r="P38" s="2">
        <v>0.17199999999999999</v>
      </c>
      <c r="U38" s="2">
        <v>0.20100000000000001</v>
      </c>
    </row>
    <row r="39" spans="1:21" s="2" customFormat="1" ht="22.5" customHeight="1" thickBot="1">
      <c r="A39" s="224" t="s">
        <v>71</v>
      </c>
      <c r="B39" s="225"/>
      <c r="C39" s="65" t="s">
        <v>39</v>
      </c>
      <c r="D39" s="226">
        <f>(D38-D37)*2.54</f>
        <v>0.37718999999999991</v>
      </c>
      <c r="E39" s="227"/>
      <c r="F39" s="31"/>
      <c r="G39" s="31"/>
      <c r="H39" s="163" t="s">
        <v>72</v>
      </c>
      <c r="I39" s="164">
        <v>4554</v>
      </c>
      <c r="J39" s="275">
        <v>4</v>
      </c>
      <c r="K39" s="229"/>
      <c r="L39" s="99"/>
      <c r="P39" s="2">
        <v>0.20100000000000001</v>
      </c>
      <c r="U39" s="2">
        <v>0.216</v>
      </c>
    </row>
    <row r="40" spans="1:21" s="2" customFormat="1" ht="22.5" customHeight="1" thickBot="1">
      <c r="A40" s="230" t="s">
        <v>73</v>
      </c>
      <c r="B40" s="231"/>
      <c r="C40" s="67" t="s">
        <v>60</v>
      </c>
      <c r="D40" s="232">
        <f>IF(D39&lt;&gt;"",IF(D22&lt;&gt;"",D39/D22*100,""),"")</f>
        <v>2.4492857142857134</v>
      </c>
      <c r="E40" s="233"/>
      <c r="F40" s="68"/>
      <c r="G40" s="68"/>
      <c r="H40" s="165" t="s">
        <v>33</v>
      </c>
      <c r="I40" s="166">
        <v>4554</v>
      </c>
      <c r="J40" s="276">
        <v>4</v>
      </c>
      <c r="K40" s="235"/>
      <c r="L40" s="99"/>
      <c r="P40" s="105">
        <v>0.216</v>
      </c>
      <c r="Q40" s="105"/>
      <c r="R40" s="134"/>
      <c r="U40" s="2">
        <v>0.22600000000000001</v>
      </c>
    </row>
    <row r="41" spans="1:21" s="2" customFormat="1" ht="33" customHeight="1" thickBot="1">
      <c r="A41" s="70"/>
      <c r="B41" s="58"/>
      <c r="C41" s="58"/>
      <c r="D41" s="58"/>
      <c r="E41" s="58"/>
      <c r="F41" s="71"/>
      <c r="G41" s="58"/>
      <c r="H41" s="70"/>
      <c r="I41" s="58"/>
      <c r="J41" s="107" t="str">
        <f>I19</f>
        <v>ANTES DE INMERSIÓN</v>
      </c>
      <c r="K41" s="107" t="str">
        <f>K19</f>
        <v xml:space="preserve">DESPUÉS DE INMERSIÓN </v>
      </c>
      <c r="L41" s="108"/>
      <c r="M41" s="20"/>
      <c r="P41" s="109">
        <v>0.22600000000000001</v>
      </c>
      <c r="Q41" s="135"/>
      <c r="R41" s="136"/>
      <c r="U41" s="2">
        <v>0.23599999999999999</v>
      </c>
    </row>
    <row r="42" spans="1:21" s="2" customFormat="1" ht="22.5" customHeight="1">
      <c r="A42" s="70"/>
      <c r="B42" s="58"/>
      <c r="C42" s="58"/>
      <c r="D42" s="58"/>
      <c r="E42" s="58"/>
      <c r="F42" s="58"/>
      <c r="G42" s="58"/>
      <c r="H42" s="21" t="s">
        <v>74</v>
      </c>
      <c r="I42" s="110" t="s">
        <v>60</v>
      </c>
      <c r="J42" s="111">
        <f>(J27/6.9)*100</f>
        <v>9.226753083085784</v>
      </c>
      <c r="K42" s="112">
        <f>(L27/6.9)*100</f>
        <v>1.6953221112011283</v>
      </c>
      <c r="L42" s="99"/>
      <c r="P42" s="113">
        <v>0.23599999999999999</v>
      </c>
      <c r="Q42" s="137"/>
      <c r="R42" s="136"/>
      <c r="U42" s="2">
        <v>0.24299999999999999</v>
      </c>
    </row>
    <row r="43" spans="1:21" s="2" customFormat="1" ht="22.5" customHeight="1" thickBot="1">
      <c r="A43" s="70"/>
      <c r="B43" s="73"/>
      <c r="C43" s="58"/>
      <c r="D43" s="58"/>
      <c r="E43" s="58"/>
      <c r="F43" s="58"/>
      <c r="G43" s="58"/>
      <c r="H43" s="74" t="s">
        <v>75</v>
      </c>
      <c r="I43" s="114" t="s">
        <v>60</v>
      </c>
      <c r="J43" s="115">
        <f>(J31/10.3)*100</f>
        <v>8.849424109027316</v>
      </c>
      <c r="K43" s="116">
        <f>(L31/10.3)*100</f>
        <v>1.3115841524452752</v>
      </c>
      <c r="L43" s="99"/>
      <c r="P43" s="117">
        <v>0.24299999999999999</v>
      </c>
      <c r="Q43" s="138"/>
      <c r="R43" s="139"/>
      <c r="U43" s="2">
        <v>0.253</v>
      </c>
    </row>
    <row r="44" spans="1:21" s="2" customFormat="1" ht="22.5" customHeight="1" thickBot="1">
      <c r="A44" s="70"/>
      <c r="B44" s="73"/>
      <c r="C44" s="73"/>
      <c r="D44" s="73"/>
      <c r="E44" s="58"/>
      <c r="F44" s="58"/>
      <c r="G44" s="58"/>
      <c r="H44" s="74" t="s">
        <v>76</v>
      </c>
      <c r="I44" s="114"/>
      <c r="J44" s="118">
        <f>IF(J42&lt;J43,J42,J43)</f>
        <v>8.849424109027316</v>
      </c>
      <c r="K44" s="119">
        <f>IF(K42&lt;K43,K42,K43)</f>
        <v>1.3115841524452752</v>
      </c>
      <c r="L44" s="120"/>
      <c r="M44" s="121"/>
      <c r="P44" s="2">
        <v>0.253</v>
      </c>
      <c r="U44" s="2">
        <v>0.26100000000000001</v>
      </c>
    </row>
    <row r="45" spans="1:21" s="2" customFormat="1" ht="22.5" customHeight="1">
      <c r="A45" s="70"/>
      <c r="B45" s="58"/>
      <c r="C45" s="58"/>
      <c r="D45" s="59"/>
      <c r="E45" s="59"/>
      <c r="F45" s="59"/>
      <c r="G45" s="58"/>
      <c r="H45" s="4"/>
      <c r="I45" s="122"/>
      <c r="J45" s="122"/>
      <c r="K45" s="122"/>
      <c r="L45" s="99"/>
      <c r="P45" s="2">
        <v>0.26100000000000001</v>
      </c>
      <c r="U45" s="2">
        <v>0.28100000000000003</v>
      </c>
    </row>
    <row r="46" spans="1:21" s="2" customFormat="1" ht="22.5" customHeight="1">
      <c r="A46" s="70"/>
      <c r="B46" s="58"/>
      <c r="C46" s="58"/>
      <c r="D46" s="59"/>
      <c r="E46" s="59"/>
      <c r="F46" s="59"/>
      <c r="G46" s="58"/>
      <c r="H46" s="222" t="s">
        <v>77</v>
      </c>
      <c r="I46" s="222"/>
      <c r="J46" s="222" t="s">
        <v>78</v>
      </c>
      <c r="K46" s="222"/>
      <c r="L46" s="223"/>
      <c r="P46" s="2">
        <v>0.28100000000000003</v>
      </c>
      <c r="U46" s="2">
        <v>0.29899999999999999</v>
      </c>
    </row>
    <row r="47" spans="1:21" s="2" customFormat="1" ht="22.5" customHeight="1">
      <c r="A47" s="70"/>
      <c r="B47" s="56"/>
      <c r="C47" s="75"/>
      <c r="D47" s="76"/>
      <c r="E47" s="59"/>
      <c r="F47" s="59"/>
      <c r="G47" s="59"/>
      <c r="H47" s="77"/>
      <c r="I47" s="123"/>
      <c r="J47" s="77"/>
      <c r="K47" s="123"/>
      <c r="L47" s="124"/>
      <c r="P47" s="2">
        <v>0.29899999999999999</v>
      </c>
      <c r="U47" s="2">
        <v>0.318</v>
      </c>
    </row>
    <row r="48" spans="1:21" s="2" customFormat="1" ht="22.5" customHeight="1">
      <c r="A48" s="70"/>
      <c r="B48" s="56"/>
      <c r="C48" s="75"/>
      <c r="D48" s="76"/>
      <c r="E48" s="59"/>
      <c r="F48" s="59"/>
      <c r="G48" s="59"/>
      <c r="H48" s="77"/>
      <c r="I48" s="123"/>
      <c r="J48" s="77"/>
      <c r="K48" s="123"/>
      <c r="L48" s="124"/>
      <c r="P48" s="2">
        <v>0.318</v>
      </c>
    </row>
    <row r="49" spans="1:15" s="2" customFormat="1" ht="22.5" customHeight="1">
      <c r="A49" s="70"/>
      <c r="B49" s="56"/>
      <c r="C49" s="75"/>
      <c r="D49" s="76"/>
      <c r="E49" s="59"/>
      <c r="F49" s="59"/>
      <c r="G49" s="59"/>
      <c r="H49" s="77"/>
      <c r="I49" s="123"/>
      <c r="J49" s="77"/>
      <c r="K49"/>
      <c r="L49" s="124"/>
    </row>
    <row r="50" spans="1:15" s="2" customFormat="1" ht="22.5" customHeight="1">
      <c r="A50" s="70"/>
      <c r="B50" s="56"/>
      <c r="C50" s="75"/>
      <c r="D50" s="76"/>
      <c r="E50" s="59"/>
      <c r="F50" s="59"/>
      <c r="G50" s="59"/>
      <c r="H50" s="78"/>
      <c r="I50" s="78"/>
      <c r="J50" s="77"/>
      <c r="K50" s="123"/>
      <c r="L50" s="124"/>
    </row>
    <row r="51" spans="1:15" s="2" customFormat="1" ht="22.5" customHeight="1">
      <c r="A51" s="70"/>
      <c r="B51" s="56"/>
      <c r="C51" s="75"/>
      <c r="D51" s="76"/>
      <c r="E51" s="59"/>
      <c r="F51" s="59"/>
      <c r="G51" s="59"/>
      <c r="H51" s="220" t="s">
        <v>79</v>
      </c>
      <c r="I51" s="220"/>
      <c r="J51" s="220" t="s">
        <v>87</v>
      </c>
      <c r="K51" s="220"/>
      <c r="L51" s="221"/>
    </row>
    <row r="52" spans="1:15" s="2" customFormat="1" ht="22.5" customHeight="1">
      <c r="A52" s="70"/>
      <c r="B52" s="56"/>
      <c r="C52" s="75"/>
      <c r="D52" s="76"/>
      <c r="E52" s="59"/>
      <c r="F52" s="59"/>
      <c r="G52" s="59"/>
      <c r="H52" s="222" t="s">
        <v>80</v>
      </c>
      <c r="I52" s="222"/>
      <c r="J52" s="222" t="s">
        <v>81</v>
      </c>
      <c r="K52" s="222"/>
      <c r="L52" s="223"/>
    </row>
    <row r="53" spans="1:15" s="2" customFormat="1" ht="22.5" customHeight="1">
      <c r="A53" s="70"/>
      <c r="B53" s="56"/>
      <c r="C53" s="75"/>
      <c r="D53" s="76"/>
      <c r="E53" s="59"/>
      <c r="F53" s="59"/>
      <c r="G53" s="59"/>
      <c r="H53" s="186"/>
      <c r="I53" s="186"/>
      <c r="J53" s="186"/>
      <c r="K53" s="186"/>
      <c r="L53" s="99"/>
    </row>
    <row r="54" spans="1:15" s="2" customFormat="1" ht="22.5" customHeight="1">
      <c r="A54" s="70"/>
      <c r="B54" s="56"/>
      <c r="C54" s="75"/>
      <c r="D54" s="76"/>
      <c r="E54" s="59"/>
      <c r="F54" s="59"/>
      <c r="G54" s="59"/>
      <c r="H54" s="58"/>
      <c r="I54" s="58"/>
      <c r="J54" s="125"/>
      <c r="K54" s="58"/>
      <c r="L54" s="99"/>
      <c r="M54" s="126"/>
      <c r="N54" s="3"/>
    </row>
    <row r="55" spans="1:15" s="2" customFormat="1" ht="22.5" customHeight="1">
      <c r="A55" s="70"/>
      <c r="B55" s="56"/>
      <c r="C55" s="75"/>
      <c r="D55" s="76"/>
      <c r="E55" s="59"/>
      <c r="F55" s="59"/>
      <c r="G55" s="59"/>
      <c r="H55" s="58"/>
      <c r="I55" s="58"/>
      <c r="J55" s="127"/>
      <c r="K55" s="125"/>
      <c r="L55" s="128"/>
      <c r="M55" s="129"/>
      <c r="N55" s="3"/>
    </row>
    <row r="56" spans="1:15" s="2" customFormat="1" ht="22.5" customHeight="1">
      <c r="A56" s="264" t="s">
        <v>82</v>
      </c>
      <c r="B56" s="265"/>
      <c r="C56" s="265"/>
      <c r="D56" s="265"/>
      <c r="E56" s="265"/>
      <c r="F56" s="265"/>
      <c r="G56" s="265"/>
      <c r="H56" s="265"/>
      <c r="I56" s="265"/>
      <c r="J56" s="265"/>
      <c r="K56" s="265"/>
      <c r="L56" s="266"/>
      <c r="M56" s="130"/>
      <c r="N56" s="3"/>
      <c r="O56" s="3"/>
    </row>
    <row r="57" spans="1:15" s="2" customFormat="1" ht="22.5" customHeight="1">
      <c r="A57" s="261" t="s">
        <v>83</v>
      </c>
      <c r="B57" s="262"/>
      <c r="C57" s="262"/>
      <c r="D57" s="262"/>
      <c r="E57" s="262"/>
      <c r="F57" s="262"/>
      <c r="G57" s="262"/>
      <c r="H57" s="262"/>
      <c r="I57" s="262"/>
      <c r="J57" s="262"/>
      <c r="K57" s="262"/>
      <c r="L57" s="263"/>
      <c r="M57" s="3"/>
      <c r="N57" s="3"/>
      <c r="O57" s="3"/>
    </row>
    <row r="58" spans="1:15" s="2" customFormat="1" ht="22.5" customHeight="1">
      <c r="A58" s="261"/>
      <c r="B58" s="262"/>
      <c r="C58" s="262"/>
      <c r="D58" s="262"/>
      <c r="E58" s="262"/>
      <c r="F58" s="262"/>
      <c r="G58" s="262"/>
      <c r="H58" s="262"/>
      <c r="I58" s="262"/>
      <c r="J58" s="262"/>
      <c r="K58" s="262"/>
      <c r="L58" s="263"/>
      <c r="M58" s="3"/>
      <c r="N58" s="3"/>
      <c r="O58" s="3"/>
    </row>
    <row r="59" spans="1:15" ht="15" thickBot="1">
      <c r="A59" s="267" t="s">
        <v>84</v>
      </c>
      <c r="B59" s="268"/>
      <c r="C59" s="268"/>
      <c r="D59" s="268"/>
      <c r="E59" s="268"/>
      <c r="F59" s="268"/>
      <c r="G59" s="268"/>
      <c r="H59" s="268"/>
      <c r="I59" s="268"/>
      <c r="J59" s="268"/>
      <c r="K59" s="268"/>
      <c r="L59" s="269"/>
    </row>
    <row r="63" spans="1:15">
      <c r="I63" s="79"/>
      <c r="J63" s="79"/>
      <c r="K63" s="79"/>
      <c r="L63" s="79"/>
      <c r="M63" s="79"/>
      <c r="N63" s="79"/>
    </row>
    <row r="64" spans="1:15" ht="15" customHeight="1">
      <c r="E64" s="79"/>
      <c r="F64" s="79"/>
      <c r="G64" s="79"/>
      <c r="H64" s="79"/>
      <c r="I64" s="131"/>
      <c r="J64" s="131"/>
      <c r="K64" s="131"/>
      <c r="L64" s="131"/>
      <c r="M64" s="131"/>
      <c r="N64" s="131"/>
    </row>
    <row r="65" spans="2:18" ht="15" customHeight="1">
      <c r="E65" s="131"/>
      <c r="F65" s="131"/>
      <c r="G65" s="131"/>
      <c r="H65" s="131"/>
      <c r="I65" s="131"/>
      <c r="J65" s="131"/>
      <c r="K65" s="131"/>
      <c r="L65" s="131"/>
      <c r="M65" s="131"/>
      <c r="N65" s="131"/>
    </row>
    <row r="66" spans="2:18" ht="15" customHeight="1">
      <c r="E66" s="131"/>
      <c r="F66" s="131"/>
      <c r="G66" s="131"/>
      <c r="H66" s="131"/>
      <c r="I66" s="131"/>
      <c r="J66" s="131"/>
      <c r="K66" s="131"/>
      <c r="L66" s="131"/>
      <c r="M66" s="131"/>
      <c r="N66" s="131"/>
    </row>
    <row r="67" spans="2:18" ht="30.75" customHeight="1">
      <c r="E67" s="131"/>
      <c r="F67" s="131"/>
      <c r="G67" s="131"/>
      <c r="H67" s="131"/>
      <c r="I67" s="140"/>
      <c r="J67" s="140"/>
      <c r="K67" s="140"/>
      <c r="L67" s="140"/>
      <c r="M67" s="140"/>
      <c r="N67" s="140"/>
    </row>
    <row r="68" spans="2:18" ht="15" customHeight="1">
      <c r="E68" s="140"/>
      <c r="F68" s="140"/>
      <c r="G68" s="140"/>
      <c r="H68" s="140"/>
      <c r="I68" s="140"/>
      <c r="J68" s="140"/>
      <c r="K68" s="140"/>
      <c r="L68" s="140"/>
      <c r="M68" s="140"/>
      <c r="N68" s="140"/>
    </row>
    <row r="69" spans="2:18" ht="15" customHeight="1">
      <c r="E69" s="140"/>
      <c r="F69" s="140"/>
      <c r="G69" s="140"/>
      <c r="H69" s="140"/>
    </row>
    <row r="70" spans="2:18" ht="31.5" customHeight="1">
      <c r="E70" s="270"/>
      <c r="F70" s="270"/>
      <c r="G70" s="270"/>
      <c r="H70" s="270"/>
      <c r="I70" s="270"/>
      <c r="J70" s="270"/>
      <c r="K70" s="270"/>
      <c r="L70" s="270"/>
      <c r="M70" s="270"/>
      <c r="N70" s="270"/>
      <c r="O70" s="270"/>
      <c r="P70" s="270"/>
    </row>
    <row r="71" spans="2:18" ht="24" customHeight="1">
      <c r="B71" s="141"/>
      <c r="C71" s="142"/>
      <c r="D71" s="142"/>
      <c r="E71" s="142"/>
      <c r="F71" s="142"/>
      <c r="G71" s="142"/>
      <c r="H71" s="142"/>
      <c r="I71" s="142"/>
      <c r="J71" s="142"/>
      <c r="K71" s="142"/>
      <c r="L71" s="142"/>
      <c r="M71" s="142"/>
      <c r="N71" s="142"/>
      <c r="O71" s="142"/>
      <c r="P71" s="142"/>
      <c r="Q71" s="142"/>
      <c r="R71" s="142"/>
    </row>
    <row r="72" spans="2:18" ht="15" customHeight="1">
      <c r="B72" s="142"/>
      <c r="C72" s="142"/>
      <c r="D72" s="260"/>
      <c r="E72" s="260"/>
      <c r="F72" s="260"/>
      <c r="G72" s="260"/>
      <c r="H72" s="260"/>
      <c r="I72" s="260"/>
      <c r="J72" s="260"/>
      <c r="K72" s="260"/>
      <c r="L72" s="260"/>
      <c r="M72" s="260"/>
      <c r="N72" s="260"/>
      <c r="O72" s="260"/>
      <c r="P72" s="142"/>
      <c r="Q72" s="142"/>
      <c r="R72" s="142"/>
    </row>
    <row r="73" spans="2:18">
      <c r="D73" s="260"/>
      <c r="E73" s="260"/>
      <c r="F73" s="260"/>
      <c r="G73" s="260"/>
      <c r="H73" s="260"/>
      <c r="I73" s="260"/>
      <c r="J73" s="260"/>
      <c r="K73" s="260"/>
      <c r="L73" s="260"/>
      <c r="M73" s="260"/>
      <c r="N73" s="260"/>
      <c r="O73" s="260"/>
    </row>
  </sheetData>
  <sheetProtection formatCells="0" formatColumns="0" insertColumns="0" insertRows="0" deleteColumns="0" deleteRows="0"/>
  <mergeCells count="74">
    <mergeCell ref="A1:B4"/>
    <mergeCell ref="C1:J1"/>
    <mergeCell ref="K1:L1"/>
    <mergeCell ref="C2:J4"/>
    <mergeCell ref="K2:L2"/>
    <mergeCell ref="K3:L3"/>
    <mergeCell ref="K4:L4"/>
    <mergeCell ref="B5:K5"/>
    <mergeCell ref="C6:G6"/>
    <mergeCell ref="H6:I6"/>
    <mergeCell ref="J6:L6"/>
    <mergeCell ref="C7:G7"/>
    <mergeCell ref="H7:I7"/>
    <mergeCell ref="J7:L7"/>
    <mergeCell ref="A18:E18"/>
    <mergeCell ref="G18:L18"/>
    <mergeCell ref="C8:G8"/>
    <mergeCell ref="H8:I8"/>
    <mergeCell ref="J8:L8"/>
    <mergeCell ref="C9:G9"/>
    <mergeCell ref="H9:I9"/>
    <mergeCell ref="C10:G10"/>
    <mergeCell ref="H10:I10"/>
    <mergeCell ref="J10:L10"/>
    <mergeCell ref="B11:K11"/>
    <mergeCell ref="F12:G12"/>
    <mergeCell ref="H12:I12"/>
    <mergeCell ref="C13:L13"/>
    <mergeCell ref="A16:L16"/>
    <mergeCell ref="A27:B27"/>
    <mergeCell ref="A19:C19"/>
    <mergeCell ref="G19:H20"/>
    <mergeCell ref="I19:J19"/>
    <mergeCell ref="K19:L19"/>
    <mergeCell ref="A20:B20"/>
    <mergeCell ref="A21:B21"/>
    <mergeCell ref="A22:B22"/>
    <mergeCell ref="A23:B23"/>
    <mergeCell ref="A24:B24"/>
    <mergeCell ref="A25:B25"/>
    <mergeCell ref="A26:B26"/>
    <mergeCell ref="A38:B38"/>
    <mergeCell ref="D38:E38"/>
    <mergeCell ref="H38:I38"/>
    <mergeCell ref="J38:K38"/>
    <mergeCell ref="A28:B28"/>
    <mergeCell ref="A29:E29"/>
    <mergeCell ref="A30:B30"/>
    <mergeCell ref="A31:B31"/>
    <mergeCell ref="A32:B32"/>
    <mergeCell ref="A33:B33"/>
    <mergeCell ref="A34:B34"/>
    <mergeCell ref="A36:E36"/>
    <mergeCell ref="H36:K36"/>
    <mergeCell ref="A37:B37"/>
    <mergeCell ref="D37:E37"/>
    <mergeCell ref="A39:B39"/>
    <mergeCell ref="D39:E39"/>
    <mergeCell ref="J39:K39"/>
    <mergeCell ref="A40:B40"/>
    <mergeCell ref="D40:E40"/>
    <mergeCell ref="J40:K40"/>
    <mergeCell ref="D72:O73"/>
    <mergeCell ref="H46:I46"/>
    <mergeCell ref="J46:L46"/>
    <mergeCell ref="H51:I51"/>
    <mergeCell ref="J51:L51"/>
    <mergeCell ref="H52:I52"/>
    <mergeCell ref="J52:L52"/>
    <mergeCell ref="H53:K53"/>
    <mergeCell ref="A56:L56"/>
    <mergeCell ref="A57:L58"/>
    <mergeCell ref="A59:L59"/>
    <mergeCell ref="E70:P70"/>
  </mergeCells>
  <conditionalFormatting sqref="C6:G10">
    <cfRule type="containsBlanks" dxfId="189" priority="10">
      <formula>LEN(TRIM(C6))=0</formula>
    </cfRule>
  </conditionalFormatting>
  <conditionalFormatting sqref="C13:L13">
    <cfRule type="containsBlanks" dxfId="188" priority="9">
      <formula>LEN(TRIM(C13))=0</formula>
    </cfRule>
  </conditionalFormatting>
  <conditionalFormatting sqref="D20:D24">
    <cfRule type="containsBlanks" dxfId="187" priority="4">
      <formula>LEN(TRIM(D20))=0</formula>
    </cfRule>
  </conditionalFormatting>
  <conditionalFormatting sqref="D37:D38">
    <cfRule type="containsBlanks" dxfId="186" priority="3">
      <formula>LEN(TRIM(D37))=0</formula>
    </cfRule>
  </conditionalFormatting>
  <conditionalFormatting sqref="D30:E33">
    <cfRule type="containsBlanks" dxfId="185" priority="1">
      <formula>LEN(TRIM(D30))=0</formula>
    </cfRule>
  </conditionalFormatting>
  <conditionalFormatting sqref="E23">
    <cfRule type="containsBlanks" dxfId="184" priority="5">
      <formula>LEN(TRIM(E23))=0</formula>
    </cfRule>
  </conditionalFormatting>
  <conditionalFormatting sqref="F12:G12">
    <cfRule type="containsBlanks" dxfId="183" priority="8">
      <formula>LEN(TRIM(F12))=0</formula>
    </cfRule>
  </conditionalFormatting>
  <conditionalFormatting sqref="I22:I34">
    <cfRule type="containsBlanks" dxfId="182" priority="7">
      <formula>LEN(TRIM(I22))=0</formula>
    </cfRule>
  </conditionalFormatting>
  <conditionalFormatting sqref="I37">
    <cfRule type="containsBlanks" dxfId="181" priority="2">
      <formula>LEN(TRIM(I37))=0</formula>
    </cfRule>
  </conditionalFormatting>
  <conditionalFormatting sqref="K22:K34">
    <cfRule type="containsBlanks" dxfId="180" priority="6">
      <formula>LEN(TRIM(K22))=0</formula>
    </cfRule>
  </conditionalFormatting>
  <dataValidations count="2">
    <dataValidation type="list" allowBlank="1" showInputMessage="1" showErrorMessage="1" sqref="C12" xr:uid="{00000000-0002-0000-0400-000000000000}">
      <formula1>$T$6:$T$13</formula1>
    </dataValidation>
    <dataValidation type="list" allowBlank="1" showInputMessage="1" showErrorMessage="1" sqref="I37" xr:uid="{00000000-0002-0000-0400-000001000000}">
      <formula1>"5 kN, 50 kN"</formula1>
    </dataValidation>
  </dataValidations>
  <printOptions horizontalCentered="1" verticalCentered="1"/>
  <pageMargins left="0.31496062992126" right="0.31496062992126" top="0.15748031496063" bottom="0.55118110236220497" header="0" footer="0.118110236220472"/>
  <pageSetup scale="42" fitToWidth="0" fitToHeight="0" orientation="landscape" r:id="rId1"/>
  <headerFooter>
    <oddFooter>&amp;C&amp;"Arial,Normal"&amp;10GEODELTA S.A.S. Calle 68 B bis No 70 C 95, Móvil: 318 7902368 Bogotá DC - Colombia
e-mail: laboratoriogeodelta@gmail.com</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8" tint="0.59999389629810485"/>
  </sheetPr>
  <dimension ref="A1:AB73"/>
  <sheetViews>
    <sheetView showGridLines="0" view="pageBreakPreview" zoomScale="85" zoomScaleNormal="50" zoomScalePageLayoutView="50" workbookViewId="0">
      <selection activeCell="K2" sqref="K2:L2"/>
    </sheetView>
  </sheetViews>
  <sheetFormatPr baseColWidth="10" defaultColWidth="11" defaultRowHeight="14.25"/>
  <cols>
    <col min="1" max="1" width="10.5703125" style="3" customWidth="1"/>
    <col min="2" max="2" width="35.42578125" style="3" customWidth="1"/>
    <col min="3" max="3" width="20.85546875" style="3" customWidth="1"/>
    <col min="4" max="5" width="26.7109375" style="3" customWidth="1"/>
    <col min="6" max="6" width="3.7109375" style="3" customWidth="1"/>
    <col min="7" max="7" width="29.140625" style="3" customWidth="1"/>
    <col min="8" max="8" width="27.140625" style="3" customWidth="1"/>
    <col min="9" max="10" width="24.28515625" style="3" customWidth="1"/>
    <col min="11" max="12" width="22.42578125" style="3" customWidth="1"/>
    <col min="13" max="13" width="1.85546875" style="3" customWidth="1"/>
    <col min="14" max="16" width="12.85546875" style="3" customWidth="1"/>
    <col min="17" max="17" width="6.5703125" style="3" customWidth="1"/>
    <col min="18" max="18" width="6.28515625" style="3" customWidth="1"/>
    <col min="19" max="184" width="11" style="3"/>
    <col min="185" max="185" width="0.7109375" style="3" customWidth="1"/>
    <col min="186" max="186" width="6.5703125" style="3" customWidth="1"/>
    <col min="187" max="187" width="13.5703125" style="3" customWidth="1"/>
    <col min="188" max="188" width="13.42578125" style="3" customWidth="1"/>
    <col min="189" max="190" width="12.5703125" style="3" customWidth="1"/>
    <col min="191" max="191" width="14.85546875" style="3" customWidth="1"/>
    <col min="192" max="192" width="20.7109375" style="3" customWidth="1"/>
    <col min="193" max="193" width="12.5703125" style="3" customWidth="1"/>
    <col min="194" max="194" width="13" style="3" customWidth="1"/>
    <col min="195" max="195" width="16" style="3" customWidth="1"/>
    <col min="196" max="196" width="6.42578125" style="3" customWidth="1"/>
    <col min="197" max="197" width="16" style="3" customWidth="1"/>
    <col min="198" max="198" width="2.85546875" style="3" customWidth="1"/>
    <col min="199" max="199" width="0.85546875" style="3" customWidth="1"/>
    <col min="200" max="200" width="11" style="3"/>
    <col min="201" max="201" width="15.42578125" style="3" customWidth="1"/>
    <col min="202" max="204" width="14.85546875" style="3" customWidth="1"/>
    <col min="205" max="205" width="0.7109375" style="3" customWidth="1"/>
    <col min="206" max="206" width="11" style="3"/>
    <col min="207" max="207" width="15.7109375" style="3" customWidth="1"/>
    <col min="208" max="209" width="14.85546875" style="3" customWidth="1"/>
    <col min="210" max="210" width="3.28515625" style="3" customWidth="1"/>
    <col min="211" max="211" width="20.140625" style="3" customWidth="1"/>
    <col min="212" max="212" width="3.28515625" style="3" customWidth="1"/>
    <col min="213" max="217" width="11" style="3"/>
    <col min="218" max="230" width="4.7109375" style="3" customWidth="1"/>
    <col min="231" max="440" width="11" style="3"/>
    <col min="441" max="441" width="0.7109375" style="3" customWidth="1"/>
    <col min="442" max="442" width="6.5703125" style="3" customWidth="1"/>
    <col min="443" max="443" width="13.5703125" style="3" customWidth="1"/>
    <col min="444" max="444" width="13.42578125" style="3" customWidth="1"/>
    <col min="445" max="446" width="12.5703125" style="3" customWidth="1"/>
    <col min="447" max="447" width="14.85546875" style="3" customWidth="1"/>
    <col min="448" max="448" width="20.7109375" style="3" customWidth="1"/>
    <col min="449" max="449" width="12.5703125" style="3" customWidth="1"/>
    <col min="450" max="450" width="13" style="3" customWidth="1"/>
    <col min="451" max="451" width="16" style="3" customWidth="1"/>
    <col min="452" max="452" width="6.42578125" style="3" customWidth="1"/>
    <col min="453" max="453" width="16" style="3" customWidth="1"/>
    <col min="454" max="454" width="2.85546875" style="3" customWidth="1"/>
    <col min="455" max="455" width="0.85546875" style="3" customWidth="1"/>
    <col min="456" max="456" width="11" style="3"/>
    <col min="457" max="457" width="15.42578125" style="3" customWidth="1"/>
    <col min="458" max="460" width="14.85546875" style="3" customWidth="1"/>
    <col min="461" max="461" width="0.7109375" style="3" customWidth="1"/>
    <col min="462" max="462" width="11" style="3"/>
    <col min="463" max="463" width="15.7109375" style="3" customWidth="1"/>
    <col min="464" max="465" width="14.85546875" style="3" customWidth="1"/>
    <col min="466" max="466" width="3.28515625" style="3" customWidth="1"/>
    <col min="467" max="467" width="20.140625" style="3" customWidth="1"/>
    <col min="468" max="468" width="3.28515625" style="3" customWidth="1"/>
    <col min="469" max="473" width="11" style="3"/>
    <col min="474" max="486" width="4.7109375" style="3" customWidth="1"/>
    <col min="487" max="696" width="11" style="3"/>
    <col min="697" max="697" width="0.7109375" style="3" customWidth="1"/>
    <col min="698" max="698" width="6.5703125" style="3" customWidth="1"/>
    <col min="699" max="699" width="13.5703125" style="3" customWidth="1"/>
    <col min="700" max="700" width="13.42578125" style="3" customWidth="1"/>
    <col min="701" max="702" width="12.5703125" style="3" customWidth="1"/>
    <col min="703" max="703" width="14.85546875" style="3" customWidth="1"/>
    <col min="704" max="704" width="20.7109375" style="3" customWidth="1"/>
    <col min="705" max="705" width="12.5703125" style="3" customWidth="1"/>
    <col min="706" max="706" width="13" style="3" customWidth="1"/>
    <col min="707" max="707" width="16" style="3" customWidth="1"/>
    <col min="708" max="708" width="6.42578125" style="3" customWidth="1"/>
    <col min="709" max="709" width="16" style="3" customWidth="1"/>
    <col min="710" max="710" width="2.85546875" style="3" customWidth="1"/>
    <col min="711" max="711" width="0.85546875" style="3" customWidth="1"/>
    <col min="712" max="712" width="11" style="3"/>
    <col min="713" max="713" width="15.42578125" style="3" customWidth="1"/>
    <col min="714" max="716" width="14.85546875" style="3" customWidth="1"/>
    <col min="717" max="717" width="0.7109375" style="3" customWidth="1"/>
    <col min="718" max="718" width="11" style="3"/>
    <col min="719" max="719" width="15.7109375" style="3" customWidth="1"/>
    <col min="720" max="721" width="14.85546875" style="3" customWidth="1"/>
    <col min="722" max="722" width="3.28515625" style="3" customWidth="1"/>
    <col min="723" max="723" width="20.140625" style="3" customWidth="1"/>
    <col min="724" max="724" width="3.28515625" style="3" customWidth="1"/>
    <col min="725" max="729" width="11" style="3"/>
    <col min="730" max="742" width="4.7109375" style="3" customWidth="1"/>
    <col min="743" max="952" width="11" style="3"/>
    <col min="953" max="953" width="0.7109375" style="3" customWidth="1"/>
    <col min="954" max="954" width="6.5703125" style="3" customWidth="1"/>
    <col min="955" max="955" width="13.5703125" style="3" customWidth="1"/>
    <col min="956" max="956" width="13.42578125" style="3" customWidth="1"/>
    <col min="957" max="958" width="12.5703125" style="3" customWidth="1"/>
    <col min="959" max="959" width="14.85546875" style="3" customWidth="1"/>
    <col min="960" max="960" width="20.7109375" style="3" customWidth="1"/>
    <col min="961" max="961" width="12.5703125" style="3" customWidth="1"/>
    <col min="962" max="962" width="13" style="3" customWidth="1"/>
    <col min="963" max="963" width="16" style="3" customWidth="1"/>
    <col min="964" max="964" width="6.42578125" style="3" customWidth="1"/>
    <col min="965" max="965" width="16" style="3" customWidth="1"/>
    <col min="966" max="966" width="2.85546875" style="3" customWidth="1"/>
    <col min="967" max="967" width="0.85546875" style="3" customWidth="1"/>
    <col min="968" max="968" width="11" style="3"/>
    <col min="969" max="969" width="15.42578125" style="3" customWidth="1"/>
    <col min="970" max="972" width="14.85546875" style="3" customWidth="1"/>
    <col min="973" max="973" width="0.7109375" style="3" customWidth="1"/>
    <col min="974" max="974" width="11" style="3"/>
    <col min="975" max="975" width="15.7109375" style="3" customWidth="1"/>
    <col min="976" max="977" width="14.85546875" style="3" customWidth="1"/>
    <col min="978" max="978" width="3.28515625" style="3" customWidth="1"/>
    <col min="979" max="979" width="20.140625" style="3" customWidth="1"/>
    <col min="980" max="980" width="3.28515625" style="3" customWidth="1"/>
    <col min="981" max="985" width="11" style="3"/>
    <col min="986" max="998" width="4.7109375" style="3" customWidth="1"/>
    <col min="999" max="1208" width="11" style="3"/>
    <col min="1209" max="1209" width="0.7109375" style="3" customWidth="1"/>
    <col min="1210" max="1210" width="6.5703125" style="3" customWidth="1"/>
    <col min="1211" max="1211" width="13.5703125" style="3" customWidth="1"/>
    <col min="1212" max="1212" width="13.42578125" style="3" customWidth="1"/>
    <col min="1213" max="1214" width="12.5703125" style="3" customWidth="1"/>
    <col min="1215" max="1215" width="14.85546875" style="3" customWidth="1"/>
    <col min="1216" max="1216" width="20.7109375" style="3" customWidth="1"/>
    <col min="1217" max="1217" width="12.5703125" style="3" customWidth="1"/>
    <col min="1218" max="1218" width="13" style="3" customWidth="1"/>
    <col min="1219" max="1219" width="16" style="3" customWidth="1"/>
    <col min="1220" max="1220" width="6.42578125" style="3" customWidth="1"/>
    <col min="1221" max="1221" width="16" style="3" customWidth="1"/>
    <col min="1222" max="1222" width="2.85546875" style="3" customWidth="1"/>
    <col min="1223" max="1223" width="0.85546875" style="3" customWidth="1"/>
    <col min="1224" max="1224" width="11" style="3"/>
    <col min="1225" max="1225" width="15.42578125" style="3" customWidth="1"/>
    <col min="1226" max="1228" width="14.85546875" style="3" customWidth="1"/>
    <col min="1229" max="1229" width="0.7109375" style="3" customWidth="1"/>
    <col min="1230" max="1230" width="11" style="3"/>
    <col min="1231" max="1231" width="15.7109375" style="3" customWidth="1"/>
    <col min="1232" max="1233" width="14.85546875" style="3" customWidth="1"/>
    <col min="1234" max="1234" width="3.28515625" style="3" customWidth="1"/>
    <col min="1235" max="1235" width="20.140625" style="3" customWidth="1"/>
    <col min="1236" max="1236" width="3.28515625" style="3" customWidth="1"/>
    <col min="1237" max="1241" width="11" style="3"/>
    <col min="1242" max="1254" width="4.7109375" style="3" customWidth="1"/>
    <col min="1255" max="1464" width="11" style="3"/>
    <col min="1465" max="1465" width="0.7109375" style="3" customWidth="1"/>
    <col min="1466" max="1466" width="6.5703125" style="3" customWidth="1"/>
    <col min="1467" max="1467" width="13.5703125" style="3" customWidth="1"/>
    <col min="1468" max="1468" width="13.42578125" style="3" customWidth="1"/>
    <col min="1469" max="1470" width="12.5703125" style="3" customWidth="1"/>
    <col min="1471" max="1471" width="14.85546875" style="3" customWidth="1"/>
    <col min="1472" max="1472" width="20.7109375" style="3" customWidth="1"/>
    <col min="1473" max="1473" width="12.5703125" style="3" customWidth="1"/>
    <col min="1474" max="1474" width="13" style="3" customWidth="1"/>
    <col min="1475" max="1475" width="16" style="3" customWidth="1"/>
    <col min="1476" max="1476" width="6.42578125" style="3" customWidth="1"/>
    <col min="1477" max="1477" width="16" style="3" customWidth="1"/>
    <col min="1478" max="1478" width="2.85546875" style="3" customWidth="1"/>
    <col min="1479" max="1479" width="0.85546875" style="3" customWidth="1"/>
    <col min="1480" max="1480" width="11" style="3"/>
    <col min="1481" max="1481" width="15.42578125" style="3" customWidth="1"/>
    <col min="1482" max="1484" width="14.85546875" style="3" customWidth="1"/>
    <col min="1485" max="1485" width="0.7109375" style="3" customWidth="1"/>
    <col min="1486" max="1486" width="11" style="3"/>
    <col min="1487" max="1487" width="15.7109375" style="3" customWidth="1"/>
    <col min="1488" max="1489" width="14.85546875" style="3" customWidth="1"/>
    <col min="1490" max="1490" width="3.28515625" style="3" customWidth="1"/>
    <col min="1491" max="1491" width="20.140625" style="3" customWidth="1"/>
    <col min="1492" max="1492" width="3.28515625" style="3" customWidth="1"/>
    <col min="1493" max="1497" width="11" style="3"/>
    <col min="1498" max="1510" width="4.7109375" style="3" customWidth="1"/>
    <col min="1511" max="1720" width="11" style="3"/>
    <col min="1721" max="1721" width="0.7109375" style="3" customWidth="1"/>
    <col min="1722" max="1722" width="6.5703125" style="3" customWidth="1"/>
    <col min="1723" max="1723" width="13.5703125" style="3" customWidth="1"/>
    <col min="1724" max="1724" width="13.42578125" style="3" customWidth="1"/>
    <col min="1725" max="1726" width="12.5703125" style="3" customWidth="1"/>
    <col min="1727" max="1727" width="14.85546875" style="3" customWidth="1"/>
    <col min="1728" max="1728" width="20.7109375" style="3" customWidth="1"/>
    <col min="1729" max="1729" width="12.5703125" style="3" customWidth="1"/>
    <col min="1730" max="1730" width="13" style="3" customWidth="1"/>
    <col min="1731" max="1731" width="16" style="3" customWidth="1"/>
    <col min="1732" max="1732" width="6.42578125" style="3" customWidth="1"/>
    <col min="1733" max="1733" width="16" style="3" customWidth="1"/>
    <col min="1734" max="1734" width="2.85546875" style="3" customWidth="1"/>
    <col min="1735" max="1735" width="0.85546875" style="3" customWidth="1"/>
    <col min="1736" max="1736" width="11" style="3"/>
    <col min="1737" max="1737" width="15.42578125" style="3" customWidth="1"/>
    <col min="1738" max="1740" width="14.85546875" style="3" customWidth="1"/>
    <col min="1741" max="1741" width="0.7109375" style="3" customWidth="1"/>
    <col min="1742" max="1742" width="11" style="3"/>
    <col min="1743" max="1743" width="15.7109375" style="3" customWidth="1"/>
    <col min="1744" max="1745" width="14.85546875" style="3" customWidth="1"/>
    <col min="1746" max="1746" width="3.28515625" style="3" customWidth="1"/>
    <col min="1747" max="1747" width="20.140625" style="3" customWidth="1"/>
    <col min="1748" max="1748" width="3.28515625" style="3" customWidth="1"/>
    <col min="1749" max="1753" width="11" style="3"/>
    <col min="1754" max="1766" width="4.7109375" style="3" customWidth="1"/>
    <col min="1767" max="1976" width="11" style="3"/>
    <col min="1977" max="1977" width="0.7109375" style="3" customWidth="1"/>
    <col min="1978" max="1978" width="6.5703125" style="3" customWidth="1"/>
    <col min="1979" max="1979" width="13.5703125" style="3" customWidth="1"/>
    <col min="1980" max="1980" width="13.42578125" style="3" customWidth="1"/>
    <col min="1981" max="1982" width="12.5703125" style="3" customWidth="1"/>
    <col min="1983" max="1983" width="14.85546875" style="3" customWidth="1"/>
    <col min="1984" max="1984" width="20.7109375" style="3" customWidth="1"/>
    <col min="1985" max="1985" width="12.5703125" style="3" customWidth="1"/>
    <col min="1986" max="1986" width="13" style="3" customWidth="1"/>
    <col min="1987" max="1987" width="16" style="3" customWidth="1"/>
    <col min="1988" max="1988" width="6.42578125" style="3" customWidth="1"/>
    <col min="1989" max="1989" width="16" style="3" customWidth="1"/>
    <col min="1990" max="1990" width="2.85546875" style="3" customWidth="1"/>
    <col min="1991" max="1991" width="0.85546875" style="3" customWidth="1"/>
    <col min="1992" max="1992" width="11" style="3"/>
    <col min="1993" max="1993" width="15.42578125" style="3" customWidth="1"/>
    <col min="1994" max="1996" width="14.85546875" style="3" customWidth="1"/>
    <col min="1997" max="1997" width="0.7109375" style="3" customWidth="1"/>
    <col min="1998" max="1998" width="11" style="3"/>
    <col min="1999" max="1999" width="15.7109375" style="3" customWidth="1"/>
    <col min="2000" max="2001" width="14.85546875" style="3" customWidth="1"/>
    <col min="2002" max="2002" width="3.28515625" style="3" customWidth="1"/>
    <col min="2003" max="2003" width="20.140625" style="3" customWidth="1"/>
    <col min="2004" max="2004" width="3.28515625" style="3" customWidth="1"/>
    <col min="2005" max="2009" width="11" style="3"/>
    <col min="2010" max="2022" width="4.7109375" style="3" customWidth="1"/>
    <col min="2023" max="2232" width="11" style="3"/>
    <col min="2233" max="2233" width="0.7109375" style="3" customWidth="1"/>
    <col min="2234" max="2234" width="6.5703125" style="3" customWidth="1"/>
    <col min="2235" max="2235" width="13.5703125" style="3" customWidth="1"/>
    <col min="2236" max="2236" width="13.42578125" style="3" customWidth="1"/>
    <col min="2237" max="2238" width="12.5703125" style="3" customWidth="1"/>
    <col min="2239" max="2239" width="14.85546875" style="3" customWidth="1"/>
    <col min="2240" max="2240" width="20.7109375" style="3" customWidth="1"/>
    <col min="2241" max="2241" width="12.5703125" style="3" customWidth="1"/>
    <col min="2242" max="2242" width="13" style="3" customWidth="1"/>
    <col min="2243" max="2243" width="16" style="3" customWidth="1"/>
    <col min="2244" max="2244" width="6.42578125" style="3" customWidth="1"/>
    <col min="2245" max="2245" width="16" style="3" customWidth="1"/>
    <col min="2246" max="2246" width="2.85546875" style="3" customWidth="1"/>
    <col min="2247" max="2247" width="0.85546875" style="3" customWidth="1"/>
    <col min="2248" max="2248" width="11" style="3"/>
    <col min="2249" max="2249" width="15.42578125" style="3" customWidth="1"/>
    <col min="2250" max="2252" width="14.85546875" style="3" customWidth="1"/>
    <col min="2253" max="2253" width="0.7109375" style="3" customWidth="1"/>
    <col min="2254" max="2254" width="11" style="3"/>
    <col min="2255" max="2255" width="15.7109375" style="3" customWidth="1"/>
    <col min="2256" max="2257" width="14.85546875" style="3" customWidth="1"/>
    <col min="2258" max="2258" width="3.28515625" style="3" customWidth="1"/>
    <col min="2259" max="2259" width="20.140625" style="3" customWidth="1"/>
    <col min="2260" max="2260" width="3.28515625" style="3" customWidth="1"/>
    <col min="2261" max="2265" width="11" style="3"/>
    <col min="2266" max="2278" width="4.7109375" style="3" customWidth="1"/>
    <col min="2279" max="2488" width="11" style="3"/>
    <col min="2489" max="2489" width="0.7109375" style="3" customWidth="1"/>
    <col min="2490" max="2490" width="6.5703125" style="3" customWidth="1"/>
    <col min="2491" max="2491" width="13.5703125" style="3" customWidth="1"/>
    <col min="2492" max="2492" width="13.42578125" style="3" customWidth="1"/>
    <col min="2493" max="2494" width="12.5703125" style="3" customWidth="1"/>
    <col min="2495" max="2495" width="14.85546875" style="3" customWidth="1"/>
    <col min="2496" max="2496" width="20.7109375" style="3" customWidth="1"/>
    <col min="2497" max="2497" width="12.5703125" style="3" customWidth="1"/>
    <col min="2498" max="2498" width="13" style="3" customWidth="1"/>
    <col min="2499" max="2499" width="16" style="3" customWidth="1"/>
    <col min="2500" max="2500" width="6.42578125" style="3" customWidth="1"/>
    <col min="2501" max="2501" width="16" style="3" customWidth="1"/>
    <col min="2502" max="2502" width="2.85546875" style="3" customWidth="1"/>
    <col min="2503" max="2503" width="0.85546875" style="3" customWidth="1"/>
    <col min="2504" max="2504" width="11" style="3"/>
    <col min="2505" max="2505" width="15.42578125" style="3" customWidth="1"/>
    <col min="2506" max="2508" width="14.85546875" style="3" customWidth="1"/>
    <col min="2509" max="2509" width="0.7109375" style="3" customWidth="1"/>
    <col min="2510" max="2510" width="11" style="3"/>
    <col min="2511" max="2511" width="15.7109375" style="3" customWidth="1"/>
    <col min="2512" max="2513" width="14.85546875" style="3" customWidth="1"/>
    <col min="2514" max="2514" width="3.28515625" style="3" customWidth="1"/>
    <col min="2515" max="2515" width="20.140625" style="3" customWidth="1"/>
    <col min="2516" max="2516" width="3.28515625" style="3" customWidth="1"/>
    <col min="2517" max="2521" width="11" style="3"/>
    <col min="2522" max="2534" width="4.7109375" style="3" customWidth="1"/>
    <col min="2535" max="2744" width="11" style="3"/>
    <col min="2745" max="2745" width="0.7109375" style="3" customWidth="1"/>
    <col min="2746" max="2746" width="6.5703125" style="3" customWidth="1"/>
    <col min="2747" max="2747" width="13.5703125" style="3" customWidth="1"/>
    <col min="2748" max="2748" width="13.42578125" style="3" customWidth="1"/>
    <col min="2749" max="2750" width="12.5703125" style="3" customWidth="1"/>
    <col min="2751" max="2751" width="14.85546875" style="3" customWidth="1"/>
    <col min="2752" max="2752" width="20.7109375" style="3" customWidth="1"/>
    <col min="2753" max="2753" width="12.5703125" style="3" customWidth="1"/>
    <col min="2754" max="2754" width="13" style="3" customWidth="1"/>
    <col min="2755" max="2755" width="16" style="3" customWidth="1"/>
    <col min="2756" max="2756" width="6.42578125" style="3" customWidth="1"/>
    <col min="2757" max="2757" width="16" style="3" customWidth="1"/>
    <col min="2758" max="2758" width="2.85546875" style="3" customWidth="1"/>
    <col min="2759" max="2759" width="0.85546875" style="3" customWidth="1"/>
    <col min="2760" max="2760" width="11" style="3"/>
    <col min="2761" max="2761" width="15.42578125" style="3" customWidth="1"/>
    <col min="2762" max="2764" width="14.85546875" style="3" customWidth="1"/>
    <col min="2765" max="2765" width="0.7109375" style="3" customWidth="1"/>
    <col min="2766" max="2766" width="11" style="3"/>
    <col min="2767" max="2767" width="15.7109375" style="3" customWidth="1"/>
    <col min="2768" max="2769" width="14.85546875" style="3" customWidth="1"/>
    <col min="2770" max="2770" width="3.28515625" style="3" customWidth="1"/>
    <col min="2771" max="2771" width="20.140625" style="3" customWidth="1"/>
    <col min="2772" max="2772" width="3.28515625" style="3" customWidth="1"/>
    <col min="2773" max="2777" width="11" style="3"/>
    <col min="2778" max="2790" width="4.7109375" style="3" customWidth="1"/>
    <col min="2791" max="3000" width="11" style="3"/>
    <col min="3001" max="3001" width="0.7109375" style="3" customWidth="1"/>
    <col min="3002" max="3002" width="6.5703125" style="3" customWidth="1"/>
    <col min="3003" max="3003" width="13.5703125" style="3" customWidth="1"/>
    <col min="3004" max="3004" width="13.42578125" style="3" customWidth="1"/>
    <col min="3005" max="3006" width="12.5703125" style="3" customWidth="1"/>
    <col min="3007" max="3007" width="14.85546875" style="3" customWidth="1"/>
    <col min="3008" max="3008" width="20.7109375" style="3" customWidth="1"/>
    <col min="3009" max="3009" width="12.5703125" style="3" customWidth="1"/>
    <col min="3010" max="3010" width="13" style="3" customWidth="1"/>
    <col min="3011" max="3011" width="16" style="3" customWidth="1"/>
    <col min="3012" max="3012" width="6.42578125" style="3" customWidth="1"/>
    <col min="3013" max="3013" width="16" style="3" customWidth="1"/>
    <col min="3014" max="3014" width="2.85546875" style="3" customWidth="1"/>
    <col min="3015" max="3015" width="0.85546875" style="3" customWidth="1"/>
    <col min="3016" max="3016" width="11" style="3"/>
    <col min="3017" max="3017" width="15.42578125" style="3" customWidth="1"/>
    <col min="3018" max="3020" width="14.85546875" style="3" customWidth="1"/>
    <col min="3021" max="3021" width="0.7109375" style="3" customWidth="1"/>
    <col min="3022" max="3022" width="11" style="3"/>
    <col min="3023" max="3023" width="15.7109375" style="3" customWidth="1"/>
    <col min="3024" max="3025" width="14.85546875" style="3" customWidth="1"/>
    <col min="3026" max="3026" width="3.28515625" style="3" customWidth="1"/>
    <col min="3027" max="3027" width="20.140625" style="3" customWidth="1"/>
    <col min="3028" max="3028" width="3.28515625" style="3" customWidth="1"/>
    <col min="3029" max="3033" width="11" style="3"/>
    <col min="3034" max="3046" width="4.7109375" style="3" customWidth="1"/>
    <col min="3047" max="3256" width="11" style="3"/>
    <col min="3257" max="3257" width="0.7109375" style="3" customWidth="1"/>
    <col min="3258" max="3258" width="6.5703125" style="3" customWidth="1"/>
    <col min="3259" max="3259" width="13.5703125" style="3" customWidth="1"/>
    <col min="3260" max="3260" width="13.42578125" style="3" customWidth="1"/>
    <col min="3261" max="3262" width="12.5703125" style="3" customWidth="1"/>
    <col min="3263" max="3263" width="14.85546875" style="3" customWidth="1"/>
    <col min="3264" max="3264" width="20.7109375" style="3" customWidth="1"/>
    <col min="3265" max="3265" width="12.5703125" style="3" customWidth="1"/>
    <col min="3266" max="3266" width="13" style="3" customWidth="1"/>
    <col min="3267" max="3267" width="16" style="3" customWidth="1"/>
    <col min="3268" max="3268" width="6.42578125" style="3" customWidth="1"/>
    <col min="3269" max="3269" width="16" style="3" customWidth="1"/>
    <col min="3270" max="3270" width="2.85546875" style="3" customWidth="1"/>
    <col min="3271" max="3271" width="0.85546875" style="3" customWidth="1"/>
    <col min="3272" max="3272" width="11" style="3"/>
    <col min="3273" max="3273" width="15.42578125" style="3" customWidth="1"/>
    <col min="3274" max="3276" width="14.85546875" style="3" customWidth="1"/>
    <col min="3277" max="3277" width="0.7109375" style="3" customWidth="1"/>
    <col min="3278" max="3278" width="11" style="3"/>
    <col min="3279" max="3279" width="15.7109375" style="3" customWidth="1"/>
    <col min="3280" max="3281" width="14.85546875" style="3" customWidth="1"/>
    <col min="3282" max="3282" width="3.28515625" style="3" customWidth="1"/>
    <col min="3283" max="3283" width="20.140625" style="3" customWidth="1"/>
    <col min="3284" max="3284" width="3.28515625" style="3" customWidth="1"/>
    <col min="3285" max="3289" width="11" style="3"/>
    <col min="3290" max="3302" width="4.7109375" style="3" customWidth="1"/>
    <col min="3303" max="3512" width="11" style="3"/>
    <col min="3513" max="3513" width="0.7109375" style="3" customWidth="1"/>
    <col min="3514" max="3514" width="6.5703125" style="3" customWidth="1"/>
    <col min="3515" max="3515" width="13.5703125" style="3" customWidth="1"/>
    <col min="3516" max="3516" width="13.42578125" style="3" customWidth="1"/>
    <col min="3517" max="3518" width="12.5703125" style="3" customWidth="1"/>
    <col min="3519" max="3519" width="14.85546875" style="3" customWidth="1"/>
    <col min="3520" max="3520" width="20.7109375" style="3" customWidth="1"/>
    <col min="3521" max="3521" width="12.5703125" style="3" customWidth="1"/>
    <col min="3522" max="3522" width="13" style="3" customWidth="1"/>
    <col min="3523" max="3523" width="16" style="3" customWidth="1"/>
    <col min="3524" max="3524" width="6.42578125" style="3" customWidth="1"/>
    <col min="3525" max="3525" width="16" style="3" customWidth="1"/>
    <col min="3526" max="3526" width="2.85546875" style="3" customWidth="1"/>
    <col min="3527" max="3527" width="0.85546875" style="3" customWidth="1"/>
    <col min="3528" max="3528" width="11" style="3"/>
    <col min="3529" max="3529" width="15.42578125" style="3" customWidth="1"/>
    <col min="3530" max="3532" width="14.85546875" style="3" customWidth="1"/>
    <col min="3533" max="3533" width="0.7109375" style="3" customWidth="1"/>
    <col min="3534" max="3534" width="11" style="3"/>
    <col min="3535" max="3535" width="15.7109375" style="3" customWidth="1"/>
    <col min="3536" max="3537" width="14.85546875" style="3" customWidth="1"/>
    <col min="3538" max="3538" width="3.28515625" style="3" customWidth="1"/>
    <col min="3539" max="3539" width="20.140625" style="3" customWidth="1"/>
    <col min="3540" max="3540" width="3.28515625" style="3" customWidth="1"/>
    <col min="3541" max="3545" width="11" style="3"/>
    <col min="3546" max="3558" width="4.7109375" style="3" customWidth="1"/>
    <col min="3559" max="3768" width="11" style="3"/>
    <col min="3769" max="3769" width="0.7109375" style="3" customWidth="1"/>
    <col min="3770" max="3770" width="6.5703125" style="3" customWidth="1"/>
    <col min="3771" max="3771" width="13.5703125" style="3" customWidth="1"/>
    <col min="3772" max="3772" width="13.42578125" style="3" customWidth="1"/>
    <col min="3773" max="3774" width="12.5703125" style="3" customWidth="1"/>
    <col min="3775" max="3775" width="14.85546875" style="3" customWidth="1"/>
    <col min="3776" max="3776" width="20.7109375" style="3" customWidth="1"/>
    <col min="3777" max="3777" width="12.5703125" style="3" customWidth="1"/>
    <col min="3778" max="3778" width="13" style="3" customWidth="1"/>
    <col min="3779" max="3779" width="16" style="3" customWidth="1"/>
    <col min="3780" max="3780" width="6.42578125" style="3" customWidth="1"/>
    <col min="3781" max="3781" width="16" style="3" customWidth="1"/>
    <col min="3782" max="3782" width="2.85546875" style="3" customWidth="1"/>
    <col min="3783" max="3783" width="0.85546875" style="3" customWidth="1"/>
    <col min="3784" max="3784" width="11" style="3"/>
    <col min="3785" max="3785" width="15.42578125" style="3" customWidth="1"/>
    <col min="3786" max="3788" width="14.85546875" style="3" customWidth="1"/>
    <col min="3789" max="3789" width="0.7109375" style="3" customWidth="1"/>
    <col min="3790" max="3790" width="11" style="3"/>
    <col min="3791" max="3791" width="15.7109375" style="3" customWidth="1"/>
    <col min="3792" max="3793" width="14.85546875" style="3" customWidth="1"/>
    <col min="3794" max="3794" width="3.28515625" style="3" customWidth="1"/>
    <col min="3795" max="3795" width="20.140625" style="3" customWidth="1"/>
    <col min="3796" max="3796" width="3.28515625" style="3" customWidth="1"/>
    <col min="3797" max="3801" width="11" style="3"/>
    <col min="3802" max="3814" width="4.7109375" style="3" customWidth="1"/>
    <col min="3815" max="4024" width="11" style="3"/>
    <col min="4025" max="4025" width="0.7109375" style="3" customWidth="1"/>
    <col min="4026" max="4026" width="6.5703125" style="3" customWidth="1"/>
    <col min="4027" max="4027" width="13.5703125" style="3" customWidth="1"/>
    <col min="4028" max="4028" width="13.42578125" style="3" customWidth="1"/>
    <col min="4029" max="4030" width="12.5703125" style="3" customWidth="1"/>
    <col min="4031" max="4031" width="14.85546875" style="3" customWidth="1"/>
    <col min="4032" max="4032" width="20.7109375" style="3" customWidth="1"/>
    <col min="4033" max="4033" width="12.5703125" style="3" customWidth="1"/>
    <col min="4034" max="4034" width="13" style="3" customWidth="1"/>
    <col min="4035" max="4035" width="16" style="3" customWidth="1"/>
    <col min="4036" max="4036" width="6.42578125" style="3" customWidth="1"/>
    <col min="4037" max="4037" width="16" style="3" customWidth="1"/>
    <col min="4038" max="4038" width="2.85546875" style="3" customWidth="1"/>
    <col min="4039" max="4039" width="0.85546875" style="3" customWidth="1"/>
    <col min="4040" max="4040" width="11" style="3"/>
    <col min="4041" max="4041" width="15.42578125" style="3" customWidth="1"/>
    <col min="4042" max="4044" width="14.85546875" style="3" customWidth="1"/>
    <col min="4045" max="4045" width="0.7109375" style="3" customWidth="1"/>
    <col min="4046" max="4046" width="11" style="3"/>
    <col min="4047" max="4047" width="15.7109375" style="3" customWidth="1"/>
    <col min="4048" max="4049" width="14.85546875" style="3" customWidth="1"/>
    <col min="4050" max="4050" width="3.28515625" style="3" customWidth="1"/>
    <col min="4051" max="4051" width="20.140625" style="3" customWidth="1"/>
    <col min="4052" max="4052" width="3.28515625" style="3" customWidth="1"/>
    <col min="4053" max="4057" width="11" style="3"/>
    <col min="4058" max="4070" width="4.7109375" style="3" customWidth="1"/>
    <col min="4071" max="4280" width="11" style="3"/>
    <col min="4281" max="4281" width="0.7109375" style="3" customWidth="1"/>
    <col min="4282" max="4282" width="6.5703125" style="3" customWidth="1"/>
    <col min="4283" max="4283" width="13.5703125" style="3" customWidth="1"/>
    <col min="4284" max="4284" width="13.42578125" style="3" customWidth="1"/>
    <col min="4285" max="4286" width="12.5703125" style="3" customWidth="1"/>
    <col min="4287" max="4287" width="14.85546875" style="3" customWidth="1"/>
    <col min="4288" max="4288" width="20.7109375" style="3" customWidth="1"/>
    <col min="4289" max="4289" width="12.5703125" style="3" customWidth="1"/>
    <col min="4290" max="4290" width="13" style="3" customWidth="1"/>
    <col min="4291" max="4291" width="16" style="3" customWidth="1"/>
    <col min="4292" max="4292" width="6.42578125" style="3" customWidth="1"/>
    <col min="4293" max="4293" width="16" style="3" customWidth="1"/>
    <col min="4294" max="4294" width="2.85546875" style="3" customWidth="1"/>
    <col min="4295" max="4295" width="0.85546875" style="3" customWidth="1"/>
    <col min="4296" max="4296" width="11" style="3"/>
    <col min="4297" max="4297" width="15.42578125" style="3" customWidth="1"/>
    <col min="4298" max="4300" width="14.85546875" style="3" customWidth="1"/>
    <col min="4301" max="4301" width="0.7109375" style="3" customWidth="1"/>
    <col min="4302" max="4302" width="11" style="3"/>
    <col min="4303" max="4303" width="15.7109375" style="3" customWidth="1"/>
    <col min="4304" max="4305" width="14.85546875" style="3" customWidth="1"/>
    <col min="4306" max="4306" width="3.28515625" style="3" customWidth="1"/>
    <col min="4307" max="4307" width="20.140625" style="3" customWidth="1"/>
    <col min="4308" max="4308" width="3.28515625" style="3" customWidth="1"/>
    <col min="4309" max="4313" width="11" style="3"/>
    <col min="4314" max="4326" width="4.7109375" style="3" customWidth="1"/>
    <col min="4327" max="4536" width="11" style="3"/>
    <col min="4537" max="4537" width="0.7109375" style="3" customWidth="1"/>
    <col min="4538" max="4538" width="6.5703125" style="3" customWidth="1"/>
    <col min="4539" max="4539" width="13.5703125" style="3" customWidth="1"/>
    <col min="4540" max="4540" width="13.42578125" style="3" customWidth="1"/>
    <col min="4541" max="4542" width="12.5703125" style="3" customWidth="1"/>
    <col min="4543" max="4543" width="14.85546875" style="3" customWidth="1"/>
    <col min="4544" max="4544" width="20.7109375" style="3" customWidth="1"/>
    <col min="4545" max="4545" width="12.5703125" style="3" customWidth="1"/>
    <col min="4546" max="4546" width="13" style="3" customWidth="1"/>
    <col min="4547" max="4547" width="16" style="3" customWidth="1"/>
    <col min="4548" max="4548" width="6.42578125" style="3" customWidth="1"/>
    <col min="4549" max="4549" width="16" style="3" customWidth="1"/>
    <col min="4550" max="4550" width="2.85546875" style="3" customWidth="1"/>
    <col min="4551" max="4551" width="0.85546875" style="3" customWidth="1"/>
    <col min="4552" max="4552" width="11" style="3"/>
    <col min="4553" max="4553" width="15.42578125" style="3" customWidth="1"/>
    <col min="4554" max="4556" width="14.85546875" style="3" customWidth="1"/>
    <col min="4557" max="4557" width="0.7109375" style="3" customWidth="1"/>
    <col min="4558" max="4558" width="11" style="3"/>
    <col min="4559" max="4559" width="15.7109375" style="3" customWidth="1"/>
    <col min="4560" max="4561" width="14.85546875" style="3" customWidth="1"/>
    <col min="4562" max="4562" width="3.28515625" style="3" customWidth="1"/>
    <col min="4563" max="4563" width="20.140625" style="3" customWidth="1"/>
    <col min="4564" max="4564" width="3.28515625" style="3" customWidth="1"/>
    <col min="4565" max="4569" width="11" style="3"/>
    <col min="4570" max="4582" width="4.7109375" style="3" customWidth="1"/>
    <col min="4583" max="4792" width="11" style="3"/>
    <col min="4793" max="4793" width="0.7109375" style="3" customWidth="1"/>
    <col min="4794" max="4794" width="6.5703125" style="3" customWidth="1"/>
    <col min="4795" max="4795" width="13.5703125" style="3" customWidth="1"/>
    <col min="4796" max="4796" width="13.42578125" style="3" customWidth="1"/>
    <col min="4797" max="4798" width="12.5703125" style="3" customWidth="1"/>
    <col min="4799" max="4799" width="14.85546875" style="3" customWidth="1"/>
    <col min="4800" max="4800" width="20.7109375" style="3" customWidth="1"/>
    <col min="4801" max="4801" width="12.5703125" style="3" customWidth="1"/>
    <col min="4802" max="4802" width="13" style="3" customWidth="1"/>
    <col min="4803" max="4803" width="16" style="3" customWidth="1"/>
    <col min="4804" max="4804" width="6.42578125" style="3" customWidth="1"/>
    <col min="4805" max="4805" width="16" style="3" customWidth="1"/>
    <col min="4806" max="4806" width="2.85546875" style="3" customWidth="1"/>
    <col min="4807" max="4807" width="0.85546875" style="3" customWidth="1"/>
    <col min="4808" max="4808" width="11" style="3"/>
    <col min="4809" max="4809" width="15.42578125" style="3" customWidth="1"/>
    <col min="4810" max="4812" width="14.85546875" style="3" customWidth="1"/>
    <col min="4813" max="4813" width="0.7109375" style="3" customWidth="1"/>
    <col min="4814" max="4814" width="11" style="3"/>
    <col min="4815" max="4815" width="15.7109375" style="3" customWidth="1"/>
    <col min="4816" max="4817" width="14.85546875" style="3" customWidth="1"/>
    <col min="4818" max="4818" width="3.28515625" style="3" customWidth="1"/>
    <col min="4819" max="4819" width="20.140625" style="3" customWidth="1"/>
    <col min="4820" max="4820" width="3.28515625" style="3" customWidth="1"/>
    <col min="4821" max="4825" width="11" style="3"/>
    <col min="4826" max="4838" width="4.7109375" style="3" customWidth="1"/>
    <col min="4839" max="5048" width="11" style="3"/>
    <col min="5049" max="5049" width="0.7109375" style="3" customWidth="1"/>
    <col min="5050" max="5050" width="6.5703125" style="3" customWidth="1"/>
    <col min="5051" max="5051" width="13.5703125" style="3" customWidth="1"/>
    <col min="5052" max="5052" width="13.42578125" style="3" customWidth="1"/>
    <col min="5053" max="5054" width="12.5703125" style="3" customWidth="1"/>
    <col min="5055" max="5055" width="14.85546875" style="3" customWidth="1"/>
    <col min="5056" max="5056" width="20.7109375" style="3" customWidth="1"/>
    <col min="5057" max="5057" width="12.5703125" style="3" customWidth="1"/>
    <col min="5058" max="5058" width="13" style="3" customWidth="1"/>
    <col min="5059" max="5059" width="16" style="3" customWidth="1"/>
    <col min="5060" max="5060" width="6.42578125" style="3" customWidth="1"/>
    <col min="5061" max="5061" width="16" style="3" customWidth="1"/>
    <col min="5062" max="5062" width="2.85546875" style="3" customWidth="1"/>
    <col min="5063" max="5063" width="0.85546875" style="3" customWidth="1"/>
    <col min="5064" max="5064" width="11" style="3"/>
    <col min="5065" max="5065" width="15.42578125" style="3" customWidth="1"/>
    <col min="5066" max="5068" width="14.85546875" style="3" customWidth="1"/>
    <col min="5069" max="5069" width="0.7109375" style="3" customWidth="1"/>
    <col min="5070" max="5070" width="11" style="3"/>
    <col min="5071" max="5071" width="15.7109375" style="3" customWidth="1"/>
    <col min="5072" max="5073" width="14.85546875" style="3" customWidth="1"/>
    <col min="5074" max="5074" width="3.28515625" style="3" customWidth="1"/>
    <col min="5075" max="5075" width="20.140625" style="3" customWidth="1"/>
    <col min="5076" max="5076" width="3.28515625" style="3" customWidth="1"/>
    <col min="5077" max="5081" width="11" style="3"/>
    <col min="5082" max="5094" width="4.7109375" style="3" customWidth="1"/>
    <col min="5095" max="5304" width="11" style="3"/>
    <col min="5305" max="5305" width="0.7109375" style="3" customWidth="1"/>
    <col min="5306" max="5306" width="6.5703125" style="3" customWidth="1"/>
    <col min="5307" max="5307" width="13.5703125" style="3" customWidth="1"/>
    <col min="5308" max="5308" width="13.42578125" style="3" customWidth="1"/>
    <col min="5309" max="5310" width="12.5703125" style="3" customWidth="1"/>
    <col min="5311" max="5311" width="14.85546875" style="3" customWidth="1"/>
    <col min="5312" max="5312" width="20.7109375" style="3" customWidth="1"/>
    <col min="5313" max="5313" width="12.5703125" style="3" customWidth="1"/>
    <col min="5314" max="5314" width="13" style="3" customWidth="1"/>
    <col min="5315" max="5315" width="16" style="3" customWidth="1"/>
    <col min="5316" max="5316" width="6.42578125" style="3" customWidth="1"/>
    <col min="5317" max="5317" width="16" style="3" customWidth="1"/>
    <col min="5318" max="5318" width="2.85546875" style="3" customWidth="1"/>
    <col min="5319" max="5319" width="0.85546875" style="3" customWidth="1"/>
    <col min="5320" max="5320" width="11" style="3"/>
    <col min="5321" max="5321" width="15.42578125" style="3" customWidth="1"/>
    <col min="5322" max="5324" width="14.85546875" style="3" customWidth="1"/>
    <col min="5325" max="5325" width="0.7109375" style="3" customWidth="1"/>
    <col min="5326" max="5326" width="11" style="3"/>
    <col min="5327" max="5327" width="15.7109375" style="3" customWidth="1"/>
    <col min="5328" max="5329" width="14.85546875" style="3" customWidth="1"/>
    <col min="5330" max="5330" width="3.28515625" style="3" customWidth="1"/>
    <col min="5331" max="5331" width="20.140625" style="3" customWidth="1"/>
    <col min="5332" max="5332" width="3.28515625" style="3" customWidth="1"/>
    <col min="5333" max="5337" width="11" style="3"/>
    <col min="5338" max="5350" width="4.7109375" style="3" customWidth="1"/>
    <col min="5351" max="5560" width="11" style="3"/>
    <col min="5561" max="5561" width="0.7109375" style="3" customWidth="1"/>
    <col min="5562" max="5562" width="6.5703125" style="3" customWidth="1"/>
    <col min="5563" max="5563" width="13.5703125" style="3" customWidth="1"/>
    <col min="5564" max="5564" width="13.42578125" style="3" customWidth="1"/>
    <col min="5565" max="5566" width="12.5703125" style="3" customWidth="1"/>
    <col min="5567" max="5567" width="14.85546875" style="3" customWidth="1"/>
    <col min="5568" max="5568" width="20.7109375" style="3" customWidth="1"/>
    <col min="5569" max="5569" width="12.5703125" style="3" customWidth="1"/>
    <col min="5570" max="5570" width="13" style="3" customWidth="1"/>
    <col min="5571" max="5571" width="16" style="3" customWidth="1"/>
    <col min="5572" max="5572" width="6.42578125" style="3" customWidth="1"/>
    <col min="5573" max="5573" width="16" style="3" customWidth="1"/>
    <col min="5574" max="5574" width="2.85546875" style="3" customWidth="1"/>
    <col min="5575" max="5575" width="0.85546875" style="3" customWidth="1"/>
    <col min="5576" max="5576" width="11" style="3"/>
    <col min="5577" max="5577" width="15.42578125" style="3" customWidth="1"/>
    <col min="5578" max="5580" width="14.85546875" style="3" customWidth="1"/>
    <col min="5581" max="5581" width="0.7109375" style="3" customWidth="1"/>
    <col min="5582" max="5582" width="11" style="3"/>
    <col min="5583" max="5583" width="15.7109375" style="3" customWidth="1"/>
    <col min="5584" max="5585" width="14.85546875" style="3" customWidth="1"/>
    <col min="5586" max="5586" width="3.28515625" style="3" customWidth="1"/>
    <col min="5587" max="5587" width="20.140625" style="3" customWidth="1"/>
    <col min="5588" max="5588" width="3.28515625" style="3" customWidth="1"/>
    <col min="5589" max="5593" width="11" style="3"/>
    <col min="5594" max="5606" width="4.7109375" style="3" customWidth="1"/>
    <col min="5607" max="5816" width="11" style="3"/>
    <col min="5817" max="5817" width="0.7109375" style="3" customWidth="1"/>
    <col min="5818" max="5818" width="6.5703125" style="3" customWidth="1"/>
    <col min="5819" max="5819" width="13.5703125" style="3" customWidth="1"/>
    <col min="5820" max="5820" width="13.42578125" style="3" customWidth="1"/>
    <col min="5821" max="5822" width="12.5703125" style="3" customWidth="1"/>
    <col min="5823" max="5823" width="14.85546875" style="3" customWidth="1"/>
    <col min="5824" max="5824" width="20.7109375" style="3" customWidth="1"/>
    <col min="5825" max="5825" width="12.5703125" style="3" customWidth="1"/>
    <col min="5826" max="5826" width="13" style="3" customWidth="1"/>
    <col min="5827" max="5827" width="16" style="3" customWidth="1"/>
    <col min="5828" max="5828" width="6.42578125" style="3" customWidth="1"/>
    <col min="5829" max="5829" width="16" style="3" customWidth="1"/>
    <col min="5830" max="5830" width="2.85546875" style="3" customWidth="1"/>
    <col min="5831" max="5831" width="0.85546875" style="3" customWidth="1"/>
    <col min="5832" max="5832" width="11" style="3"/>
    <col min="5833" max="5833" width="15.42578125" style="3" customWidth="1"/>
    <col min="5834" max="5836" width="14.85546875" style="3" customWidth="1"/>
    <col min="5837" max="5837" width="0.7109375" style="3" customWidth="1"/>
    <col min="5838" max="5838" width="11" style="3"/>
    <col min="5839" max="5839" width="15.7109375" style="3" customWidth="1"/>
    <col min="5840" max="5841" width="14.85546875" style="3" customWidth="1"/>
    <col min="5842" max="5842" width="3.28515625" style="3" customWidth="1"/>
    <col min="5843" max="5843" width="20.140625" style="3" customWidth="1"/>
    <col min="5844" max="5844" width="3.28515625" style="3" customWidth="1"/>
    <col min="5845" max="5849" width="11" style="3"/>
    <col min="5850" max="5862" width="4.7109375" style="3" customWidth="1"/>
    <col min="5863" max="6072" width="11" style="3"/>
    <col min="6073" max="6073" width="0.7109375" style="3" customWidth="1"/>
    <col min="6074" max="6074" width="6.5703125" style="3" customWidth="1"/>
    <col min="6075" max="6075" width="13.5703125" style="3" customWidth="1"/>
    <col min="6076" max="6076" width="13.42578125" style="3" customWidth="1"/>
    <col min="6077" max="6078" width="12.5703125" style="3" customWidth="1"/>
    <col min="6079" max="6079" width="14.85546875" style="3" customWidth="1"/>
    <col min="6080" max="6080" width="20.7109375" style="3" customWidth="1"/>
    <col min="6081" max="6081" width="12.5703125" style="3" customWidth="1"/>
    <col min="6082" max="6082" width="13" style="3" customWidth="1"/>
    <col min="6083" max="6083" width="16" style="3" customWidth="1"/>
    <col min="6084" max="6084" width="6.42578125" style="3" customWidth="1"/>
    <col min="6085" max="6085" width="16" style="3" customWidth="1"/>
    <col min="6086" max="6086" width="2.85546875" style="3" customWidth="1"/>
    <col min="6087" max="6087" width="0.85546875" style="3" customWidth="1"/>
    <col min="6088" max="6088" width="11" style="3"/>
    <col min="6089" max="6089" width="15.42578125" style="3" customWidth="1"/>
    <col min="6090" max="6092" width="14.85546875" style="3" customWidth="1"/>
    <col min="6093" max="6093" width="0.7109375" style="3" customWidth="1"/>
    <col min="6094" max="6094" width="11" style="3"/>
    <col min="6095" max="6095" width="15.7109375" style="3" customWidth="1"/>
    <col min="6096" max="6097" width="14.85546875" style="3" customWidth="1"/>
    <col min="6098" max="6098" width="3.28515625" style="3" customWidth="1"/>
    <col min="6099" max="6099" width="20.140625" style="3" customWidth="1"/>
    <col min="6100" max="6100" width="3.28515625" style="3" customWidth="1"/>
    <col min="6101" max="6105" width="11" style="3"/>
    <col min="6106" max="6118" width="4.7109375" style="3" customWidth="1"/>
    <col min="6119" max="6328" width="11" style="3"/>
    <col min="6329" max="6329" width="0.7109375" style="3" customWidth="1"/>
    <col min="6330" max="6330" width="6.5703125" style="3" customWidth="1"/>
    <col min="6331" max="6331" width="13.5703125" style="3" customWidth="1"/>
    <col min="6332" max="6332" width="13.42578125" style="3" customWidth="1"/>
    <col min="6333" max="6334" width="12.5703125" style="3" customWidth="1"/>
    <col min="6335" max="6335" width="14.85546875" style="3" customWidth="1"/>
    <col min="6336" max="6336" width="20.7109375" style="3" customWidth="1"/>
    <col min="6337" max="6337" width="12.5703125" style="3" customWidth="1"/>
    <col min="6338" max="6338" width="13" style="3" customWidth="1"/>
    <col min="6339" max="6339" width="16" style="3" customWidth="1"/>
    <col min="6340" max="6340" width="6.42578125" style="3" customWidth="1"/>
    <col min="6341" max="6341" width="16" style="3" customWidth="1"/>
    <col min="6342" max="6342" width="2.85546875" style="3" customWidth="1"/>
    <col min="6343" max="6343" width="0.85546875" style="3" customWidth="1"/>
    <col min="6344" max="6344" width="11" style="3"/>
    <col min="6345" max="6345" width="15.42578125" style="3" customWidth="1"/>
    <col min="6346" max="6348" width="14.85546875" style="3" customWidth="1"/>
    <col min="6349" max="6349" width="0.7109375" style="3" customWidth="1"/>
    <col min="6350" max="6350" width="11" style="3"/>
    <col min="6351" max="6351" width="15.7109375" style="3" customWidth="1"/>
    <col min="6352" max="6353" width="14.85546875" style="3" customWidth="1"/>
    <col min="6354" max="6354" width="3.28515625" style="3" customWidth="1"/>
    <col min="6355" max="6355" width="20.140625" style="3" customWidth="1"/>
    <col min="6356" max="6356" width="3.28515625" style="3" customWidth="1"/>
    <col min="6357" max="6361" width="11" style="3"/>
    <col min="6362" max="6374" width="4.7109375" style="3" customWidth="1"/>
    <col min="6375" max="6584" width="11" style="3"/>
    <col min="6585" max="6585" width="0.7109375" style="3" customWidth="1"/>
    <col min="6586" max="6586" width="6.5703125" style="3" customWidth="1"/>
    <col min="6587" max="6587" width="13.5703125" style="3" customWidth="1"/>
    <col min="6588" max="6588" width="13.42578125" style="3" customWidth="1"/>
    <col min="6589" max="6590" width="12.5703125" style="3" customWidth="1"/>
    <col min="6591" max="6591" width="14.85546875" style="3" customWidth="1"/>
    <col min="6592" max="6592" width="20.7109375" style="3" customWidth="1"/>
    <col min="6593" max="6593" width="12.5703125" style="3" customWidth="1"/>
    <col min="6594" max="6594" width="13" style="3" customWidth="1"/>
    <col min="6595" max="6595" width="16" style="3" customWidth="1"/>
    <col min="6596" max="6596" width="6.42578125" style="3" customWidth="1"/>
    <col min="6597" max="6597" width="16" style="3" customWidth="1"/>
    <col min="6598" max="6598" width="2.85546875" style="3" customWidth="1"/>
    <col min="6599" max="6599" width="0.85546875" style="3" customWidth="1"/>
    <col min="6600" max="6600" width="11" style="3"/>
    <col min="6601" max="6601" width="15.42578125" style="3" customWidth="1"/>
    <col min="6602" max="6604" width="14.85546875" style="3" customWidth="1"/>
    <col min="6605" max="6605" width="0.7109375" style="3" customWidth="1"/>
    <col min="6606" max="6606" width="11" style="3"/>
    <col min="6607" max="6607" width="15.7109375" style="3" customWidth="1"/>
    <col min="6608" max="6609" width="14.85546875" style="3" customWidth="1"/>
    <col min="6610" max="6610" width="3.28515625" style="3" customWidth="1"/>
    <col min="6611" max="6611" width="20.140625" style="3" customWidth="1"/>
    <col min="6612" max="6612" width="3.28515625" style="3" customWidth="1"/>
    <col min="6613" max="6617" width="11" style="3"/>
    <col min="6618" max="6630" width="4.7109375" style="3" customWidth="1"/>
    <col min="6631" max="6840" width="11" style="3"/>
    <col min="6841" max="6841" width="0.7109375" style="3" customWidth="1"/>
    <col min="6842" max="6842" width="6.5703125" style="3" customWidth="1"/>
    <col min="6843" max="6843" width="13.5703125" style="3" customWidth="1"/>
    <col min="6844" max="6844" width="13.42578125" style="3" customWidth="1"/>
    <col min="6845" max="6846" width="12.5703125" style="3" customWidth="1"/>
    <col min="6847" max="6847" width="14.85546875" style="3" customWidth="1"/>
    <col min="6848" max="6848" width="20.7109375" style="3" customWidth="1"/>
    <col min="6849" max="6849" width="12.5703125" style="3" customWidth="1"/>
    <col min="6850" max="6850" width="13" style="3" customWidth="1"/>
    <col min="6851" max="6851" width="16" style="3" customWidth="1"/>
    <col min="6852" max="6852" width="6.42578125" style="3" customWidth="1"/>
    <col min="6853" max="6853" width="16" style="3" customWidth="1"/>
    <col min="6854" max="6854" width="2.85546875" style="3" customWidth="1"/>
    <col min="6855" max="6855" width="0.85546875" style="3" customWidth="1"/>
    <col min="6856" max="6856" width="11" style="3"/>
    <col min="6857" max="6857" width="15.42578125" style="3" customWidth="1"/>
    <col min="6858" max="6860" width="14.85546875" style="3" customWidth="1"/>
    <col min="6861" max="6861" width="0.7109375" style="3" customWidth="1"/>
    <col min="6862" max="6862" width="11" style="3"/>
    <col min="6863" max="6863" width="15.7109375" style="3" customWidth="1"/>
    <col min="6864" max="6865" width="14.85546875" style="3" customWidth="1"/>
    <col min="6866" max="6866" width="3.28515625" style="3" customWidth="1"/>
    <col min="6867" max="6867" width="20.140625" style="3" customWidth="1"/>
    <col min="6868" max="6868" width="3.28515625" style="3" customWidth="1"/>
    <col min="6869" max="6873" width="11" style="3"/>
    <col min="6874" max="6886" width="4.7109375" style="3" customWidth="1"/>
    <col min="6887" max="7096" width="11" style="3"/>
    <col min="7097" max="7097" width="0.7109375" style="3" customWidth="1"/>
    <col min="7098" max="7098" width="6.5703125" style="3" customWidth="1"/>
    <col min="7099" max="7099" width="13.5703125" style="3" customWidth="1"/>
    <col min="7100" max="7100" width="13.42578125" style="3" customWidth="1"/>
    <col min="7101" max="7102" width="12.5703125" style="3" customWidth="1"/>
    <col min="7103" max="7103" width="14.85546875" style="3" customWidth="1"/>
    <col min="7104" max="7104" width="20.7109375" style="3" customWidth="1"/>
    <col min="7105" max="7105" width="12.5703125" style="3" customWidth="1"/>
    <col min="7106" max="7106" width="13" style="3" customWidth="1"/>
    <col min="7107" max="7107" width="16" style="3" customWidth="1"/>
    <col min="7108" max="7108" width="6.42578125" style="3" customWidth="1"/>
    <col min="7109" max="7109" width="16" style="3" customWidth="1"/>
    <col min="7110" max="7110" width="2.85546875" style="3" customWidth="1"/>
    <col min="7111" max="7111" width="0.85546875" style="3" customWidth="1"/>
    <col min="7112" max="7112" width="11" style="3"/>
    <col min="7113" max="7113" width="15.42578125" style="3" customWidth="1"/>
    <col min="7114" max="7116" width="14.85546875" style="3" customWidth="1"/>
    <col min="7117" max="7117" width="0.7109375" style="3" customWidth="1"/>
    <col min="7118" max="7118" width="11" style="3"/>
    <col min="7119" max="7119" width="15.7109375" style="3" customWidth="1"/>
    <col min="7120" max="7121" width="14.85546875" style="3" customWidth="1"/>
    <col min="7122" max="7122" width="3.28515625" style="3" customWidth="1"/>
    <col min="7123" max="7123" width="20.140625" style="3" customWidth="1"/>
    <col min="7124" max="7124" width="3.28515625" style="3" customWidth="1"/>
    <col min="7125" max="7129" width="11" style="3"/>
    <col min="7130" max="7142" width="4.7109375" style="3" customWidth="1"/>
    <col min="7143" max="7352" width="11" style="3"/>
    <col min="7353" max="7353" width="0.7109375" style="3" customWidth="1"/>
    <col min="7354" max="7354" width="6.5703125" style="3" customWidth="1"/>
    <col min="7355" max="7355" width="13.5703125" style="3" customWidth="1"/>
    <col min="7356" max="7356" width="13.42578125" style="3" customWidth="1"/>
    <col min="7357" max="7358" width="12.5703125" style="3" customWidth="1"/>
    <col min="7359" max="7359" width="14.85546875" style="3" customWidth="1"/>
    <col min="7360" max="7360" width="20.7109375" style="3" customWidth="1"/>
    <col min="7361" max="7361" width="12.5703125" style="3" customWidth="1"/>
    <col min="7362" max="7362" width="13" style="3" customWidth="1"/>
    <col min="7363" max="7363" width="16" style="3" customWidth="1"/>
    <col min="7364" max="7364" width="6.42578125" style="3" customWidth="1"/>
    <col min="7365" max="7365" width="16" style="3" customWidth="1"/>
    <col min="7366" max="7366" width="2.85546875" style="3" customWidth="1"/>
    <col min="7367" max="7367" width="0.85546875" style="3" customWidth="1"/>
    <col min="7368" max="7368" width="11" style="3"/>
    <col min="7369" max="7369" width="15.42578125" style="3" customWidth="1"/>
    <col min="7370" max="7372" width="14.85546875" style="3" customWidth="1"/>
    <col min="7373" max="7373" width="0.7109375" style="3" customWidth="1"/>
    <col min="7374" max="7374" width="11" style="3"/>
    <col min="7375" max="7375" width="15.7109375" style="3" customWidth="1"/>
    <col min="7376" max="7377" width="14.85546875" style="3" customWidth="1"/>
    <col min="7378" max="7378" width="3.28515625" style="3" customWidth="1"/>
    <col min="7379" max="7379" width="20.140625" style="3" customWidth="1"/>
    <col min="7380" max="7380" width="3.28515625" style="3" customWidth="1"/>
    <col min="7381" max="7385" width="11" style="3"/>
    <col min="7386" max="7398" width="4.7109375" style="3" customWidth="1"/>
    <col min="7399" max="7608" width="11" style="3"/>
    <col min="7609" max="7609" width="0.7109375" style="3" customWidth="1"/>
    <col min="7610" max="7610" width="6.5703125" style="3" customWidth="1"/>
    <col min="7611" max="7611" width="13.5703125" style="3" customWidth="1"/>
    <col min="7612" max="7612" width="13.42578125" style="3" customWidth="1"/>
    <col min="7613" max="7614" width="12.5703125" style="3" customWidth="1"/>
    <col min="7615" max="7615" width="14.85546875" style="3" customWidth="1"/>
    <col min="7616" max="7616" width="20.7109375" style="3" customWidth="1"/>
    <col min="7617" max="7617" width="12.5703125" style="3" customWidth="1"/>
    <col min="7618" max="7618" width="13" style="3" customWidth="1"/>
    <col min="7619" max="7619" width="16" style="3" customWidth="1"/>
    <col min="7620" max="7620" width="6.42578125" style="3" customWidth="1"/>
    <col min="7621" max="7621" width="16" style="3" customWidth="1"/>
    <col min="7622" max="7622" width="2.85546875" style="3" customWidth="1"/>
    <col min="7623" max="7623" width="0.85546875" style="3" customWidth="1"/>
    <col min="7624" max="7624" width="11" style="3"/>
    <col min="7625" max="7625" width="15.42578125" style="3" customWidth="1"/>
    <col min="7626" max="7628" width="14.85546875" style="3" customWidth="1"/>
    <col min="7629" max="7629" width="0.7109375" style="3" customWidth="1"/>
    <col min="7630" max="7630" width="11" style="3"/>
    <col min="7631" max="7631" width="15.7109375" style="3" customWidth="1"/>
    <col min="7632" max="7633" width="14.85546875" style="3" customWidth="1"/>
    <col min="7634" max="7634" width="3.28515625" style="3" customWidth="1"/>
    <col min="7635" max="7635" width="20.140625" style="3" customWidth="1"/>
    <col min="7636" max="7636" width="3.28515625" style="3" customWidth="1"/>
    <col min="7637" max="7641" width="11" style="3"/>
    <col min="7642" max="7654" width="4.7109375" style="3" customWidth="1"/>
    <col min="7655" max="7864" width="11" style="3"/>
    <col min="7865" max="7865" width="0.7109375" style="3" customWidth="1"/>
    <col min="7866" max="7866" width="6.5703125" style="3" customWidth="1"/>
    <col min="7867" max="7867" width="13.5703125" style="3" customWidth="1"/>
    <col min="7868" max="7868" width="13.42578125" style="3" customWidth="1"/>
    <col min="7869" max="7870" width="12.5703125" style="3" customWidth="1"/>
    <col min="7871" max="7871" width="14.85546875" style="3" customWidth="1"/>
    <col min="7872" max="7872" width="20.7109375" style="3" customWidth="1"/>
    <col min="7873" max="7873" width="12.5703125" style="3" customWidth="1"/>
    <col min="7874" max="7874" width="13" style="3" customWidth="1"/>
    <col min="7875" max="7875" width="16" style="3" customWidth="1"/>
    <col min="7876" max="7876" width="6.42578125" style="3" customWidth="1"/>
    <col min="7877" max="7877" width="16" style="3" customWidth="1"/>
    <col min="7878" max="7878" width="2.85546875" style="3" customWidth="1"/>
    <col min="7879" max="7879" width="0.85546875" style="3" customWidth="1"/>
    <col min="7880" max="7880" width="11" style="3"/>
    <col min="7881" max="7881" width="15.42578125" style="3" customWidth="1"/>
    <col min="7882" max="7884" width="14.85546875" style="3" customWidth="1"/>
    <col min="7885" max="7885" width="0.7109375" style="3" customWidth="1"/>
    <col min="7886" max="7886" width="11" style="3"/>
    <col min="7887" max="7887" width="15.7109375" style="3" customWidth="1"/>
    <col min="7888" max="7889" width="14.85546875" style="3" customWidth="1"/>
    <col min="7890" max="7890" width="3.28515625" style="3" customWidth="1"/>
    <col min="7891" max="7891" width="20.140625" style="3" customWidth="1"/>
    <col min="7892" max="7892" width="3.28515625" style="3" customWidth="1"/>
    <col min="7893" max="7897" width="11" style="3"/>
    <col min="7898" max="7910" width="4.7109375" style="3" customWidth="1"/>
    <col min="7911" max="8120" width="11" style="3"/>
    <col min="8121" max="8121" width="0.7109375" style="3" customWidth="1"/>
    <col min="8122" max="8122" width="6.5703125" style="3" customWidth="1"/>
    <col min="8123" max="8123" width="13.5703125" style="3" customWidth="1"/>
    <col min="8124" max="8124" width="13.42578125" style="3" customWidth="1"/>
    <col min="8125" max="8126" width="12.5703125" style="3" customWidth="1"/>
    <col min="8127" max="8127" width="14.85546875" style="3" customWidth="1"/>
    <col min="8128" max="8128" width="20.7109375" style="3" customWidth="1"/>
    <col min="8129" max="8129" width="12.5703125" style="3" customWidth="1"/>
    <col min="8130" max="8130" width="13" style="3" customWidth="1"/>
    <col min="8131" max="8131" width="16" style="3" customWidth="1"/>
    <col min="8132" max="8132" width="6.42578125" style="3" customWidth="1"/>
    <col min="8133" max="8133" width="16" style="3" customWidth="1"/>
    <col min="8134" max="8134" width="2.85546875" style="3" customWidth="1"/>
    <col min="8135" max="8135" width="0.85546875" style="3" customWidth="1"/>
    <col min="8136" max="8136" width="11" style="3"/>
    <col min="8137" max="8137" width="15.42578125" style="3" customWidth="1"/>
    <col min="8138" max="8140" width="14.85546875" style="3" customWidth="1"/>
    <col min="8141" max="8141" width="0.7109375" style="3" customWidth="1"/>
    <col min="8142" max="8142" width="11" style="3"/>
    <col min="8143" max="8143" width="15.7109375" style="3" customWidth="1"/>
    <col min="8144" max="8145" width="14.85546875" style="3" customWidth="1"/>
    <col min="8146" max="8146" width="3.28515625" style="3" customWidth="1"/>
    <col min="8147" max="8147" width="20.140625" style="3" customWidth="1"/>
    <col min="8148" max="8148" width="3.28515625" style="3" customWidth="1"/>
    <col min="8149" max="8153" width="11" style="3"/>
    <col min="8154" max="8166" width="4.7109375" style="3" customWidth="1"/>
    <col min="8167" max="8376" width="11" style="3"/>
    <col min="8377" max="8377" width="0.7109375" style="3" customWidth="1"/>
    <col min="8378" max="8378" width="6.5703125" style="3" customWidth="1"/>
    <col min="8379" max="8379" width="13.5703125" style="3" customWidth="1"/>
    <col min="8380" max="8380" width="13.42578125" style="3" customWidth="1"/>
    <col min="8381" max="8382" width="12.5703125" style="3" customWidth="1"/>
    <col min="8383" max="8383" width="14.85546875" style="3" customWidth="1"/>
    <col min="8384" max="8384" width="20.7109375" style="3" customWidth="1"/>
    <col min="8385" max="8385" width="12.5703125" style="3" customWidth="1"/>
    <col min="8386" max="8386" width="13" style="3" customWidth="1"/>
    <col min="8387" max="8387" width="16" style="3" customWidth="1"/>
    <col min="8388" max="8388" width="6.42578125" style="3" customWidth="1"/>
    <col min="8389" max="8389" width="16" style="3" customWidth="1"/>
    <col min="8390" max="8390" width="2.85546875" style="3" customWidth="1"/>
    <col min="8391" max="8391" width="0.85546875" style="3" customWidth="1"/>
    <col min="8392" max="8392" width="11" style="3"/>
    <col min="8393" max="8393" width="15.42578125" style="3" customWidth="1"/>
    <col min="8394" max="8396" width="14.85546875" style="3" customWidth="1"/>
    <col min="8397" max="8397" width="0.7109375" style="3" customWidth="1"/>
    <col min="8398" max="8398" width="11" style="3"/>
    <col min="8399" max="8399" width="15.7109375" style="3" customWidth="1"/>
    <col min="8400" max="8401" width="14.85546875" style="3" customWidth="1"/>
    <col min="8402" max="8402" width="3.28515625" style="3" customWidth="1"/>
    <col min="8403" max="8403" width="20.140625" style="3" customWidth="1"/>
    <col min="8404" max="8404" width="3.28515625" style="3" customWidth="1"/>
    <col min="8405" max="8409" width="11" style="3"/>
    <col min="8410" max="8422" width="4.7109375" style="3" customWidth="1"/>
    <col min="8423" max="8632" width="11" style="3"/>
    <col min="8633" max="8633" width="0.7109375" style="3" customWidth="1"/>
    <col min="8634" max="8634" width="6.5703125" style="3" customWidth="1"/>
    <col min="8635" max="8635" width="13.5703125" style="3" customWidth="1"/>
    <col min="8636" max="8636" width="13.42578125" style="3" customWidth="1"/>
    <col min="8637" max="8638" width="12.5703125" style="3" customWidth="1"/>
    <col min="8639" max="8639" width="14.85546875" style="3" customWidth="1"/>
    <col min="8640" max="8640" width="20.7109375" style="3" customWidth="1"/>
    <col min="8641" max="8641" width="12.5703125" style="3" customWidth="1"/>
    <col min="8642" max="8642" width="13" style="3" customWidth="1"/>
    <col min="8643" max="8643" width="16" style="3" customWidth="1"/>
    <col min="8644" max="8644" width="6.42578125" style="3" customWidth="1"/>
    <col min="8645" max="8645" width="16" style="3" customWidth="1"/>
    <col min="8646" max="8646" width="2.85546875" style="3" customWidth="1"/>
    <col min="8647" max="8647" width="0.85546875" style="3" customWidth="1"/>
    <col min="8648" max="8648" width="11" style="3"/>
    <col min="8649" max="8649" width="15.42578125" style="3" customWidth="1"/>
    <col min="8650" max="8652" width="14.85546875" style="3" customWidth="1"/>
    <col min="8653" max="8653" width="0.7109375" style="3" customWidth="1"/>
    <col min="8654" max="8654" width="11" style="3"/>
    <col min="8655" max="8655" width="15.7109375" style="3" customWidth="1"/>
    <col min="8656" max="8657" width="14.85546875" style="3" customWidth="1"/>
    <col min="8658" max="8658" width="3.28515625" style="3" customWidth="1"/>
    <col min="8659" max="8659" width="20.140625" style="3" customWidth="1"/>
    <col min="8660" max="8660" width="3.28515625" style="3" customWidth="1"/>
    <col min="8661" max="8665" width="11" style="3"/>
    <col min="8666" max="8678" width="4.7109375" style="3" customWidth="1"/>
    <col min="8679" max="8888" width="11" style="3"/>
    <col min="8889" max="8889" width="0.7109375" style="3" customWidth="1"/>
    <col min="8890" max="8890" width="6.5703125" style="3" customWidth="1"/>
    <col min="8891" max="8891" width="13.5703125" style="3" customWidth="1"/>
    <col min="8892" max="8892" width="13.42578125" style="3" customWidth="1"/>
    <col min="8893" max="8894" width="12.5703125" style="3" customWidth="1"/>
    <col min="8895" max="8895" width="14.85546875" style="3" customWidth="1"/>
    <col min="8896" max="8896" width="20.7109375" style="3" customWidth="1"/>
    <col min="8897" max="8897" width="12.5703125" style="3" customWidth="1"/>
    <col min="8898" max="8898" width="13" style="3" customWidth="1"/>
    <col min="8899" max="8899" width="16" style="3" customWidth="1"/>
    <col min="8900" max="8900" width="6.42578125" style="3" customWidth="1"/>
    <col min="8901" max="8901" width="16" style="3" customWidth="1"/>
    <col min="8902" max="8902" width="2.85546875" style="3" customWidth="1"/>
    <col min="8903" max="8903" width="0.85546875" style="3" customWidth="1"/>
    <col min="8904" max="8904" width="11" style="3"/>
    <col min="8905" max="8905" width="15.42578125" style="3" customWidth="1"/>
    <col min="8906" max="8908" width="14.85546875" style="3" customWidth="1"/>
    <col min="8909" max="8909" width="0.7109375" style="3" customWidth="1"/>
    <col min="8910" max="8910" width="11" style="3"/>
    <col min="8911" max="8911" width="15.7109375" style="3" customWidth="1"/>
    <col min="8912" max="8913" width="14.85546875" style="3" customWidth="1"/>
    <col min="8914" max="8914" width="3.28515625" style="3" customWidth="1"/>
    <col min="8915" max="8915" width="20.140625" style="3" customWidth="1"/>
    <col min="8916" max="8916" width="3.28515625" style="3" customWidth="1"/>
    <col min="8917" max="8921" width="11" style="3"/>
    <col min="8922" max="8934" width="4.7109375" style="3" customWidth="1"/>
    <col min="8935" max="9144" width="11" style="3"/>
    <col min="9145" max="9145" width="0.7109375" style="3" customWidth="1"/>
    <col min="9146" max="9146" width="6.5703125" style="3" customWidth="1"/>
    <col min="9147" max="9147" width="13.5703125" style="3" customWidth="1"/>
    <col min="9148" max="9148" width="13.42578125" style="3" customWidth="1"/>
    <col min="9149" max="9150" width="12.5703125" style="3" customWidth="1"/>
    <col min="9151" max="9151" width="14.85546875" style="3" customWidth="1"/>
    <col min="9152" max="9152" width="20.7109375" style="3" customWidth="1"/>
    <col min="9153" max="9153" width="12.5703125" style="3" customWidth="1"/>
    <col min="9154" max="9154" width="13" style="3" customWidth="1"/>
    <col min="9155" max="9155" width="16" style="3" customWidth="1"/>
    <col min="9156" max="9156" width="6.42578125" style="3" customWidth="1"/>
    <col min="9157" max="9157" width="16" style="3" customWidth="1"/>
    <col min="9158" max="9158" width="2.85546875" style="3" customWidth="1"/>
    <col min="9159" max="9159" width="0.85546875" style="3" customWidth="1"/>
    <col min="9160" max="9160" width="11" style="3"/>
    <col min="9161" max="9161" width="15.42578125" style="3" customWidth="1"/>
    <col min="9162" max="9164" width="14.85546875" style="3" customWidth="1"/>
    <col min="9165" max="9165" width="0.7109375" style="3" customWidth="1"/>
    <col min="9166" max="9166" width="11" style="3"/>
    <col min="9167" max="9167" width="15.7109375" style="3" customWidth="1"/>
    <col min="9168" max="9169" width="14.85546875" style="3" customWidth="1"/>
    <col min="9170" max="9170" width="3.28515625" style="3" customWidth="1"/>
    <col min="9171" max="9171" width="20.140625" style="3" customWidth="1"/>
    <col min="9172" max="9172" width="3.28515625" style="3" customWidth="1"/>
    <col min="9173" max="9177" width="11" style="3"/>
    <col min="9178" max="9190" width="4.7109375" style="3" customWidth="1"/>
    <col min="9191" max="9400" width="11" style="3"/>
    <col min="9401" max="9401" width="0.7109375" style="3" customWidth="1"/>
    <col min="9402" max="9402" width="6.5703125" style="3" customWidth="1"/>
    <col min="9403" max="9403" width="13.5703125" style="3" customWidth="1"/>
    <col min="9404" max="9404" width="13.42578125" style="3" customWidth="1"/>
    <col min="9405" max="9406" width="12.5703125" style="3" customWidth="1"/>
    <col min="9407" max="9407" width="14.85546875" style="3" customWidth="1"/>
    <col min="9408" max="9408" width="20.7109375" style="3" customWidth="1"/>
    <col min="9409" max="9409" width="12.5703125" style="3" customWidth="1"/>
    <col min="9410" max="9410" width="13" style="3" customWidth="1"/>
    <col min="9411" max="9411" width="16" style="3" customWidth="1"/>
    <col min="9412" max="9412" width="6.42578125" style="3" customWidth="1"/>
    <col min="9413" max="9413" width="16" style="3" customWidth="1"/>
    <col min="9414" max="9414" width="2.85546875" style="3" customWidth="1"/>
    <col min="9415" max="9415" width="0.85546875" style="3" customWidth="1"/>
    <col min="9416" max="9416" width="11" style="3"/>
    <col min="9417" max="9417" width="15.42578125" style="3" customWidth="1"/>
    <col min="9418" max="9420" width="14.85546875" style="3" customWidth="1"/>
    <col min="9421" max="9421" width="0.7109375" style="3" customWidth="1"/>
    <col min="9422" max="9422" width="11" style="3"/>
    <col min="9423" max="9423" width="15.7109375" style="3" customWidth="1"/>
    <col min="9424" max="9425" width="14.85546875" style="3" customWidth="1"/>
    <col min="9426" max="9426" width="3.28515625" style="3" customWidth="1"/>
    <col min="9427" max="9427" width="20.140625" style="3" customWidth="1"/>
    <col min="9428" max="9428" width="3.28515625" style="3" customWidth="1"/>
    <col min="9429" max="9433" width="11" style="3"/>
    <col min="9434" max="9446" width="4.7109375" style="3" customWidth="1"/>
    <col min="9447" max="9656" width="11" style="3"/>
    <col min="9657" max="9657" width="0.7109375" style="3" customWidth="1"/>
    <col min="9658" max="9658" width="6.5703125" style="3" customWidth="1"/>
    <col min="9659" max="9659" width="13.5703125" style="3" customWidth="1"/>
    <col min="9660" max="9660" width="13.42578125" style="3" customWidth="1"/>
    <col min="9661" max="9662" width="12.5703125" style="3" customWidth="1"/>
    <col min="9663" max="9663" width="14.85546875" style="3" customWidth="1"/>
    <col min="9664" max="9664" width="20.7109375" style="3" customWidth="1"/>
    <col min="9665" max="9665" width="12.5703125" style="3" customWidth="1"/>
    <col min="9666" max="9666" width="13" style="3" customWidth="1"/>
    <col min="9667" max="9667" width="16" style="3" customWidth="1"/>
    <col min="9668" max="9668" width="6.42578125" style="3" customWidth="1"/>
    <col min="9669" max="9669" width="16" style="3" customWidth="1"/>
    <col min="9670" max="9670" width="2.85546875" style="3" customWidth="1"/>
    <col min="9671" max="9671" width="0.85546875" style="3" customWidth="1"/>
    <col min="9672" max="9672" width="11" style="3"/>
    <col min="9673" max="9673" width="15.42578125" style="3" customWidth="1"/>
    <col min="9674" max="9676" width="14.85546875" style="3" customWidth="1"/>
    <col min="9677" max="9677" width="0.7109375" style="3" customWidth="1"/>
    <col min="9678" max="9678" width="11" style="3"/>
    <col min="9679" max="9679" width="15.7109375" style="3" customWidth="1"/>
    <col min="9680" max="9681" width="14.85546875" style="3" customWidth="1"/>
    <col min="9682" max="9682" width="3.28515625" style="3" customWidth="1"/>
    <col min="9683" max="9683" width="20.140625" style="3" customWidth="1"/>
    <col min="9684" max="9684" width="3.28515625" style="3" customWidth="1"/>
    <col min="9685" max="9689" width="11" style="3"/>
    <col min="9690" max="9702" width="4.7109375" style="3" customWidth="1"/>
    <col min="9703" max="9912" width="11" style="3"/>
    <col min="9913" max="9913" width="0.7109375" style="3" customWidth="1"/>
    <col min="9914" max="9914" width="6.5703125" style="3" customWidth="1"/>
    <col min="9915" max="9915" width="13.5703125" style="3" customWidth="1"/>
    <col min="9916" max="9916" width="13.42578125" style="3" customWidth="1"/>
    <col min="9917" max="9918" width="12.5703125" style="3" customWidth="1"/>
    <col min="9919" max="9919" width="14.85546875" style="3" customWidth="1"/>
    <col min="9920" max="9920" width="20.7109375" style="3" customWidth="1"/>
    <col min="9921" max="9921" width="12.5703125" style="3" customWidth="1"/>
    <col min="9922" max="9922" width="13" style="3" customWidth="1"/>
    <col min="9923" max="9923" width="16" style="3" customWidth="1"/>
    <col min="9924" max="9924" width="6.42578125" style="3" customWidth="1"/>
    <col min="9925" max="9925" width="16" style="3" customWidth="1"/>
    <col min="9926" max="9926" width="2.85546875" style="3" customWidth="1"/>
    <col min="9927" max="9927" width="0.85546875" style="3" customWidth="1"/>
    <col min="9928" max="9928" width="11" style="3"/>
    <col min="9929" max="9929" width="15.42578125" style="3" customWidth="1"/>
    <col min="9930" max="9932" width="14.85546875" style="3" customWidth="1"/>
    <col min="9933" max="9933" width="0.7109375" style="3" customWidth="1"/>
    <col min="9934" max="9934" width="11" style="3"/>
    <col min="9935" max="9935" width="15.7109375" style="3" customWidth="1"/>
    <col min="9936" max="9937" width="14.85546875" style="3" customWidth="1"/>
    <col min="9938" max="9938" width="3.28515625" style="3" customWidth="1"/>
    <col min="9939" max="9939" width="20.140625" style="3" customWidth="1"/>
    <col min="9940" max="9940" width="3.28515625" style="3" customWidth="1"/>
    <col min="9941" max="9945" width="11" style="3"/>
    <col min="9946" max="9958" width="4.7109375" style="3" customWidth="1"/>
    <col min="9959" max="10168" width="11" style="3"/>
    <col min="10169" max="10169" width="0.7109375" style="3" customWidth="1"/>
    <col min="10170" max="10170" width="6.5703125" style="3" customWidth="1"/>
    <col min="10171" max="10171" width="13.5703125" style="3" customWidth="1"/>
    <col min="10172" max="10172" width="13.42578125" style="3" customWidth="1"/>
    <col min="10173" max="10174" width="12.5703125" style="3" customWidth="1"/>
    <col min="10175" max="10175" width="14.85546875" style="3" customWidth="1"/>
    <col min="10176" max="10176" width="20.7109375" style="3" customWidth="1"/>
    <col min="10177" max="10177" width="12.5703125" style="3" customWidth="1"/>
    <col min="10178" max="10178" width="13" style="3" customWidth="1"/>
    <col min="10179" max="10179" width="16" style="3" customWidth="1"/>
    <col min="10180" max="10180" width="6.42578125" style="3" customWidth="1"/>
    <col min="10181" max="10181" width="16" style="3" customWidth="1"/>
    <col min="10182" max="10182" width="2.85546875" style="3" customWidth="1"/>
    <col min="10183" max="10183" width="0.85546875" style="3" customWidth="1"/>
    <col min="10184" max="10184" width="11" style="3"/>
    <col min="10185" max="10185" width="15.42578125" style="3" customWidth="1"/>
    <col min="10186" max="10188" width="14.85546875" style="3" customWidth="1"/>
    <col min="10189" max="10189" width="0.7109375" style="3" customWidth="1"/>
    <col min="10190" max="10190" width="11" style="3"/>
    <col min="10191" max="10191" width="15.7109375" style="3" customWidth="1"/>
    <col min="10192" max="10193" width="14.85546875" style="3" customWidth="1"/>
    <col min="10194" max="10194" width="3.28515625" style="3" customWidth="1"/>
    <col min="10195" max="10195" width="20.140625" style="3" customWidth="1"/>
    <col min="10196" max="10196" width="3.28515625" style="3" customWidth="1"/>
    <col min="10197" max="10201" width="11" style="3"/>
    <col min="10202" max="10214" width="4.7109375" style="3" customWidth="1"/>
    <col min="10215" max="10424" width="11" style="3"/>
    <col min="10425" max="10425" width="0.7109375" style="3" customWidth="1"/>
    <col min="10426" max="10426" width="6.5703125" style="3" customWidth="1"/>
    <col min="10427" max="10427" width="13.5703125" style="3" customWidth="1"/>
    <col min="10428" max="10428" width="13.42578125" style="3" customWidth="1"/>
    <col min="10429" max="10430" width="12.5703125" style="3" customWidth="1"/>
    <col min="10431" max="10431" width="14.85546875" style="3" customWidth="1"/>
    <col min="10432" max="10432" width="20.7109375" style="3" customWidth="1"/>
    <col min="10433" max="10433" width="12.5703125" style="3" customWidth="1"/>
    <col min="10434" max="10434" width="13" style="3" customWidth="1"/>
    <col min="10435" max="10435" width="16" style="3" customWidth="1"/>
    <col min="10436" max="10436" width="6.42578125" style="3" customWidth="1"/>
    <col min="10437" max="10437" width="16" style="3" customWidth="1"/>
    <col min="10438" max="10438" width="2.85546875" style="3" customWidth="1"/>
    <col min="10439" max="10439" width="0.85546875" style="3" customWidth="1"/>
    <col min="10440" max="10440" width="11" style="3"/>
    <col min="10441" max="10441" width="15.42578125" style="3" customWidth="1"/>
    <col min="10442" max="10444" width="14.85546875" style="3" customWidth="1"/>
    <col min="10445" max="10445" width="0.7109375" style="3" customWidth="1"/>
    <col min="10446" max="10446" width="11" style="3"/>
    <col min="10447" max="10447" width="15.7109375" style="3" customWidth="1"/>
    <col min="10448" max="10449" width="14.85546875" style="3" customWidth="1"/>
    <col min="10450" max="10450" width="3.28515625" style="3" customWidth="1"/>
    <col min="10451" max="10451" width="20.140625" style="3" customWidth="1"/>
    <col min="10452" max="10452" width="3.28515625" style="3" customWidth="1"/>
    <col min="10453" max="10457" width="11" style="3"/>
    <col min="10458" max="10470" width="4.7109375" style="3" customWidth="1"/>
    <col min="10471" max="10680" width="11" style="3"/>
    <col min="10681" max="10681" width="0.7109375" style="3" customWidth="1"/>
    <col min="10682" max="10682" width="6.5703125" style="3" customWidth="1"/>
    <col min="10683" max="10683" width="13.5703125" style="3" customWidth="1"/>
    <col min="10684" max="10684" width="13.42578125" style="3" customWidth="1"/>
    <col min="10685" max="10686" width="12.5703125" style="3" customWidth="1"/>
    <col min="10687" max="10687" width="14.85546875" style="3" customWidth="1"/>
    <col min="10688" max="10688" width="20.7109375" style="3" customWidth="1"/>
    <col min="10689" max="10689" width="12.5703125" style="3" customWidth="1"/>
    <col min="10690" max="10690" width="13" style="3" customWidth="1"/>
    <col min="10691" max="10691" width="16" style="3" customWidth="1"/>
    <col min="10692" max="10692" width="6.42578125" style="3" customWidth="1"/>
    <col min="10693" max="10693" width="16" style="3" customWidth="1"/>
    <col min="10694" max="10694" width="2.85546875" style="3" customWidth="1"/>
    <col min="10695" max="10695" width="0.85546875" style="3" customWidth="1"/>
    <col min="10696" max="10696" width="11" style="3"/>
    <col min="10697" max="10697" width="15.42578125" style="3" customWidth="1"/>
    <col min="10698" max="10700" width="14.85546875" style="3" customWidth="1"/>
    <col min="10701" max="10701" width="0.7109375" style="3" customWidth="1"/>
    <col min="10702" max="10702" width="11" style="3"/>
    <col min="10703" max="10703" width="15.7109375" style="3" customWidth="1"/>
    <col min="10704" max="10705" width="14.85546875" style="3" customWidth="1"/>
    <col min="10706" max="10706" width="3.28515625" style="3" customWidth="1"/>
    <col min="10707" max="10707" width="20.140625" style="3" customWidth="1"/>
    <col min="10708" max="10708" width="3.28515625" style="3" customWidth="1"/>
    <col min="10709" max="10713" width="11" style="3"/>
    <col min="10714" max="10726" width="4.7109375" style="3" customWidth="1"/>
    <col min="10727" max="10936" width="11" style="3"/>
    <col min="10937" max="10937" width="0.7109375" style="3" customWidth="1"/>
    <col min="10938" max="10938" width="6.5703125" style="3" customWidth="1"/>
    <col min="10939" max="10939" width="13.5703125" style="3" customWidth="1"/>
    <col min="10940" max="10940" width="13.42578125" style="3" customWidth="1"/>
    <col min="10941" max="10942" width="12.5703125" style="3" customWidth="1"/>
    <col min="10943" max="10943" width="14.85546875" style="3" customWidth="1"/>
    <col min="10944" max="10944" width="20.7109375" style="3" customWidth="1"/>
    <col min="10945" max="10945" width="12.5703125" style="3" customWidth="1"/>
    <col min="10946" max="10946" width="13" style="3" customWidth="1"/>
    <col min="10947" max="10947" width="16" style="3" customWidth="1"/>
    <col min="10948" max="10948" width="6.42578125" style="3" customWidth="1"/>
    <col min="10949" max="10949" width="16" style="3" customWidth="1"/>
    <col min="10950" max="10950" width="2.85546875" style="3" customWidth="1"/>
    <col min="10951" max="10951" width="0.85546875" style="3" customWidth="1"/>
    <col min="10952" max="10952" width="11" style="3"/>
    <col min="10953" max="10953" width="15.42578125" style="3" customWidth="1"/>
    <col min="10954" max="10956" width="14.85546875" style="3" customWidth="1"/>
    <col min="10957" max="10957" width="0.7109375" style="3" customWidth="1"/>
    <col min="10958" max="10958" width="11" style="3"/>
    <col min="10959" max="10959" width="15.7109375" style="3" customWidth="1"/>
    <col min="10960" max="10961" width="14.85546875" style="3" customWidth="1"/>
    <col min="10962" max="10962" width="3.28515625" style="3" customWidth="1"/>
    <col min="10963" max="10963" width="20.140625" style="3" customWidth="1"/>
    <col min="10964" max="10964" width="3.28515625" style="3" customWidth="1"/>
    <col min="10965" max="10969" width="11" style="3"/>
    <col min="10970" max="10982" width="4.7109375" style="3" customWidth="1"/>
    <col min="10983" max="11192" width="11" style="3"/>
    <col min="11193" max="11193" width="0.7109375" style="3" customWidth="1"/>
    <col min="11194" max="11194" width="6.5703125" style="3" customWidth="1"/>
    <col min="11195" max="11195" width="13.5703125" style="3" customWidth="1"/>
    <col min="11196" max="11196" width="13.42578125" style="3" customWidth="1"/>
    <col min="11197" max="11198" width="12.5703125" style="3" customWidth="1"/>
    <col min="11199" max="11199" width="14.85546875" style="3" customWidth="1"/>
    <col min="11200" max="11200" width="20.7109375" style="3" customWidth="1"/>
    <col min="11201" max="11201" width="12.5703125" style="3" customWidth="1"/>
    <col min="11202" max="11202" width="13" style="3" customWidth="1"/>
    <col min="11203" max="11203" width="16" style="3" customWidth="1"/>
    <col min="11204" max="11204" width="6.42578125" style="3" customWidth="1"/>
    <col min="11205" max="11205" width="16" style="3" customWidth="1"/>
    <col min="11206" max="11206" width="2.85546875" style="3" customWidth="1"/>
    <col min="11207" max="11207" width="0.85546875" style="3" customWidth="1"/>
    <col min="11208" max="11208" width="11" style="3"/>
    <col min="11209" max="11209" width="15.42578125" style="3" customWidth="1"/>
    <col min="11210" max="11212" width="14.85546875" style="3" customWidth="1"/>
    <col min="11213" max="11213" width="0.7109375" style="3" customWidth="1"/>
    <col min="11214" max="11214" width="11" style="3"/>
    <col min="11215" max="11215" width="15.7109375" style="3" customWidth="1"/>
    <col min="11216" max="11217" width="14.85546875" style="3" customWidth="1"/>
    <col min="11218" max="11218" width="3.28515625" style="3" customWidth="1"/>
    <col min="11219" max="11219" width="20.140625" style="3" customWidth="1"/>
    <col min="11220" max="11220" width="3.28515625" style="3" customWidth="1"/>
    <col min="11221" max="11225" width="11" style="3"/>
    <col min="11226" max="11238" width="4.7109375" style="3" customWidth="1"/>
    <col min="11239" max="11448" width="11" style="3"/>
    <col min="11449" max="11449" width="0.7109375" style="3" customWidth="1"/>
    <col min="11450" max="11450" width="6.5703125" style="3" customWidth="1"/>
    <col min="11451" max="11451" width="13.5703125" style="3" customWidth="1"/>
    <col min="11452" max="11452" width="13.42578125" style="3" customWidth="1"/>
    <col min="11453" max="11454" width="12.5703125" style="3" customWidth="1"/>
    <col min="11455" max="11455" width="14.85546875" style="3" customWidth="1"/>
    <col min="11456" max="11456" width="20.7109375" style="3" customWidth="1"/>
    <col min="11457" max="11457" width="12.5703125" style="3" customWidth="1"/>
    <col min="11458" max="11458" width="13" style="3" customWidth="1"/>
    <col min="11459" max="11459" width="16" style="3" customWidth="1"/>
    <col min="11460" max="11460" width="6.42578125" style="3" customWidth="1"/>
    <col min="11461" max="11461" width="16" style="3" customWidth="1"/>
    <col min="11462" max="11462" width="2.85546875" style="3" customWidth="1"/>
    <col min="11463" max="11463" width="0.85546875" style="3" customWidth="1"/>
    <col min="11464" max="11464" width="11" style="3"/>
    <col min="11465" max="11465" width="15.42578125" style="3" customWidth="1"/>
    <col min="11466" max="11468" width="14.85546875" style="3" customWidth="1"/>
    <col min="11469" max="11469" width="0.7109375" style="3" customWidth="1"/>
    <col min="11470" max="11470" width="11" style="3"/>
    <col min="11471" max="11471" width="15.7109375" style="3" customWidth="1"/>
    <col min="11472" max="11473" width="14.85546875" style="3" customWidth="1"/>
    <col min="11474" max="11474" width="3.28515625" style="3" customWidth="1"/>
    <col min="11475" max="11475" width="20.140625" style="3" customWidth="1"/>
    <col min="11476" max="11476" width="3.28515625" style="3" customWidth="1"/>
    <col min="11477" max="11481" width="11" style="3"/>
    <col min="11482" max="11494" width="4.7109375" style="3" customWidth="1"/>
    <col min="11495" max="11704" width="11" style="3"/>
    <col min="11705" max="11705" width="0.7109375" style="3" customWidth="1"/>
    <col min="11706" max="11706" width="6.5703125" style="3" customWidth="1"/>
    <col min="11707" max="11707" width="13.5703125" style="3" customWidth="1"/>
    <col min="11708" max="11708" width="13.42578125" style="3" customWidth="1"/>
    <col min="11709" max="11710" width="12.5703125" style="3" customWidth="1"/>
    <col min="11711" max="11711" width="14.85546875" style="3" customWidth="1"/>
    <col min="11712" max="11712" width="20.7109375" style="3" customWidth="1"/>
    <col min="11713" max="11713" width="12.5703125" style="3" customWidth="1"/>
    <col min="11714" max="11714" width="13" style="3" customWidth="1"/>
    <col min="11715" max="11715" width="16" style="3" customWidth="1"/>
    <col min="11716" max="11716" width="6.42578125" style="3" customWidth="1"/>
    <col min="11717" max="11717" width="16" style="3" customWidth="1"/>
    <col min="11718" max="11718" width="2.85546875" style="3" customWidth="1"/>
    <col min="11719" max="11719" width="0.85546875" style="3" customWidth="1"/>
    <col min="11720" max="11720" width="11" style="3"/>
    <col min="11721" max="11721" width="15.42578125" style="3" customWidth="1"/>
    <col min="11722" max="11724" width="14.85546875" style="3" customWidth="1"/>
    <col min="11725" max="11725" width="0.7109375" style="3" customWidth="1"/>
    <col min="11726" max="11726" width="11" style="3"/>
    <col min="11727" max="11727" width="15.7109375" style="3" customWidth="1"/>
    <col min="11728" max="11729" width="14.85546875" style="3" customWidth="1"/>
    <col min="11730" max="11730" width="3.28515625" style="3" customWidth="1"/>
    <col min="11731" max="11731" width="20.140625" style="3" customWidth="1"/>
    <col min="11732" max="11732" width="3.28515625" style="3" customWidth="1"/>
    <col min="11733" max="11737" width="11" style="3"/>
    <col min="11738" max="11750" width="4.7109375" style="3" customWidth="1"/>
    <col min="11751" max="11960" width="11" style="3"/>
    <col min="11961" max="11961" width="0.7109375" style="3" customWidth="1"/>
    <col min="11962" max="11962" width="6.5703125" style="3" customWidth="1"/>
    <col min="11963" max="11963" width="13.5703125" style="3" customWidth="1"/>
    <col min="11964" max="11964" width="13.42578125" style="3" customWidth="1"/>
    <col min="11965" max="11966" width="12.5703125" style="3" customWidth="1"/>
    <col min="11967" max="11967" width="14.85546875" style="3" customWidth="1"/>
    <col min="11968" max="11968" width="20.7109375" style="3" customWidth="1"/>
    <col min="11969" max="11969" width="12.5703125" style="3" customWidth="1"/>
    <col min="11970" max="11970" width="13" style="3" customWidth="1"/>
    <col min="11971" max="11971" width="16" style="3" customWidth="1"/>
    <col min="11972" max="11972" width="6.42578125" style="3" customWidth="1"/>
    <col min="11973" max="11973" width="16" style="3" customWidth="1"/>
    <col min="11974" max="11974" width="2.85546875" style="3" customWidth="1"/>
    <col min="11975" max="11975" width="0.85546875" style="3" customWidth="1"/>
    <col min="11976" max="11976" width="11" style="3"/>
    <col min="11977" max="11977" width="15.42578125" style="3" customWidth="1"/>
    <col min="11978" max="11980" width="14.85546875" style="3" customWidth="1"/>
    <col min="11981" max="11981" width="0.7109375" style="3" customWidth="1"/>
    <col min="11982" max="11982" width="11" style="3"/>
    <col min="11983" max="11983" width="15.7109375" style="3" customWidth="1"/>
    <col min="11984" max="11985" width="14.85546875" style="3" customWidth="1"/>
    <col min="11986" max="11986" width="3.28515625" style="3" customWidth="1"/>
    <col min="11987" max="11987" width="20.140625" style="3" customWidth="1"/>
    <col min="11988" max="11988" width="3.28515625" style="3" customWidth="1"/>
    <col min="11989" max="11993" width="11" style="3"/>
    <col min="11994" max="12006" width="4.7109375" style="3" customWidth="1"/>
    <col min="12007" max="12216" width="11" style="3"/>
    <col min="12217" max="12217" width="0.7109375" style="3" customWidth="1"/>
    <col min="12218" max="12218" width="6.5703125" style="3" customWidth="1"/>
    <col min="12219" max="12219" width="13.5703125" style="3" customWidth="1"/>
    <col min="12220" max="12220" width="13.42578125" style="3" customWidth="1"/>
    <col min="12221" max="12222" width="12.5703125" style="3" customWidth="1"/>
    <col min="12223" max="12223" width="14.85546875" style="3" customWidth="1"/>
    <col min="12224" max="12224" width="20.7109375" style="3" customWidth="1"/>
    <col min="12225" max="12225" width="12.5703125" style="3" customWidth="1"/>
    <col min="12226" max="12226" width="13" style="3" customWidth="1"/>
    <col min="12227" max="12227" width="16" style="3" customWidth="1"/>
    <col min="12228" max="12228" width="6.42578125" style="3" customWidth="1"/>
    <col min="12229" max="12229" width="16" style="3" customWidth="1"/>
    <col min="12230" max="12230" width="2.85546875" style="3" customWidth="1"/>
    <col min="12231" max="12231" width="0.85546875" style="3" customWidth="1"/>
    <col min="12232" max="12232" width="11" style="3"/>
    <col min="12233" max="12233" width="15.42578125" style="3" customWidth="1"/>
    <col min="12234" max="12236" width="14.85546875" style="3" customWidth="1"/>
    <col min="12237" max="12237" width="0.7109375" style="3" customWidth="1"/>
    <col min="12238" max="12238" width="11" style="3"/>
    <col min="12239" max="12239" width="15.7109375" style="3" customWidth="1"/>
    <col min="12240" max="12241" width="14.85546875" style="3" customWidth="1"/>
    <col min="12242" max="12242" width="3.28515625" style="3" customWidth="1"/>
    <col min="12243" max="12243" width="20.140625" style="3" customWidth="1"/>
    <col min="12244" max="12244" width="3.28515625" style="3" customWidth="1"/>
    <col min="12245" max="12249" width="11" style="3"/>
    <col min="12250" max="12262" width="4.7109375" style="3" customWidth="1"/>
    <col min="12263" max="12472" width="11" style="3"/>
    <col min="12473" max="12473" width="0.7109375" style="3" customWidth="1"/>
    <col min="12474" max="12474" width="6.5703125" style="3" customWidth="1"/>
    <col min="12475" max="12475" width="13.5703125" style="3" customWidth="1"/>
    <col min="12476" max="12476" width="13.42578125" style="3" customWidth="1"/>
    <col min="12477" max="12478" width="12.5703125" style="3" customWidth="1"/>
    <col min="12479" max="12479" width="14.85546875" style="3" customWidth="1"/>
    <col min="12480" max="12480" width="20.7109375" style="3" customWidth="1"/>
    <col min="12481" max="12481" width="12.5703125" style="3" customWidth="1"/>
    <col min="12482" max="12482" width="13" style="3" customWidth="1"/>
    <col min="12483" max="12483" width="16" style="3" customWidth="1"/>
    <col min="12484" max="12484" width="6.42578125" style="3" customWidth="1"/>
    <col min="12485" max="12485" width="16" style="3" customWidth="1"/>
    <col min="12486" max="12486" width="2.85546875" style="3" customWidth="1"/>
    <col min="12487" max="12487" width="0.85546875" style="3" customWidth="1"/>
    <col min="12488" max="12488" width="11" style="3"/>
    <col min="12489" max="12489" width="15.42578125" style="3" customWidth="1"/>
    <col min="12490" max="12492" width="14.85546875" style="3" customWidth="1"/>
    <col min="12493" max="12493" width="0.7109375" style="3" customWidth="1"/>
    <col min="12494" max="12494" width="11" style="3"/>
    <col min="12495" max="12495" width="15.7109375" style="3" customWidth="1"/>
    <col min="12496" max="12497" width="14.85546875" style="3" customWidth="1"/>
    <col min="12498" max="12498" width="3.28515625" style="3" customWidth="1"/>
    <col min="12499" max="12499" width="20.140625" style="3" customWidth="1"/>
    <col min="12500" max="12500" width="3.28515625" style="3" customWidth="1"/>
    <col min="12501" max="12505" width="11" style="3"/>
    <col min="12506" max="12518" width="4.7109375" style="3" customWidth="1"/>
    <col min="12519" max="12728" width="11" style="3"/>
    <col min="12729" max="12729" width="0.7109375" style="3" customWidth="1"/>
    <col min="12730" max="12730" width="6.5703125" style="3" customWidth="1"/>
    <col min="12731" max="12731" width="13.5703125" style="3" customWidth="1"/>
    <col min="12732" max="12732" width="13.42578125" style="3" customWidth="1"/>
    <col min="12733" max="12734" width="12.5703125" style="3" customWidth="1"/>
    <col min="12735" max="12735" width="14.85546875" style="3" customWidth="1"/>
    <col min="12736" max="12736" width="20.7109375" style="3" customWidth="1"/>
    <col min="12737" max="12737" width="12.5703125" style="3" customWidth="1"/>
    <col min="12738" max="12738" width="13" style="3" customWidth="1"/>
    <col min="12739" max="12739" width="16" style="3" customWidth="1"/>
    <col min="12740" max="12740" width="6.42578125" style="3" customWidth="1"/>
    <col min="12741" max="12741" width="16" style="3" customWidth="1"/>
    <col min="12742" max="12742" width="2.85546875" style="3" customWidth="1"/>
    <col min="12743" max="12743" width="0.85546875" style="3" customWidth="1"/>
    <col min="12744" max="12744" width="11" style="3"/>
    <col min="12745" max="12745" width="15.42578125" style="3" customWidth="1"/>
    <col min="12746" max="12748" width="14.85546875" style="3" customWidth="1"/>
    <col min="12749" max="12749" width="0.7109375" style="3" customWidth="1"/>
    <col min="12750" max="12750" width="11" style="3"/>
    <col min="12751" max="12751" width="15.7109375" style="3" customWidth="1"/>
    <col min="12752" max="12753" width="14.85546875" style="3" customWidth="1"/>
    <col min="12754" max="12754" width="3.28515625" style="3" customWidth="1"/>
    <col min="12755" max="12755" width="20.140625" style="3" customWidth="1"/>
    <col min="12756" max="12756" width="3.28515625" style="3" customWidth="1"/>
    <col min="12757" max="12761" width="11" style="3"/>
    <col min="12762" max="12774" width="4.7109375" style="3" customWidth="1"/>
    <col min="12775" max="12984" width="11" style="3"/>
    <col min="12985" max="12985" width="0.7109375" style="3" customWidth="1"/>
    <col min="12986" max="12986" width="6.5703125" style="3" customWidth="1"/>
    <col min="12987" max="12987" width="13.5703125" style="3" customWidth="1"/>
    <col min="12988" max="12988" width="13.42578125" style="3" customWidth="1"/>
    <col min="12989" max="12990" width="12.5703125" style="3" customWidth="1"/>
    <col min="12991" max="12991" width="14.85546875" style="3" customWidth="1"/>
    <col min="12992" max="12992" width="20.7109375" style="3" customWidth="1"/>
    <col min="12993" max="12993" width="12.5703125" style="3" customWidth="1"/>
    <col min="12994" max="12994" width="13" style="3" customWidth="1"/>
    <col min="12995" max="12995" width="16" style="3" customWidth="1"/>
    <col min="12996" max="12996" width="6.42578125" style="3" customWidth="1"/>
    <col min="12997" max="12997" width="16" style="3" customWidth="1"/>
    <col min="12998" max="12998" width="2.85546875" style="3" customWidth="1"/>
    <col min="12999" max="12999" width="0.85546875" style="3" customWidth="1"/>
    <col min="13000" max="13000" width="11" style="3"/>
    <col min="13001" max="13001" width="15.42578125" style="3" customWidth="1"/>
    <col min="13002" max="13004" width="14.85546875" style="3" customWidth="1"/>
    <col min="13005" max="13005" width="0.7109375" style="3" customWidth="1"/>
    <col min="13006" max="13006" width="11" style="3"/>
    <col min="13007" max="13007" width="15.7109375" style="3" customWidth="1"/>
    <col min="13008" max="13009" width="14.85546875" style="3" customWidth="1"/>
    <col min="13010" max="13010" width="3.28515625" style="3" customWidth="1"/>
    <col min="13011" max="13011" width="20.140625" style="3" customWidth="1"/>
    <col min="13012" max="13012" width="3.28515625" style="3" customWidth="1"/>
    <col min="13013" max="13017" width="11" style="3"/>
    <col min="13018" max="13030" width="4.7109375" style="3" customWidth="1"/>
    <col min="13031" max="13240" width="11" style="3"/>
    <col min="13241" max="13241" width="0.7109375" style="3" customWidth="1"/>
    <col min="13242" max="13242" width="6.5703125" style="3" customWidth="1"/>
    <col min="13243" max="13243" width="13.5703125" style="3" customWidth="1"/>
    <col min="13244" max="13244" width="13.42578125" style="3" customWidth="1"/>
    <col min="13245" max="13246" width="12.5703125" style="3" customWidth="1"/>
    <col min="13247" max="13247" width="14.85546875" style="3" customWidth="1"/>
    <col min="13248" max="13248" width="20.7109375" style="3" customWidth="1"/>
    <col min="13249" max="13249" width="12.5703125" style="3" customWidth="1"/>
    <col min="13250" max="13250" width="13" style="3" customWidth="1"/>
    <col min="13251" max="13251" width="16" style="3" customWidth="1"/>
    <col min="13252" max="13252" width="6.42578125" style="3" customWidth="1"/>
    <col min="13253" max="13253" width="16" style="3" customWidth="1"/>
    <col min="13254" max="13254" width="2.85546875" style="3" customWidth="1"/>
    <col min="13255" max="13255" width="0.85546875" style="3" customWidth="1"/>
    <col min="13256" max="13256" width="11" style="3"/>
    <col min="13257" max="13257" width="15.42578125" style="3" customWidth="1"/>
    <col min="13258" max="13260" width="14.85546875" style="3" customWidth="1"/>
    <col min="13261" max="13261" width="0.7109375" style="3" customWidth="1"/>
    <col min="13262" max="13262" width="11" style="3"/>
    <col min="13263" max="13263" width="15.7109375" style="3" customWidth="1"/>
    <col min="13264" max="13265" width="14.85546875" style="3" customWidth="1"/>
    <col min="13266" max="13266" width="3.28515625" style="3" customWidth="1"/>
    <col min="13267" max="13267" width="20.140625" style="3" customWidth="1"/>
    <col min="13268" max="13268" width="3.28515625" style="3" customWidth="1"/>
    <col min="13269" max="13273" width="11" style="3"/>
    <col min="13274" max="13286" width="4.7109375" style="3" customWidth="1"/>
    <col min="13287" max="13496" width="11" style="3"/>
    <col min="13497" max="13497" width="0.7109375" style="3" customWidth="1"/>
    <col min="13498" max="13498" width="6.5703125" style="3" customWidth="1"/>
    <col min="13499" max="13499" width="13.5703125" style="3" customWidth="1"/>
    <col min="13500" max="13500" width="13.42578125" style="3" customWidth="1"/>
    <col min="13501" max="13502" width="12.5703125" style="3" customWidth="1"/>
    <col min="13503" max="13503" width="14.85546875" style="3" customWidth="1"/>
    <col min="13504" max="13504" width="20.7109375" style="3" customWidth="1"/>
    <col min="13505" max="13505" width="12.5703125" style="3" customWidth="1"/>
    <col min="13506" max="13506" width="13" style="3" customWidth="1"/>
    <col min="13507" max="13507" width="16" style="3" customWidth="1"/>
    <col min="13508" max="13508" width="6.42578125" style="3" customWidth="1"/>
    <col min="13509" max="13509" width="16" style="3" customWidth="1"/>
    <col min="13510" max="13510" width="2.85546875" style="3" customWidth="1"/>
    <col min="13511" max="13511" width="0.85546875" style="3" customWidth="1"/>
    <col min="13512" max="13512" width="11" style="3"/>
    <col min="13513" max="13513" width="15.42578125" style="3" customWidth="1"/>
    <col min="13514" max="13516" width="14.85546875" style="3" customWidth="1"/>
    <col min="13517" max="13517" width="0.7109375" style="3" customWidth="1"/>
    <col min="13518" max="13518" width="11" style="3"/>
    <col min="13519" max="13519" width="15.7109375" style="3" customWidth="1"/>
    <col min="13520" max="13521" width="14.85546875" style="3" customWidth="1"/>
    <col min="13522" max="13522" width="3.28515625" style="3" customWidth="1"/>
    <col min="13523" max="13523" width="20.140625" style="3" customWidth="1"/>
    <col min="13524" max="13524" width="3.28515625" style="3" customWidth="1"/>
    <col min="13525" max="13529" width="11" style="3"/>
    <col min="13530" max="13542" width="4.7109375" style="3" customWidth="1"/>
    <col min="13543" max="13752" width="11" style="3"/>
    <col min="13753" max="13753" width="0.7109375" style="3" customWidth="1"/>
    <col min="13754" max="13754" width="6.5703125" style="3" customWidth="1"/>
    <col min="13755" max="13755" width="13.5703125" style="3" customWidth="1"/>
    <col min="13756" max="13756" width="13.42578125" style="3" customWidth="1"/>
    <col min="13757" max="13758" width="12.5703125" style="3" customWidth="1"/>
    <col min="13759" max="13759" width="14.85546875" style="3" customWidth="1"/>
    <col min="13760" max="13760" width="20.7109375" style="3" customWidth="1"/>
    <col min="13761" max="13761" width="12.5703125" style="3" customWidth="1"/>
    <col min="13762" max="13762" width="13" style="3" customWidth="1"/>
    <col min="13763" max="13763" width="16" style="3" customWidth="1"/>
    <col min="13764" max="13764" width="6.42578125" style="3" customWidth="1"/>
    <col min="13765" max="13765" width="16" style="3" customWidth="1"/>
    <col min="13766" max="13766" width="2.85546875" style="3" customWidth="1"/>
    <col min="13767" max="13767" width="0.85546875" style="3" customWidth="1"/>
    <col min="13768" max="13768" width="11" style="3"/>
    <col min="13769" max="13769" width="15.42578125" style="3" customWidth="1"/>
    <col min="13770" max="13772" width="14.85546875" style="3" customWidth="1"/>
    <col min="13773" max="13773" width="0.7109375" style="3" customWidth="1"/>
    <col min="13774" max="13774" width="11" style="3"/>
    <col min="13775" max="13775" width="15.7109375" style="3" customWidth="1"/>
    <col min="13776" max="13777" width="14.85546875" style="3" customWidth="1"/>
    <col min="13778" max="13778" width="3.28515625" style="3" customWidth="1"/>
    <col min="13779" max="13779" width="20.140625" style="3" customWidth="1"/>
    <col min="13780" max="13780" width="3.28515625" style="3" customWidth="1"/>
    <col min="13781" max="13785" width="11" style="3"/>
    <col min="13786" max="13798" width="4.7109375" style="3" customWidth="1"/>
    <col min="13799" max="14008" width="11" style="3"/>
    <col min="14009" max="14009" width="0.7109375" style="3" customWidth="1"/>
    <col min="14010" max="14010" width="6.5703125" style="3" customWidth="1"/>
    <col min="14011" max="14011" width="13.5703125" style="3" customWidth="1"/>
    <col min="14012" max="14012" width="13.42578125" style="3" customWidth="1"/>
    <col min="14013" max="14014" width="12.5703125" style="3" customWidth="1"/>
    <col min="14015" max="14015" width="14.85546875" style="3" customWidth="1"/>
    <col min="14016" max="14016" width="20.7109375" style="3" customWidth="1"/>
    <col min="14017" max="14017" width="12.5703125" style="3" customWidth="1"/>
    <col min="14018" max="14018" width="13" style="3" customWidth="1"/>
    <col min="14019" max="14019" width="16" style="3" customWidth="1"/>
    <col min="14020" max="14020" width="6.42578125" style="3" customWidth="1"/>
    <col min="14021" max="14021" width="16" style="3" customWidth="1"/>
    <col min="14022" max="14022" width="2.85546875" style="3" customWidth="1"/>
    <col min="14023" max="14023" width="0.85546875" style="3" customWidth="1"/>
    <col min="14024" max="14024" width="11" style="3"/>
    <col min="14025" max="14025" width="15.42578125" style="3" customWidth="1"/>
    <col min="14026" max="14028" width="14.85546875" style="3" customWidth="1"/>
    <col min="14029" max="14029" width="0.7109375" style="3" customWidth="1"/>
    <col min="14030" max="14030" width="11" style="3"/>
    <col min="14031" max="14031" width="15.7109375" style="3" customWidth="1"/>
    <col min="14032" max="14033" width="14.85546875" style="3" customWidth="1"/>
    <col min="14034" max="14034" width="3.28515625" style="3" customWidth="1"/>
    <col min="14035" max="14035" width="20.140625" style="3" customWidth="1"/>
    <col min="14036" max="14036" width="3.28515625" style="3" customWidth="1"/>
    <col min="14037" max="14041" width="11" style="3"/>
    <col min="14042" max="14054" width="4.7109375" style="3" customWidth="1"/>
    <col min="14055" max="14264" width="11" style="3"/>
    <col min="14265" max="14265" width="0.7109375" style="3" customWidth="1"/>
    <col min="14266" max="14266" width="6.5703125" style="3" customWidth="1"/>
    <col min="14267" max="14267" width="13.5703125" style="3" customWidth="1"/>
    <col min="14268" max="14268" width="13.42578125" style="3" customWidth="1"/>
    <col min="14269" max="14270" width="12.5703125" style="3" customWidth="1"/>
    <col min="14271" max="14271" width="14.85546875" style="3" customWidth="1"/>
    <col min="14272" max="14272" width="20.7109375" style="3" customWidth="1"/>
    <col min="14273" max="14273" width="12.5703125" style="3" customWidth="1"/>
    <col min="14274" max="14274" width="13" style="3" customWidth="1"/>
    <col min="14275" max="14275" width="16" style="3" customWidth="1"/>
    <col min="14276" max="14276" width="6.42578125" style="3" customWidth="1"/>
    <col min="14277" max="14277" width="16" style="3" customWidth="1"/>
    <col min="14278" max="14278" width="2.85546875" style="3" customWidth="1"/>
    <col min="14279" max="14279" width="0.85546875" style="3" customWidth="1"/>
    <col min="14280" max="14280" width="11" style="3"/>
    <col min="14281" max="14281" width="15.42578125" style="3" customWidth="1"/>
    <col min="14282" max="14284" width="14.85546875" style="3" customWidth="1"/>
    <col min="14285" max="14285" width="0.7109375" style="3" customWidth="1"/>
    <col min="14286" max="14286" width="11" style="3"/>
    <col min="14287" max="14287" width="15.7109375" style="3" customWidth="1"/>
    <col min="14288" max="14289" width="14.85546875" style="3" customWidth="1"/>
    <col min="14290" max="14290" width="3.28515625" style="3" customWidth="1"/>
    <col min="14291" max="14291" width="20.140625" style="3" customWidth="1"/>
    <col min="14292" max="14292" width="3.28515625" style="3" customWidth="1"/>
    <col min="14293" max="14297" width="11" style="3"/>
    <col min="14298" max="14310" width="4.7109375" style="3" customWidth="1"/>
    <col min="14311" max="14520" width="11" style="3"/>
    <col min="14521" max="14521" width="0.7109375" style="3" customWidth="1"/>
    <col min="14522" max="14522" width="6.5703125" style="3" customWidth="1"/>
    <col min="14523" max="14523" width="13.5703125" style="3" customWidth="1"/>
    <col min="14524" max="14524" width="13.42578125" style="3" customWidth="1"/>
    <col min="14525" max="14526" width="12.5703125" style="3" customWidth="1"/>
    <col min="14527" max="14527" width="14.85546875" style="3" customWidth="1"/>
    <col min="14528" max="14528" width="20.7109375" style="3" customWidth="1"/>
    <col min="14529" max="14529" width="12.5703125" style="3" customWidth="1"/>
    <col min="14530" max="14530" width="13" style="3" customWidth="1"/>
    <col min="14531" max="14531" width="16" style="3" customWidth="1"/>
    <col min="14532" max="14532" width="6.42578125" style="3" customWidth="1"/>
    <col min="14533" max="14533" width="16" style="3" customWidth="1"/>
    <col min="14534" max="14534" width="2.85546875" style="3" customWidth="1"/>
    <col min="14535" max="14535" width="0.85546875" style="3" customWidth="1"/>
    <col min="14536" max="14536" width="11" style="3"/>
    <col min="14537" max="14537" width="15.42578125" style="3" customWidth="1"/>
    <col min="14538" max="14540" width="14.85546875" style="3" customWidth="1"/>
    <col min="14541" max="14541" width="0.7109375" style="3" customWidth="1"/>
    <col min="14542" max="14542" width="11" style="3"/>
    <col min="14543" max="14543" width="15.7109375" style="3" customWidth="1"/>
    <col min="14544" max="14545" width="14.85546875" style="3" customWidth="1"/>
    <col min="14546" max="14546" width="3.28515625" style="3" customWidth="1"/>
    <col min="14547" max="14547" width="20.140625" style="3" customWidth="1"/>
    <col min="14548" max="14548" width="3.28515625" style="3" customWidth="1"/>
    <col min="14549" max="14553" width="11" style="3"/>
    <col min="14554" max="14566" width="4.7109375" style="3" customWidth="1"/>
    <col min="14567" max="14776" width="11" style="3"/>
    <col min="14777" max="14777" width="0.7109375" style="3" customWidth="1"/>
    <col min="14778" max="14778" width="6.5703125" style="3" customWidth="1"/>
    <col min="14779" max="14779" width="13.5703125" style="3" customWidth="1"/>
    <col min="14780" max="14780" width="13.42578125" style="3" customWidth="1"/>
    <col min="14781" max="14782" width="12.5703125" style="3" customWidth="1"/>
    <col min="14783" max="14783" width="14.85546875" style="3" customWidth="1"/>
    <col min="14784" max="14784" width="20.7109375" style="3" customWidth="1"/>
    <col min="14785" max="14785" width="12.5703125" style="3" customWidth="1"/>
    <col min="14786" max="14786" width="13" style="3" customWidth="1"/>
    <col min="14787" max="14787" width="16" style="3" customWidth="1"/>
    <col min="14788" max="14788" width="6.42578125" style="3" customWidth="1"/>
    <col min="14789" max="14789" width="16" style="3" customWidth="1"/>
    <col min="14790" max="14790" width="2.85546875" style="3" customWidth="1"/>
    <col min="14791" max="14791" width="0.85546875" style="3" customWidth="1"/>
    <col min="14792" max="14792" width="11" style="3"/>
    <col min="14793" max="14793" width="15.42578125" style="3" customWidth="1"/>
    <col min="14794" max="14796" width="14.85546875" style="3" customWidth="1"/>
    <col min="14797" max="14797" width="0.7109375" style="3" customWidth="1"/>
    <col min="14798" max="14798" width="11" style="3"/>
    <col min="14799" max="14799" width="15.7109375" style="3" customWidth="1"/>
    <col min="14800" max="14801" width="14.85546875" style="3" customWidth="1"/>
    <col min="14802" max="14802" width="3.28515625" style="3" customWidth="1"/>
    <col min="14803" max="14803" width="20.140625" style="3" customWidth="1"/>
    <col min="14804" max="14804" width="3.28515625" style="3" customWidth="1"/>
    <col min="14805" max="14809" width="11" style="3"/>
    <col min="14810" max="14822" width="4.7109375" style="3" customWidth="1"/>
    <col min="14823" max="15032" width="11" style="3"/>
    <col min="15033" max="15033" width="0.7109375" style="3" customWidth="1"/>
    <col min="15034" max="15034" width="6.5703125" style="3" customWidth="1"/>
    <col min="15035" max="15035" width="13.5703125" style="3" customWidth="1"/>
    <col min="15036" max="15036" width="13.42578125" style="3" customWidth="1"/>
    <col min="15037" max="15038" width="12.5703125" style="3" customWidth="1"/>
    <col min="15039" max="15039" width="14.85546875" style="3" customWidth="1"/>
    <col min="15040" max="15040" width="20.7109375" style="3" customWidth="1"/>
    <col min="15041" max="15041" width="12.5703125" style="3" customWidth="1"/>
    <col min="15042" max="15042" width="13" style="3" customWidth="1"/>
    <col min="15043" max="15043" width="16" style="3" customWidth="1"/>
    <col min="15044" max="15044" width="6.42578125" style="3" customWidth="1"/>
    <col min="15045" max="15045" width="16" style="3" customWidth="1"/>
    <col min="15046" max="15046" width="2.85546875" style="3" customWidth="1"/>
    <col min="15047" max="15047" width="0.85546875" style="3" customWidth="1"/>
    <col min="15048" max="15048" width="11" style="3"/>
    <col min="15049" max="15049" width="15.42578125" style="3" customWidth="1"/>
    <col min="15050" max="15052" width="14.85546875" style="3" customWidth="1"/>
    <col min="15053" max="15053" width="0.7109375" style="3" customWidth="1"/>
    <col min="15054" max="15054" width="11" style="3"/>
    <col min="15055" max="15055" width="15.7109375" style="3" customWidth="1"/>
    <col min="15056" max="15057" width="14.85546875" style="3" customWidth="1"/>
    <col min="15058" max="15058" width="3.28515625" style="3" customWidth="1"/>
    <col min="15059" max="15059" width="20.140625" style="3" customWidth="1"/>
    <col min="15060" max="15060" width="3.28515625" style="3" customWidth="1"/>
    <col min="15061" max="15065" width="11" style="3"/>
    <col min="15066" max="15078" width="4.7109375" style="3" customWidth="1"/>
    <col min="15079" max="15288" width="11" style="3"/>
    <col min="15289" max="15289" width="0.7109375" style="3" customWidth="1"/>
    <col min="15290" max="15290" width="6.5703125" style="3" customWidth="1"/>
    <col min="15291" max="15291" width="13.5703125" style="3" customWidth="1"/>
    <col min="15292" max="15292" width="13.42578125" style="3" customWidth="1"/>
    <col min="15293" max="15294" width="12.5703125" style="3" customWidth="1"/>
    <col min="15295" max="15295" width="14.85546875" style="3" customWidth="1"/>
    <col min="15296" max="15296" width="20.7109375" style="3" customWidth="1"/>
    <col min="15297" max="15297" width="12.5703125" style="3" customWidth="1"/>
    <col min="15298" max="15298" width="13" style="3" customWidth="1"/>
    <col min="15299" max="15299" width="16" style="3" customWidth="1"/>
    <col min="15300" max="15300" width="6.42578125" style="3" customWidth="1"/>
    <col min="15301" max="15301" width="16" style="3" customWidth="1"/>
    <col min="15302" max="15302" width="2.85546875" style="3" customWidth="1"/>
    <col min="15303" max="15303" width="0.85546875" style="3" customWidth="1"/>
    <col min="15304" max="15304" width="11" style="3"/>
    <col min="15305" max="15305" width="15.42578125" style="3" customWidth="1"/>
    <col min="15306" max="15308" width="14.85546875" style="3" customWidth="1"/>
    <col min="15309" max="15309" width="0.7109375" style="3" customWidth="1"/>
    <col min="15310" max="15310" width="11" style="3"/>
    <col min="15311" max="15311" width="15.7109375" style="3" customWidth="1"/>
    <col min="15312" max="15313" width="14.85546875" style="3" customWidth="1"/>
    <col min="15314" max="15314" width="3.28515625" style="3" customWidth="1"/>
    <col min="15315" max="15315" width="20.140625" style="3" customWidth="1"/>
    <col min="15316" max="15316" width="3.28515625" style="3" customWidth="1"/>
    <col min="15317" max="15321" width="11" style="3"/>
    <col min="15322" max="15334" width="4.7109375" style="3" customWidth="1"/>
    <col min="15335" max="15544" width="11" style="3"/>
    <col min="15545" max="15545" width="0.7109375" style="3" customWidth="1"/>
    <col min="15546" max="15546" width="6.5703125" style="3" customWidth="1"/>
    <col min="15547" max="15547" width="13.5703125" style="3" customWidth="1"/>
    <col min="15548" max="15548" width="13.42578125" style="3" customWidth="1"/>
    <col min="15549" max="15550" width="12.5703125" style="3" customWidth="1"/>
    <col min="15551" max="15551" width="14.85546875" style="3" customWidth="1"/>
    <col min="15552" max="15552" width="20.7109375" style="3" customWidth="1"/>
    <col min="15553" max="15553" width="12.5703125" style="3" customWidth="1"/>
    <col min="15554" max="15554" width="13" style="3" customWidth="1"/>
    <col min="15555" max="15555" width="16" style="3" customWidth="1"/>
    <col min="15556" max="15556" width="6.42578125" style="3" customWidth="1"/>
    <col min="15557" max="15557" width="16" style="3" customWidth="1"/>
    <col min="15558" max="15558" width="2.85546875" style="3" customWidth="1"/>
    <col min="15559" max="15559" width="0.85546875" style="3" customWidth="1"/>
    <col min="15560" max="15560" width="11" style="3"/>
    <col min="15561" max="15561" width="15.42578125" style="3" customWidth="1"/>
    <col min="15562" max="15564" width="14.85546875" style="3" customWidth="1"/>
    <col min="15565" max="15565" width="0.7109375" style="3" customWidth="1"/>
    <col min="15566" max="15566" width="11" style="3"/>
    <col min="15567" max="15567" width="15.7109375" style="3" customWidth="1"/>
    <col min="15568" max="15569" width="14.85546875" style="3" customWidth="1"/>
    <col min="15570" max="15570" width="3.28515625" style="3" customWidth="1"/>
    <col min="15571" max="15571" width="20.140625" style="3" customWidth="1"/>
    <col min="15572" max="15572" width="3.28515625" style="3" customWidth="1"/>
    <col min="15573" max="15577" width="11" style="3"/>
    <col min="15578" max="15590" width="4.7109375" style="3" customWidth="1"/>
    <col min="15591" max="15800" width="11" style="3"/>
    <col min="15801" max="15801" width="0.7109375" style="3" customWidth="1"/>
    <col min="15802" max="15802" width="6.5703125" style="3" customWidth="1"/>
    <col min="15803" max="15803" width="13.5703125" style="3" customWidth="1"/>
    <col min="15804" max="15804" width="13.42578125" style="3" customWidth="1"/>
    <col min="15805" max="15806" width="12.5703125" style="3" customWidth="1"/>
    <col min="15807" max="15807" width="14.85546875" style="3" customWidth="1"/>
    <col min="15808" max="15808" width="20.7109375" style="3" customWidth="1"/>
    <col min="15809" max="15809" width="12.5703125" style="3" customWidth="1"/>
    <col min="15810" max="15810" width="13" style="3" customWidth="1"/>
    <col min="15811" max="15811" width="16" style="3" customWidth="1"/>
    <col min="15812" max="15812" width="6.42578125" style="3" customWidth="1"/>
    <col min="15813" max="15813" width="16" style="3" customWidth="1"/>
    <col min="15814" max="15814" width="2.85546875" style="3" customWidth="1"/>
    <col min="15815" max="15815" width="0.85546875" style="3" customWidth="1"/>
    <col min="15816" max="15816" width="11" style="3"/>
    <col min="15817" max="15817" width="15.42578125" style="3" customWidth="1"/>
    <col min="15818" max="15820" width="14.85546875" style="3" customWidth="1"/>
    <col min="15821" max="15821" width="0.7109375" style="3" customWidth="1"/>
    <col min="15822" max="15822" width="11" style="3"/>
    <col min="15823" max="15823" width="15.7109375" style="3" customWidth="1"/>
    <col min="15824" max="15825" width="14.85546875" style="3" customWidth="1"/>
    <col min="15826" max="15826" width="3.28515625" style="3" customWidth="1"/>
    <col min="15827" max="15827" width="20.140625" style="3" customWidth="1"/>
    <col min="15828" max="15828" width="3.28515625" style="3" customWidth="1"/>
    <col min="15829" max="15833" width="11" style="3"/>
    <col min="15834" max="15846" width="4.7109375" style="3" customWidth="1"/>
    <col min="15847" max="16056" width="11" style="3"/>
    <col min="16057" max="16057" width="0.7109375" style="3" customWidth="1"/>
    <col min="16058" max="16058" width="6.5703125" style="3" customWidth="1"/>
    <col min="16059" max="16059" width="13.5703125" style="3" customWidth="1"/>
    <col min="16060" max="16060" width="13.42578125" style="3" customWidth="1"/>
    <col min="16061" max="16062" width="12.5703125" style="3" customWidth="1"/>
    <col min="16063" max="16063" width="14.85546875" style="3" customWidth="1"/>
    <col min="16064" max="16064" width="20.7109375" style="3" customWidth="1"/>
    <col min="16065" max="16065" width="12.5703125" style="3" customWidth="1"/>
    <col min="16066" max="16066" width="13" style="3" customWidth="1"/>
    <col min="16067" max="16067" width="16" style="3" customWidth="1"/>
    <col min="16068" max="16068" width="6.42578125" style="3" customWidth="1"/>
    <col min="16069" max="16069" width="16" style="3" customWidth="1"/>
    <col min="16070" max="16070" width="2.85546875" style="3" customWidth="1"/>
    <col min="16071" max="16071" width="0.85546875" style="3" customWidth="1"/>
    <col min="16072" max="16072" width="11" style="3"/>
    <col min="16073" max="16073" width="15.42578125" style="3" customWidth="1"/>
    <col min="16074" max="16076" width="14.85546875" style="3" customWidth="1"/>
    <col min="16077" max="16077" width="0.7109375" style="3" customWidth="1"/>
    <col min="16078" max="16078" width="11" style="3"/>
    <col min="16079" max="16079" width="15.7109375" style="3" customWidth="1"/>
    <col min="16080" max="16081" width="14.85546875" style="3" customWidth="1"/>
    <col min="16082" max="16082" width="3.28515625" style="3" customWidth="1"/>
    <col min="16083" max="16083" width="20.140625" style="3" customWidth="1"/>
    <col min="16084" max="16084" width="3.28515625" style="3" customWidth="1"/>
    <col min="16085" max="16089" width="11" style="3"/>
    <col min="16090" max="16102" width="4.7109375" style="3" customWidth="1"/>
    <col min="16103" max="16384" width="11" style="3"/>
  </cols>
  <sheetData>
    <row r="1" spans="1:28" s="1" customFormat="1" ht="19.5" customHeight="1">
      <c r="A1" s="236"/>
      <c r="B1" s="237"/>
      <c r="C1" s="179" t="s">
        <v>0</v>
      </c>
      <c r="D1" s="179"/>
      <c r="E1" s="179"/>
      <c r="F1" s="179"/>
      <c r="G1" s="179"/>
      <c r="H1" s="179"/>
      <c r="I1" s="179"/>
      <c r="J1" s="179"/>
      <c r="K1" s="180" t="s">
        <v>1</v>
      </c>
      <c r="L1" s="181"/>
      <c r="O1" s="80"/>
      <c r="P1" s="80"/>
      <c r="Q1" s="80"/>
      <c r="R1" s="80"/>
      <c r="S1" s="80"/>
      <c r="T1" s="80"/>
      <c r="U1" s="80"/>
      <c r="V1" s="80"/>
      <c r="W1" s="80"/>
      <c r="X1" s="80"/>
      <c r="Y1" s="80"/>
      <c r="Z1" s="80"/>
      <c r="AA1" s="80"/>
    </row>
    <row r="2" spans="1:28" s="1" customFormat="1" ht="19.5" customHeight="1">
      <c r="A2" s="238"/>
      <c r="B2" s="186"/>
      <c r="C2" s="241" t="s">
        <v>2</v>
      </c>
      <c r="D2" s="241"/>
      <c r="E2" s="241"/>
      <c r="F2" s="241"/>
      <c r="G2" s="241"/>
      <c r="H2" s="241"/>
      <c r="I2" s="241"/>
      <c r="J2" s="241"/>
      <c r="K2" s="182" t="s">
        <v>89</v>
      </c>
      <c r="L2" s="183"/>
      <c r="O2" s="80"/>
      <c r="P2" s="80"/>
      <c r="Q2" s="80"/>
      <c r="R2" s="80"/>
      <c r="S2" s="80"/>
      <c r="T2" s="80"/>
      <c r="U2" s="80"/>
      <c r="V2" s="80"/>
      <c r="W2" s="80"/>
      <c r="X2" s="80"/>
      <c r="Y2" s="80"/>
      <c r="Z2" s="80"/>
      <c r="AA2" s="80"/>
    </row>
    <row r="3" spans="1:28" s="1" customFormat="1" ht="19.5" customHeight="1">
      <c r="A3" s="238"/>
      <c r="B3" s="186"/>
      <c r="C3" s="241"/>
      <c r="D3" s="241"/>
      <c r="E3" s="241"/>
      <c r="F3" s="241"/>
      <c r="G3" s="241"/>
      <c r="H3" s="241"/>
      <c r="I3" s="241"/>
      <c r="J3" s="241"/>
      <c r="K3" s="182" t="s">
        <v>3</v>
      </c>
      <c r="L3" s="183"/>
      <c r="Q3" s="132"/>
      <c r="R3" s="80"/>
      <c r="T3" s="132" t="s">
        <v>4</v>
      </c>
      <c r="U3" s="132"/>
      <c r="V3" s="80"/>
      <c r="W3" s="80"/>
      <c r="X3" s="80"/>
      <c r="Y3" s="80"/>
      <c r="Z3" s="80"/>
      <c r="AA3" s="80"/>
    </row>
    <row r="4" spans="1:28" s="1" customFormat="1" ht="19.5" customHeight="1" thickBot="1">
      <c r="A4" s="239"/>
      <c r="B4" s="240"/>
      <c r="C4" s="242"/>
      <c r="D4" s="242"/>
      <c r="E4" s="242"/>
      <c r="F4" s="242"/>
      <c r="G4" s="242"/>
      <c r="H4" s="242"/>
      <c r="I4" s="242"/>
      <c r="J4" s="242"/>
      <c r="K4" s="184" t="s">
        <v>88</v>
      </c>
      <c r="L4" s="185"/>
      <c r="Q4" s="132"/>
      <c r="R4" s="80"/>
      <c r="S4" s="132"/>
      <c r="T4" s="132"/>
      <c r="U4" s="132"/>
      <c r="V4" s="80"/>
      <c r="W4" s="80"/>
      <c r="X4" s="80"/>
      <c r="Y4" s="80"/>
      <c r="Z4" s="80"/>
      <c r="AA4" s="80"/>
    </row>
    <row r="5" spans="1:28" s="1" customFormat="1" ht="3.95" customHeight="1" thickBot="1">
      <c r="A5" s="5"/>
      <c r="B5" s="186"/>
      <c r="C5" s="186"/>
      <c r="D5" s="186"/>
      <c r="E5" s="186"/>
      <c r="F5" s="186"/>
      <c r="G5" s="186"/>
      <c r="H5" s="186"/>
      <c r="I5" s="186"/>
      <c r="J5" s="186"/>
      <c r="K5" s="186"/>
      <c r="L5" s="81"/>
      <c r="Q5" s="132"/>
      <c r="R5" s="132"/>
      <c r="T5" s="132"/>
      <c r="U5" s="132"/>
      <c r="V5" s="80"/>
      <c r="W5" s="80"/>
      <c r="X5" s="80"/>
      <c r="Y5" s="80"/>
      <c r="Z5" s="80"/>
      <c r="AA5" s="80"/>
      <c r="AB5" s="80"/>
    </row>
    <row r="6" spans="1:28" s="1" customFormat="1" ht="22.5" customHeight="1">
      <c r="A6" s="6"/>
      <c r="B6" s="7" t="s">
        <v>5</v>
      </c>
      <c r="C6" s="273" t="s">
        <v>91</v>
      </c>
      <c r="D6" s="273"/>
      <c r="E6" s="273"/>
      <c r="F6" s="273"/>
      <c r="G6" s="273"/>
      <c r="H6" s="188" t="s">
        <v>6</v>
      </c>
      <c r="I6" s="188"/>
      <c r="J6" s="189">
        <v>45884</v>
      </c>
      <c r="K6" s="189"/>
      <c r="L6" s="190"/>
      <c r="Q6" s="80"/>
      <c r="R6" s="80"/>
      <c r="T6" s="133" t="s">
        <v>7</v>
      </c>
      <c r="U6" s="80"/>
      <c r="V6" s="80"/>
      <c r="W6" s="80"/>
      <c r="X6" s="80"/>
      <c r="Y6" s="80"/>
      <c r="Z6" s="80"/>
      <c r="AA6" s="80"/>
      <c r="AB6" s="80"/>
    </row>
    <row r="7" spans="1:28" s="1" customFormat="1" ht="24.75" customHeight="1">
      <c r="A7" s="5"/>
      <c r="B7" s="9" t="s">
        <v>8</v>
      </c>
      <c r="C7" s="274" t="s">
        <v>92</v>
      </c>
      <c r="D7" s="274"/>
      <c r="E7" s="274"/>
      <c r="F7" s="274"/>
      <c r="G7" s="274"/>
      <c r="H7" s="192" t="s">
        <v>9</v>
      </c>
      <c r="I7" s="192"/>
      <c r="J7" s="193">
        <v>45922</v>
      </c>
      <c r="K7" s="193"/>
      <c r="L7" s="194"/>
      <c r="Q7" s="80"/>
      <c r="R7" s="80"/>
      <c r="T7" s="133" t="s">
        <v>102</v>
      </c>
      <c r="U7" s="80"/>
      <c r="V7" s="80"/>
      <c r="W7" s="80"/>
      <c r="X7" s="80"/>
      <c r="Y7" s="80"/>
      <c r="Z7" s="80"/>
      <c r="AA7" s="80"/>
      <c r="AB7" s="80"/>
    </row>
    <row r="8" spans="1:28" s="1" customFormat="1" ht="22.5" customHeight="1">
      <c r="A8" s="5"/>
      <c r="B8" s="9" t="s">
        <v>11</v>
      </c>
      <c r="C8" s="271" t="s">
        <v>12</v>
      </c>
      <c r="D8" s="272"/>
      <c r="E8" s="272"/>
      <c r="F8" s="272"/>
      <c r="G8" s="272"/>
      <c r="H8" s="192" t="s">
        <v>13</v>
      </c>
      <c r="I8" s="192"/>
      <c r="J8" s="193">
        <v>45932</v>
      </c>
      <c r="K8" s="193"/>
      <c r="L8" s="194"/>
      <c r="Q8" s="80"/>
      <c r="R8" s="80"/>
      <c r="S8" s="1">
        <f>17-2.57</f>
        <v>14.43</v>
      </c>
      <c r="T8" s="133" t="s">
        <v>14</v>
      </c>
      <c r="U8" s="80"/>
      <c r="V8" s="80"/>
      <c r="W8" s="80"/>
      <c r="X8" s="80"/>
      <c r="Y8" s="80"/>
      <c r="Z8" s="80"/>
      <c r="AA8" s="80"/>
      <c r="AB8" s="80"/>
    </row>
    <row r="9" spans="1:28" s="1" customFormat="1" ht="22.5" customHeight="1">
      <c r="A9" s="5"/>
      <c r="B9" s="9" t="s">
        <v>15</v>
      </c>
      <c r="C9" s="202" t="s">
        <v>93</v>
      </c>
      <c r="D9" s="202"/>
      <c r="E9" s="202"/>
      <c r="F9" s="202"/>
      <c r="G9" s="202"/>
      <c r="H9" s="192" t="s">
        <v>16</v>
      </c>
      <c r="I9" s="192"/>
      <c r="J9" s="82" t="s">
        <v>17</v>
      </c>
      <c r="K9" s="83" t="s">
        <v>90</v>
      </c>
      <c r="L9" s="84" t="s">
        <v>85</v>
      </c>
      <c r="Q9" s="80"/>
      <c r="R9" s="80"/>
      <c r="T9" s="133" t="s">
        <v>18</v>
      </c>
      <c r="U9" s="80"/>
      <c r="V9" s="80"/>
      <c r="W9" s="80"/>
      <c r="X9" s="80"/>
      <c r="Y9" s="80"/>
      <c r="Z9" s="80"/>
      <c r="AA9" s="80"/>
      <c r="AB9" s="80"/>
    </row>
    <row r="10" spans="1:28" s="1" customFormat="1" ht="22.5" customHeight="1">
      <c r="A10" s="5"/>
      <c r="B10" s="10" t="s">
        <v>19</v>
      </c>
      <c r="C10" s="202" t="s">
        <v>20</v>
      </c>
      <c r="D10" s="202"/>
      <c r="E10" s="202"/>
      <c r="F10" s="202"/>
      <c r="G10" s="202"/>
      <c r="H10" s="196" t="s">
        <v>21</v>
      </c>
      <c r="I10" s="196"/>
      <c r="J10" s="197" t="str">
        <f>CONCATENATE(K9,," ",L9,"-",D12,"-",F12)</f>
        <v>056 25-PALMA SECA AP2-3</v>
      </c>
      <c r="K10" s="197"/>
      <c r="L10" s="198"/>
      <c r="Q10" s="80"/>
      <c r="R10" s="80"/>
      <c r="T10" s="133" t="s">
        <v>22</v>
      </c>
      <c r="U10" s="80"/>
      <c r="V10" s="80"/>
      <c r="W10" s="80"/>
      <c r="X10" s="80"/>
      <c r="Y10" s="80"/>
      <c r="Z10" s="80"/>
      <c r="AA10" s="80"/>
      <c r="AB10" s="80"/>
    </row>
    <row r="11" spans="1:28" s="1" customFormat="1" ht="3.95" customHeight="1" thickBot="1">
      <c r="A11" s="11"/>
      <c r="B11" s="199"/>
      <c r="C11" s="199"/>
      <c r="D11" s="199"/>
      <c r="E11" s="199"/>
      <c r="F11" s="199"/>
      <c r="G11" s="199"/>
      <c r="H11" s="199"/>
      <c r="I11" s="199"/>
      <c r="J11" s="199"/>
      <c r="K11" s="199"/>
      <c r="L11" s="85"/>
      <c r="Q11" s="80"/>
      <c r="R11" s="80"/>
      <c r="T11" s="133"/>
      <c r="U11" s="80"/>
      <c r="V11" s="80"/>
      <c r="W11" s="80"/>
      <c r="X11" s="80"/>
      <c r="Y11" s="80"/>
      <c r="Z11" s="80"/>
      <c r="AA11" s="80"/>
      <c r="AB11" s="80"/>
    </row>
    <row r="12" spans="1:28" s="1" customFormat="1" ht="22.5" customHeight="1">
      <c r="A12" s="6"/>
      <c r="B12" s="7" t="s">
        <v>23</v>
      </c>
      <c r="C12" s="12" t="s">
        <v>102</v>
      </c>
      <c r="D12" s="13" t="s">
        <v>103</v>
      </c>
      <c r="E12" s="14" t="s">
        <v>24</v>
      </c>
      <c r="F12" s="200">
        <v>3</v>
      </c>
      <c r="G12" s="200"/>
      <c r="H12" s="201" t="s">
        <v>25</v>
      </c>
      <c r="I12" s="201"/>
      <c r="J12" s="86">
        <v>1.8</v>
      </c>
      <c r="K12" s="87" t="s">
        <v>26</v>
      </c>
      <c r="L12" s="88">
        <v>2</v>
      </c>
      <c r="Q12" s="80"/>
      <c r="R12" s="80"/>
      <c r="T12" s="133"/>
      <c r="U12" s="80"/>
      <c r="V12" s="80"/>
      <c r="W12" s="80"/>
      <c r="X12" s="80"/>
      <c r="Y12" s="80"/>
      <c r="Z12" s="80"/>
      <c r="AA12" s="80"/>
      <c r="AB12" s="80"/>
    </row>
    <row r="13" spans="1:28" s="1" customFormat="1" ht="22.5" customHeight="1">
      <c r="A13" s="5"/>
      <c r="B13" s="9" t="s">
        <v>27</v>
      </c>
      <c r="C13" s="202" t="s">
        <v>107</v>
      </c>
      <c r="D13" s="202"/>
      <c r="E13" s="202"/>
      <c r="F13" s="202"/>
      <c r="G13" s="202"/>
      <c r="H13" s="202"/>
      <c r="I13" s="202"/>
      <c r="J13" s="202"/>
      <c r="K13" s="202"/>
      <c r="L13" s="203"/>
      <c r="O13" s="1">
        <f>-MOD1</f>
        <v>0</v>
      </c>
      <c r="Q13" s="80"/>
      <c r="R13" s="80"/>
      <c r="T13" s="133"/>
      <c r="U13" s="80"/>
      <c r="V13" s="80"/>
      <c r="W13" s="80"/>
      <c r="X13" s="80"/>
      <c r="Y13" s="80"/>
      <c r="Z13" s="80"/>
      <c r="AA13" s="80"/>
      <c r="AB13" s="80"/>
    </row>
    <row r="14" spans="1:28" s="1" customFormat="1" ht="6.95" customHeight="1" thickBot="1">
      <c r="A14" s="11"/>
      <c r="B14" s="15"/>
      <c r="C14" s="16"/>
      <c r="D14" s="16"/>
      <c r="E14" s="16"/>
      <c r="F14" s="16"/>
      <c r="G14" s="16"/>
      <c r="H14" s="16"/>
      <c r="I14" s="16"/>
      <c r="J14" s="16"/>
      <c r="K14" s="16"/>
      <c r="L14" s="89"/>
      <c r="P14" s="80"/>
      <c r="Q14" s="80"/>
      <c r="R14" s="80"/>
      <c r="S14" s="80"/>
      <c r="T14" s="80"/>
      <c r="U14" s="80"/>
      <c r="V14" s="80"/>
      <c r="W14" s="80"/>
      <c r="X14" s="80"/>
      <c r="Y14" s="80"/>
      <c r="Z14" s="80"/>
      <c r="AA14" s="80"/>
      <c r="AB14" s="80"/>
    </row>
    <row r="15" spans="1:28" ht="14.25" customHeight="1" thickBot="1">
      <c r="A15" s="17"/>
      <c r="B15" s="18"/>
      <c r="C15" s="18"/>
      <c r="D15" s="18"/>
      <c r="E15" s="18"/>
      <c r="F15" s="18"/>
      <c r="G15" s="18"/>
      <c r="H15" s="18"/>
      <c r="I15" s="18"/>
      <c r="J15" s="18"/>
      <c r="K15" s="18"/>
      <c r="L15" s="90"/>
    </row>
    <row r="16" spans="1:28" ht="22.5" customHeight="1" thickBot="1">
      <c r="A16" s="204"/>
      <c r="B16" s="205"/>
      <c r="C16" s="205"/>
      <c r="D16" s="205"/>
      <c r="E16" s="205"/>
      <c r="F16" s="205"/>
      <c r="G16" s="205"/>
      <c r="H16" s="205"/>
      <c r="I16" s="205"/>
      <c r="J16" s="205"/>
      <c r="K16" s="205"/>
      <c r="L16" s="206"/>
    </row>
    <row r="17" spans="1:19" ht="22.5" customHeight="1" thickBot="1">
      <c r="A17" s="17"/>
      <c r="B17" s="18"/>
      <c r="C17" s="18"/>
      <c r="D17" s="18"/>
      <c r="E17" s="18"/>
      <c r="F17" s="18"/>
      <c r="G17" s="19"/>
      <c r="H17" s="19"/>
      <c r="I17" s="19"/>
      <c r="J17" s="19"/>
      <c r="K17" s="19"/>
      <c r="L17" s="91"/>
    </row>
    <row r="18" spans="1:19" s="2" customFormat="1" ht="22.5" customHeight="1" thickBot="1">
      <c r="A18" s="207" t="s">
        <v>28</v>
      </c>
      <c r="B18" s="208"/>
      <c r="C18" s="208"/>
      <c r="D18" s="208"/>
      <c r="E18" s="209"/>
      <c r="F18" s="20"/>
      <c r="G18" s="207" t="s">
        <v>28</v>
      </c>
      <c r="H18" s="208"/>
      <c r="I18" s="208"/>
      <c r="J18" s="208"/>
      <c r="K18" s="208"/>
      <c r="L18" s="209"/>
      <c r="O18" s="92"/>
    </row>
    <row r="19" spans="1:19" s="2" customFormat="1" ht="27.75" customHeight="1" thickBot="1">
      <c r="A19" s="210"/>
      <c r="B19" s="211"/>
      <c r="C19" s="211"/>
      <c r="D19" s="22" t="s">
        <v>29</v>
      </c>
      <c r="E19" s="23" t="s">
        <v>30</v>
      </c>
      <c r="F19" s="24"/>
      <c r="G19" s="243" t="s">
        <v>31</v>
      </c>
      <c r="H19" s="244"/>
      <c r="I19" s="212" t="s">
        <v>32</v>
      </c>
      <c r="J19" s="213"/>
      <c r="K19" s="214" t="s">
        <v>33</v>
      </c>
      <c r="L19" s="215"/>
    </row>
    <row r="20" spans="1:19" s="2" customFormat="1" ht="22.5" customHeight="1">
      <c r="A20" s="216" t="s">
        <v>34</v>
      </c>
      <c r="B20" s="217"/>
      <c r="C20" s="25"/>
      <c r="D20" s="26">
        <v>553</v>
      </c>
      <c r="E20" s="27">
        <v>553</v>
      </c>
      <c r="F20" s="28"/>
      <c r="G20" s="245"/>
      <c r="H20" s="246"/>
      <c r="I20" s="93" t="s">
        <v>35</v>
      </c>
      <c r="J20" s="168" t="s">
        <v>36</v>
      </c>
      <c r="K20" s="95" t="s">
        <v>37</v>
      </c>
      <c r="L20" s="150" t="s">
        <v>36</v>
      </c>
      <c r="N20" s="92"/>
    </row>
    <row r="21" spans="1:19" s="2" customFormat="1" ht="22.5" customHeight="1">
      <c r="A21" s="216" t="s">
        <v>38</v>
      </c>
      <c r="B21" s="217"/>
      <c r="C21" s="25" t="s">
        <v>39</v>
      </c>
      <c r="D21" s="160">
        <v>15.63</v>
      </c>
      <c r="E21" s="161">
        <f>D21</f>
        <v>15.63</v>
      </c>
      <c r="F21" s="31"/>
      <c r="G21" s="96" t="s">
        <v>40</v>
      </c>
      <c r="H21" s="32" t="s">
        <v>41</v>
      </c>
      <c r="I21" s="96" t="s">
        <v>42</v>
      </c>
      <c r="J21" s="151" t="s">
        <v>43</v>
      </c>
      <c r="K21" s="96" t="s">
        <v>42</v>
      </c>
      <c r="L21" s="151" t="s">
        <v>43</v>
      </c>
      <c r="N21" s="97"/>
    </row>
    <row r="22" spans="1:19" s="2" customFormat="1" ht="22.5" customHeight="1">
      <c r="A22" s="216" t="s">
        <v>44</v>
      </c>
      <c r="B22" s="217"/>
      <c r="C22" s="25" t="s">
        <v>39</v>
      </c>
      <c r="D22" s="160">
        <v>16.420000000000002</v>
      </c>
      <c r="E22" s="161">
        <f>D22+E39</f>
        <v>16.420000000000002</v>
      </c>
      <c r="F22" s="31"/>
      <c r="G22" s="145">
        <v>0</v>
      </c>
      <c r="H22" s="33">
        <v>0</v>
      </c>
      <c r="I22" s="144">
        <v>0</v>
      </c>
      <c r="J22" s="152">
        <v>0</v>
      </c>
      <c r="K22" s="144">
        <v>0</v>
      </c>
      <c r="L22" s="152">
        <v>0</v>
      </c>
      <c r="N22" s="97"/>
      <c r="O22" s="2">
        <v>0.14799999999999999</v>
      </c>
      <c r="S22" s="2">
        <v>3.5000000000000003E-2</v>
      </c>
    </row>
    <row r="23" spans="1:19" s="2" customFormat="1" ht="22.5" customHeight="1">
      <c r="A23" s="216" t="s">
        <v>45</v>
      </c>
      <c r="B23" s="217"/>
      <c r="C23" s="34" t="s">
        <v>46</v>
      </c>
      <c r="D23" s="35">
        <v>9482</v>
      </c>
      <c r="E23" s="36">
        <v>9638</v>
      </c>
      <c r="F23" s="31"/>
      <c r="G23" s="145">
        <v>5.0000000000000001E-3</v>
      </c>
      <c r="H23" s="33">
        <v>0.127</v>
      </c>
      <c r="I23" s="144">
        <v>0.14799999999999999</v>
      </c>
      <c r="J23" s="153">
        <f t="shared" ref="J23:J34" si="0">((I23/19.32)*10)</f>
        <v>7.6604554865424432E-2</v>
      </c>
      <c r="K23" s="98">
        <v>3.5000000000000003E-2</v>
      </c>
      <c r="L23" s="153">
        <f t="shared" ref="L23:L34" si="1">((K23/19.32)*10)</f>
        <v>1.8115942028985511E-2</v>
      </c>
      <c r="N23" s="97"/>
      <c r="O23" s="2">
        <v>0.30399999999999999</v>
      </c>
      <c r="S23" s="2">
        <v>8.3000000000000004E-2</v>
      </c>
    </row>
    <row r="24" spans="1:19" s="2" customFormat="1" ht="22.5" customHeight="1">
      <c r="A24" s="216" t="s">
        <v>47</v>
      </c>
      <c r="B24" s="217"/>
      <c r="C24" s="34" t="s">
        <v>46</v>
      </c>
      <c r="D24" s="35">
        <v>3676</v>
      </c>
      <c r="E24" s="37">
        <f>D24</f>
        <v>3676</v>
      </c>
      <c r="F24" s="38"/>
      <c r="G24" s="145">
        <v>2.5000000000000001E-2</v>
      </c>
      <c r="H24" s="33">
        <v>0.63500000000000001</v>
      </c>
      <c r="I24" s="144">
        <v>0.30399999999999999</v>
      </c>
      <c r="J24" s="153">
        <f t="shared" si="0"/>
        <v>0.15734989648033126</v>
      </c>
      <c r="K24" s="98">
        <v>8.3000000000000004E-2</v>
      </c>
      <c r="L24" s="153">
        <f t="shared" si="1"/>
        <v>4.296066252587992E-2</v>
      </c>
      <c r="N24" s="97"/>
      <c r="O24" s="2">
        <v>0.49099999999999999</v>
      </c>
      <c r="S24" s="2">
        <v>0.113</v>
      </c>
    </row>
    <row r="25" spans="1:19" s="2" customFormat="1" ht="22.5" customHeight="1">
      <c r="A25" s="216" t="s">
        <v>48</v>
      </c>
      <c r="B25" s="217"/>
      <c r="C25" s="34" t="s">
        <v>46</v>
      </c>
      <c r="D25" s="39">
        <f>+D23-D24</f>
        <v>5806</v>
      </c>
      <c r="E25" s="40">
        <f>E23-E24</f>
        <v>5962</v>
      </c>
      <c r="F25" s="41"/>
      <c r="G25" s="145">
        <v>0.05</v>
      </c>
      <c r="H25" s="33">
        <v>1.27</v>
      </c>
      <c r="I25" s="144">
        <v>0.49099999999999999</v>
      </c>
      <c r="J25" s="153">
        <f t="shared" si="0"/>
        <v>0.25414078674948237</v>
      </c>
      <c r="K25" s="98">
        <v>0.113</v>
      </c>
      <c r="L25" s="153">
        <f t="shared" si="1"/>
        <v>5.8488612836438927E-2</v>
      </c>
      <c r="N25" s="97"/>
      <c r="O25" s="2">
        <v>0.64600000000000002</v>
      </c>
      <c r="S25" s="2">
        <v>0.14299999999999999</v>
      </c>
    </row>
    <row r="26" spans="1:19" s="2" customFormat="1" ht="22.5" customHeight="1">
      <c r="A26" s="216" t="s">
        <v>49</v>
      </c>
      <c r="B26" s="217"/>
      <c r="C26" s="34" t="s">
        <v>50</v>
      </c>
      <c r="D26" s="39">
        <f>((PI()*(D21*D21))/4)*D22</f>
        <v>3150.5109267041917</v>
      </c>
      <c r="E26" s="40">
        <f>((PI()*(E21*E21))/4)*E22</f>
        <v>3150.5109267041917</v>
      </c>
      <c r="F26" s="41"/>
      <c r="G26" s="145">
        <v>7.4999999999999997E-2</v>
      </c>
      <c r="H26" s="33">
        <v>1.905</v>
      </c>
      <c r="I26" s="144">
        <v>0.64600000000000002</v>
      </c>
      <c r="J26" s="153">
        <f t="shared" si="0"/>
        <v>0.33436853002070394</v>
      </c>
      <c r="K26" s="98">
        <v>0.14299999999999999</v>
      </c>
      <c r="L26" s="153">
        <f t="shared" si="1"/>
        <v>7.4016563146997921E-2</v>
      </c>
      <c r="N26" s="97"/>
      <c r="O26" s="2">
        <v>0.77600000000000002</v>
      </c>
      <c r="S26" s="2">
        <v>0.16600000000000001</v>
      </c>
    </row>
    <row r="27" spans="1:19" s="2" customFormat="1" ht="22.5" customHeight="1">
      <c r="A27" s="216" t="s">
        <v>51</v>
      </c>
      <c r="B27" s="217"/>
      <c r="C27" s="34" t="s">
        <v>52</v>
      </c>
      <c r="D27" s="42">
        <f>D25/D26</f>
        <v>1.8428756906657566</v>
      </c>
      <c r="E27" s="43">
        <f>E25/E26</f>
        <v>1.8923914687821635</v>
      </c>
      <c r="F27" s="44"/>
      <c r="G27" s="146">
        <v>0.1</v>
      </c>
      <c r="H27" s="45">
        <v>2.54</v>
      </c>
      <c r="I27" s="154">
        <v>0.77600000000000002</v>
      </c>
      <c r="J27" s="155">
        <f t="shared" si="0"/>
        <v>0.40165631469979302</v>
      </c>
      <c r="K27" s="158">
        <v>0.16600000000000001</v>
      </c>
      <c r="L27" s="155">
        <f t="shared" si="1"/>
        <v>8.5921325051759839E-2</v>
      </c>
      <c r="N27" s="97"/>
      <c r="O27" s="2">
        <v>0.874</v>
      </c>
      <c r="S27" s="2">
        <v>0.185</v>
      </c>
    </row>
    <row r="28" spans="1:19" s="2" customFormat="1" ht="22.5" customHeight="1" thickBot="1">
      <c r="A28" s="218" t="s">
        <v>53</v>
      </c>
      <c r="B28" s="219"/>
      <c r="C28" s="46" t="s">
        <v>52</v>
      </c>
      <c r="D28" s="47">
        <f>D27/(1+D34/100)</f>
        <v>1.4300073081900526</v>
      </c>
      <c r="E28" s="48">
        <f>E27/(1+E34/100)</f>
        <v>1.4186506676422186</v>
      </c>
      <c r="F28" s="49"/>
      <c r="G28" s="145">
        <v>0.125</v>
      </c>
      <c r="H28" s="33">
        <v>3.1749999999999998</v>
      </c>
      <c r="I28" s="144">
        <v>0.874</v>
      </c>
      <c r="J28" s="153">
        <f t="shared" si="0"/>
        <v>0.45238095238095238</v>
      </c>
      <c r="K28" s="98">
        <v>0.185</v>
      </c>
      <c r="L28" s="153">
        <f t="shared" si="1"/>
        <v>9.5755693581780543E-2</v>
      </c>
      <c r="N28" s="97"/>
      <c r="O28" s="2">
        <v>0.95199999999999996</v>
      </c>
      <c r="S28" s="2">
        <v>0.20200000000000001</v>
      </c>
    </row>
    <row r="29" spans="1:19" s="2" customFormat="1" ht="22.5" customHeight="1" thickBot="1">
      <c r="A29" s="207" t="s">
        <v>54</v>
      </c>
      <c r="B29" s="208" t="s">
        <v>54</v>
      </c>
      <c r="C29" s="208"/>
      <c r="D29" s="208"/>
      <c r="E29" s="209"/>
      <c r="F29" s="49"/>
      <c r="G29" s="147">
        <v>0.15</v>
      </c>
      <c r="H29" s="33">
        <v>3.81</v>
      </c>
      <c r="I29" s="144">
        <v>0.95199999999999996</v>
      </c>
      <c r="J29" s="153">
        <f t="shared" si="0"/>
        <v>0.49275362318840576</v>
      </c>
      <c r="K29" s="98">
        <v>0.20200000000000001</v>
      </c>
      <c r="L29" s="153">
        <f>((K29/19.32)*10)</f>
        <v>0.10455486542443064</v>
      </c>
      <c r="N29" s="97"/>
      <c r="O29" s="2">
        <v>1.034</v>
      </c>
      <c r="S29" s="2">
        <v>0.215</v>
      </c>
    </row>
    <row r="30" spans="1:19" s="2" customFormat="1" ht="22.5" customHeight="1">
      <c r="A30" s="258" t="s">
        <v>55</v>
      </c>
      <c r="B30" s="259"/>
      <c r="C30" s="50"/>
      <c r="D30" s="51">
        <v>613</v>
      </c>
      <c r="E30" s="52">
        <v>702</v>
      </c>
      <c r="F30" s="44"/>
      <c r="G30" s="145">
        <v>0.17499999999999999</v>
      </c>
      <c r="H30" s="33">
        <v>4.4450000000000003</v>
      </c>
      <c r="I30" s="144">
        <v>1.034</v>
      </c>
      <c r="J30" s="153">
        <f t="shared" si="0"/>
        <v>0.53519668737060044</v>
      </c>
      <c r="K30" s="98">
        <v>0.215</v>
      </c>
      <c r="L30" s="153">
        <f t="shared" si="1"/>
        <v>0.11128364389233954</v>
      </c>
      <c r="N30" s="97"/>
      <c r="O30" s="2">
        <v>1.107</v>
      </c>
      <c r="S30" s="2">
        <v>0.23100000000000001</v>
      </c>
    </row>
    <row r="31" spans="1:19" s="2" customFormat="1" ht="22.5" customHeight="1">
      <c r="A31" s="216" t="s">
        <v>56</v>
      </c>
      <c r="B31" s="217"/>
      <c r="C31" s="25" t="s">
        <v>46</v>
      </c>
      <c r="D31" s="53">
        <v>256.02999999999997</v>
      </c>
      <c r="E31" s="54">
        <v>464</v>
      </c>
      <c r="F31" s="41"/>
      <c r="G31" s="146">
        <v>0.2</v>
      </c>
      <c r="H31" s="45">
        <v>5.08</v>
      </c>
      <c r="I31" s="154">
        <v>1.107</v>
      </c>
      <c r="J31" s="155">
        <f t="shared" si="0"/>
        <v>0.57298136645962738</v>
      </c>
      <c r="K31" s="158">
        <v>0.23100000000000001</v>
      </c>
      <c r="L31" s="155">
        <f t="shared" si="1"/>
        <v>0.11956521739130435</v>
      </c>
      <c r="N31" s="97"/>
      <c r="O31" s="2">
        <v>1.27</v>
      </c>
      <c r="S31" s="2">
        <v>0.28399999999999997</v>
      </c>
    </row>
    <row r="32" spans="1:19" s="2" customFormat="1" ht="22.5" customHeight="1">
      <c r="A32" s="216" t="s">
        <v>57</v>
      </c>
      <c r="B32" s="217"/>
      <c r="C32" s="25" t="s">
        <v>46</v>
      </c>
      <c r="D32" s="53">
        <v>207.69</v>
      </c>
      <c r="E32" s="54">
        <v>359</v>
      </c>
      <c r="F32" s="49"/>
      <c r="G32" s="145">
        <v>0.3</v>
      </c>
      <c r="H32" s="33">
        <v>7.62</v>
      </c>
      <c r="I32" s="144">
        <v>1.27</v>
      </c>
      <c r="J32" s="153">
        <f t="shared" si="0"/>
        <v>0.65734989648033126</v>
      </c>
      <c r="K32" s="98">
        <v>0.28399999999999997</v>
      </c>
      <c r="L32" s="153">
        <f t="shared" si="1"/>
        <v>0.14699792960662525</v>
      </c>
      <c r="N32" s="97"/>
      <c r="O32" s="2">
        <v>1.3520000000000001</v>
      </c>
      <c r="S32" s="2">
        <v>0.33700000000000002</v>
      </c>
    </row>
    <row r="33" spans="1:21" s="2" customFormat="1" ht="22.5" customHeight="1">
      <c r="A33" s="216" t="s">
        <v>58</v>
      </c>
      <c r="B33" s="217"/>
      <c r="C33" s="25" t="s">
        <v>46</v>
      </c>
      <c r="D33" s="53">
        <v>40.26</v>
      </c>
      <c r="E33" s="54">
        <v>44.57</v>
      </c>
      <c r="F33" s="49"/>
      <c r="G33" s="145">
        <v>0.4</v>
      </c>
      <c r="H33" s="33">
        <v>10.16</v>
      </c>
      <c r="I33" s="144">
        <v>1.3520000000000001</v>
      </c>
      <c r="J33" s="153">
        <f t="shared" si="0"/>
        <v>0.69979296066252594</v>
      </c>
      <c r="K33" s="98">
        <v>0.33700000000000002</v>
      </c>
      <c r="L33" s="153">
        <f t="shared" si="1"/>
        <v>0.17443064182194618</v>
      </c>
      <c r="N33" s="97"/>
      <c r="O33" s="2">
        <v>1.395</v>
      </c>
      <c r="S33" s="2">
        <v>0.39500000000000002</v>
      </c>
    </row>
    <row r="34" spans="1:21" s="2" customFormat="1" ht="22.5" customHeight="1" thickBot="1">
      <c r="A34" s="218" t="s">
        <v>59</v>
      </c>
      <c r="B34" s="219"/>
      <c r="C34" s="46" t="s">
        <v>60</v>
      </c>
      <c r="D34" s="47">
        <f>((D31-D32)/(D32-D33))*100</f>
        <v>28.871767305739699</v>
      </c>
      <c r="E34" s="48">
        <f>((E31-E32)/(E32-E33))*100</f>
        <v>33.393760137391467</v>
      </c>
      <c r="F34" s="49"/>
      <c r="G34" s="148">
        <v>0.5</v>
      </c>
      <c r="H34" s="149">
        <v>12.7</v>
      </c>
      <c r="I34" s="156">
        <v>1.395</v>
      </c>
      <c r="J34" s="157">
        <f t="shared" si="0"/>
        <v>0.72204968944099379</v>
      </c>
      <c r="K34" s="159">
        <v>0.39500000000000002</v>
      </c>
      <c r="L34" s="157">
        <f t="shared" si="1"/>
        <v>0.2044513457556936</v>
      </c>
      <c r="N34" s="97"/>
    </row>
    <row r="35" spans="1:21" s="2" customFormat="1" ht="11.25" customHeight="1" thickBot="1">
      <c r="A35" s="55"/>
      <c r="B35" s="56"/>
      <c r="C35" s="57"/>
      <c r="D35" s="58"/>
      <c r="E35" s="58"/>
      <c r="F35" s="59"/>
      <c r="G35" s="58"/>
      <c r="H35" s="58"/>
      <c r="I35" s="58"/>
      <c r="J35" s="58"/>
      <c r="K35" s="58"/>
      <c r="L35" s="99"/>
      <c r="N35" s="97"/>
    </row>
    <row r="36" spans="1:21" s="2" customFormat="1" ht="22.5" customHeight="1" thickBot="1">
      <c r="A36" s="247" t="s">
        <v>61</v>
      </c>
      <c r="B36" s="248"/>
      <c r="C36" s="248"/>
      <c r="D36" s="248"/>
      <c r="E36" s="249"/>
      <c r="F36" s="60"/>
      <c r="G36" s="60"/>
      <c r="H36" s="207" t="s">
        <v>62</v>
      </c>
      <c r="I36" s="208"/>
      <c r="J36" s="208"/>
      <c r="K36" s="209"/>
      <c r="L36" s="100"/>
      <c r="U36" s="2">
        <v>0.111</v>
      </c>
    </row>
    <row r="37" spans="1:21" s="2" customFormat="1" ht="22.5" customHeight="1" thickBot="1">
      <c r="A37" s="250" t="s">
        <v>63</v>
      </c>
      <c r="B37" s="251"/>
      <c r="C37" s="61" t="s">
        <v>64</v>
      </c>
      <c r="D37" s="277">
        <v>0.58499999999999996</v>
      </c>
      <c r="E37" s="278"/>
      <c r="F37" s="62"/>
      <c r="G37" s="62"/>
      <c r="H37" s="63" t="s">
        <v>65</v>
      </c>
      <c r="I37" s="101" t="s">
        <v>86</v>
      </c>
      <c r="J37" s="63" t="s">
        <v>66</v>
      </c>
      <c r="K37" s="102" t="s">
        <v>67</v>
      </c>
      <c r="L37" s="99"/>
      <c r="P37" s="2">
        <v>0.111</v>
      </c>
      <c r="U37" s="2">
        <v>0.17199999999999999</v>
      </c>
    </row>
    <row r="38" spans="1:21" s="2" customFormat="1" ht="22.5" customHeight="1" thickBot="1">
      <c r="A38" s="224" t="s">
        <v>68</v>
      </c>
      <c r="B38" s="225"/>
      <c r="C38" s="64" t="s">
        <v>64</v>
      </c>
      <c r="D38" s="254">
        <v>0.70250000000000001</v>
      </c>
      <c r="E38" s="255"/>
      <c r="F38" s="62"/>
      <c r="G38" s="62"/>
      <c r="H38" s="256" t="s">
        <v>69</v>
      </c>
      <c r="I38" s="257"/>
      <c r="J38" s="256" t="s">
        <v>70</v>
      </c>
      <c r="K38" s="257"/>
      <c r="L38" s="99"/>
      <c r="P38" s="2">
        <v>0.17199999999999999</v>
      </c>
      <c r="U38" s="2">
        <v>0.20100000000000001</v>
      </c>
    </row>
    <row r="39" spans="1:21" s="2" customFormat="1" ht="22.5" customHeight="1" thickBot="1">
      <c r="A39" s="224" t="s">
        <v>71</v>
      </c>
      <c r="B39" s="225"/>
      <c r="C39" s="65" t="s">
        <v>39</v>
      </c>
      <c r="D39" s="226">
        <f>(D38-D37)*2.54</f>
        <v>0.2984500000000001</v>
      </c>
      <c r="E39" s="227"/>
      <c r="F39" s="31"/>
      <c r="G39" s="31"/>
      <c r="H39" s="163" t="s">
        <v>72</v>
      </c>
      <c r="I39" s="164">
        <v>4554</v>
      </c>
      <c r="J39" s="275">
        <v>4</v>
      </c>
      <c r="K39" s="229"/>
      <c r="L39" s="99"/>
      <c r="P39" s="2">
        <v>0.20100000000000001</v>
      </c>
      <c r="U39" s="2">
        <v>0.216</v>
      </c>
    </row>
    <row r="40" spans="1:21" s="2" customFormat="1" ht="22.5" customHeight="1" thickBot="1">
      <c r="A40" s="230" t="s">
        <v>73</v>
      </c>
      <c r="B40" s="231"/>
      <c r="C40" s="67" t="s">
        <v>60</v>
      </c>
      <c r="D40" s="232">
        <f>IF(D39&lt;&gt;"",IF(D22&lt;&gt;"",D39/D22*100,""),"")</f>
        <v>1.8176004872107192</v>
      </c>
      <c r="E40" s="233"/>
      <c r="F40" s="68"/>
      <c r="G40" s="68"/>
      <c r="H40" s="165" t="s">
        <v>33</v>
      </c>
      <c r="I40" s="166">
        <v>4554</v>
      </c>
      <c r="J40" s="276">
        <v>4</v>
      </c>
      <c r="K40" s="235"/>
      <c r="L40" s="99"/>
      <c r="P40" s="105">
        <v>0.216</v>
      </c>
      <c r="Q40" s="105"/>
      <c r="R40" s="134"/>
      <c r="U40" s="2">
        <v>0.22600000000000001</v>
      </c>
    </row>
    <row r="41" spans="1:21" s="2" customFormat="1" ht="33" customHeight="1" thickBot="1">
      <c r="A41" s="70"/>
      <c r="B41" s="58"/>
      <c r="C41" s="58"/>
      <c r="D41" s="58"/>
      <c r="E41" s="58"/>
      <c r="F41" s="71"/>
      <c r="G41" s="58"/>
      <c r="H41" s="70"/>
      <c r="I41" s="58"/>
      <c r="J41" s="107" t="str">
        <f>I19</f>
        <v>ANTES DE INMERSIÓN</v>
      </c>
      <c r="K41" s="107" t="str">
        <f>K19</f>
        <v xml:space="preserve">DESPUÉS DE INMERSIÓN </v>
      </c>
      <c r="L41" s="108"/>
      <c r="M41" s="20"/>
      <c r="P41" s="109">
        <v>0.22600000000000001</v>
      </c>
      <c r="Q41" s="135"/>
      <c r="R41" s="136"/>
      <c r="U41" s="2">
        <v>0.23599999999999999</v>
      </c>
    </row>
    <row r="42" spans="1:21" s="2" customFormat="1" ht="22.5" customHeight="1">
      <c r="A42" s="70"/>
      <c r="B42" s="58"/>
      <c r="C42" s="58"/>
      <c r="D42" s="58"/>
      <c r="E42" s="58"/>
      <c r="F42" s="58"/>
      <c r="G42" s="58"/>
      <c r="H42" s="21" t="s">
        <v>74</v>
      </c>
      <c r="I42" s="110" t="s">
        <v>60</v>
      </c>
      <c r="J42" s="111">
        <f>(J27/6.9)*100</f>
        <v>5.8211060101419276</v>
      </c>
      <c r="K42" s="112">
        <f>(L27/6.9)*100</f>
        <v>1.2452365949530411</v>
      </c>
      <c r="L42" s="99"/>
      <c r="P42" s="113">
        <v>0.23599999999999999</v>
      </c>
      <c r="Q42" s="137"/>
      <c r="R42" s="136"/>
      <c r="U42" s="2">
        <v>0.24299999999999999</v>
      </c>
    </row>
    <row r="43" spans="1:21" s="2" customFormat="1" ht="22.5" customHeight="1" thickBot="1">
      <c r="A43" s="70"/>
      <c r="B43" s="73"/>
      <c r="C43" s="58"/>
      <c r="D43" s="58"/>
      <c r="E43" s="58"/>
      <c r="F43" s="58"/>
      <c r="G43" s="58"/>
      <c r="H43" s="74" t="s">
        <v>75</v>
      </c>
      <c r="I43" s="114" t="s">
        <v>60</v>
      </c>
      <c r="J43" s="115">
        <f>(J31/10.3)*100</f>
        <v>5.5629258879575465</v>
      </c>
      <c r="K43" s="116">
        <f>(L31/10.3)*100</f>
        <v>1.1608273533136344</v>
      </c>
      <c r="L43" s="99"/>
      <c r="P43" s="117">
        <v>0.24299999999999999</v>
      </c>
      <c r="Q43" s="138"/>
      <c r="R43" s="139"/>
      <c r="U43" s="2">
        <v>0.253</v>
      </c>
    </row>
    <row r="44" spans="1:21" s="2" customFormat="1" ht="22.5" customHeight="1" thickBot="1">
      <c r="A44" s="70"/>
      <c r="B44" s="73"/>
      <c r="C44" s="73"/>
      <c r="D44" s="73"/>
      <c r="E44" s="58"/>
      <c r="F44" s="58"/>
      <c r="G44" s="58"/>
      <c r="H44" s="74" t="s">
        <v>76</v>
      </c>
      <c r="I44" s="114"/>
      <c r="J44" s="118">
        <f>IF(J42&lt;J43,J42,J43)</f>
        <v>5.5629258879575465</v>
      </c>
      <c r="K44" s="119">
        <f>IF(K42&lt;K43,K42,K43)</f>
        <v>1.1608273533136344</v>
      </c>
      <c r="L44" s="120"/>
      <c r="M44" s="121"/>
      <c r="P44" s="2">
        <v>0.253</v>
      </c>
      <c r="U44" s="2">
        <v>0.26100000000000001</v>
      </c>
    </row>
    <row r="45" spans="1:21" s="2" customFormat="1" ht="22.5" customHeight="1">
      <c r="A45" s="70"/>
      <c r="B45" s="58"/>
      <c r="C45" s="58"/>
      <c r="D45" s="59"/>
      <c r="E45" s="59"/>
      <c r="F45" s="59"/>
      <c r="G45" s="58"/>
      <c r="H45" s="4"/>
      <c r="I45" s="122"/>
      <c r="J45" s="122"/>
      <c r="K45" s="122"/>
      <c r="L45" s="99"/>
      <c r="P45" s="2">
        <v>0.26100000000000001</v>
      </c>
      <c r="U45" s="2">
        <v>0.28100000000000003</v>
      </c>
    </row>
    <row r="46" spans="1:21" s="2" customFormat="1" ht="22.5" customHeight="1">
      <c r="A46" s="70"/>
      <c r="B46" s="58"/>
      <c r="C46" s="58"/>
      <c r="D46" s="59"/>
      <c r="E46" s="59"/>
      <c r="F46" s="59"/>
      <c r="G46" s="58"/>
      <c r="H46" s="222" t="s">
        <v>77</v>
      </c>
      <c r="I46" s="222"/>
      <c r="J46" s="222" t="s">
        <v>78</v>
      </c>
      <c r="K46" s="222"/>
      <c r="L46" s="223"/>
      <c r="P46" s="2">
        <v>0.28100000000000003</v>
      </c>
      <c r="U46" s="2">
        <v>0.29899999999999999</v>
      </c>
    </row>
    <row r="47" spans="1:21" s="2" customFormat="1" ht="22.5" customHeight="1">
      <c r="A47" s="70"/>
      <c r="B47" s="56"/>
      <c r="C47" s="75"/>
      <c r="D47" s="76"/>
      <c r="E47" s="59"/>
      <c r="F47" s="59"/>
      <c r="G47" s="59"/>
      <c r="H47" s="77"/>
      <c r="I47" s="123"/>
      <c r="J47" s="77"/>
      <c r="K47" s="123"/>
      <c r="L47" s="124"/>
      <c r="P47" s="2">
        <v>0.29899999999999999</v>
      </c>
      <c r="U47" s="2">
        <v>0.318</v>
      </c>
    </row>
    <row r="48" spans="1:21" s="2" customFormat="1" ht="22.5" customHeight="1">
      <c r="A48" s="70"/>
      <c r="B48" s="56"/>
      <c r="C48" s="75"/>
      <c r="D48" s="76"/>
      <c r="E48" s="59"/>
      <c r="F48" s="59"/>
      <c r="G48" s="59"/>
      <c r="H48" s="77"/>
      <c r="I48" s="123"/>
      <c r="J48" s="77"/>
      <c r="K48" s="123"/>
      <c r="L48" s="124"/>
      <c r="P48" s="2">
        <v>0.318</v>
      </c>
    </row>
    <row r="49" spans="1:15" s="2" customFormat="1" ht="22.5" customHeight="1">
      <c r="A49" s="70"/>
      <c r="B49" s="56"/>
      <c r="C49" s="75"/>
      <c r="D49" s="76"/>
      <c r="E49" s="59"/>
      <c r="F49" s="59"/>
      <c r="G49" s="59"/>
      <c r="H49" s="77"/>
      <c r="I49" s="123"/>
      <c r="J49" s="77"/>
      <c r="K49"/>
      <c r="L49" s="124"/>
    </row>
    <row r="50" spans="1:15" s="2" customFormat="1" ht="22.5" customHeight="1">
      <c r="A50" s="70"/>
      <c r="B50" s="56"/>
      <c r="C50" s="75"/>
      <c r="D50" s="76"/>
      <c r="E50" s="59"/>
      <c r="F50" s="59"/>
      <c r="G50" s="59"/>
      <c r="H50" s="78"/>
      <c r="I50" s="78"/>
      <c r="J50" s="77"/>
      <c r="K50" s="123"/>
      <c r="L50" s="124"/>
    </row>
    <row r="51" spans="1:15" s="2" customFormat="1" ht="22.5" customHeight="1">
      <c r="A51" s="70"/>
      <c r="B51" s="56"/>
      <c r="C51" s="75"/>
      <c r="D51" s="76"/>
      <c r="E51" s="59"/>
      <c r="F51" s="59"/>
      <c r="G51" s="59"/>
      <c r="H51" s="220" t="s">
        <v>79</v>
      </c>
      <c r="I51" s="220"/>
      <c r="J51" s="220" t="s">
        <v>87</v>
      </c>
      <c r="K51" s="220"/>
      <c r="L51" s="221"/>
    </row>
    <row r="52" spans="1:15" s="2" customFormat="1" ht="22.5" customHeight="1">
      <c r="A52" s="70"/>
      <c r="B52" s="56"/>
      <c r="C52" s="75"/>
      <c r="D52" s="76"/>
      <c r="E52" s="59"/>
      <c r="F52" s="59"/>
      <c r="G52" s="59"/>
      <c r="H52" s="222" t="s">
        <v>80</v>
      </c>
      <c r="I52" s="222"/>
      <c r="J52" s="222" t="s">
        <v>81</v>
      </c>
      <c r="K52" s="222"/>
      <c r="L52" s="223"/>
    </row>
    <row r="53" spans="1:15" s="2" customFormat="1" ht="22.5" customHeight="1">
      <c r="A53" s="70"/>
      <c r="B53" s="56"/>
      <c r="C53" s="75"/>
      <c r="D53" s="76"/>
      <c r="E53" s="59"/>
      <c r="F53" s="59"/>
      <c r="G53" s="59"/>
      <c r="H53" s="186"/>
      <c r="I53" s="186"/>
      <c r="J53" s="186"/>
      <c r="K53" s="186"/>
      <c r="L53" s="99"/>
    </row>
    <row r="54" spans="1:15" s="2" customFormat="1" ht="22.5" customHeight="1">
      <c r="A54" s="70"/>
      <c r="B54" s="56"/>
      <c r="C54" s="75"/>
      <c r="D54" s="76"/>
      <c r="E54" s="59"/>
      <c r="F54" s="59"/>
      <c r="G54" s="59"/>
      <c r="H54" s="58"/>
      <c r="I54" s="58"/>
      <c r="J54" s="125"/>
      <c r="K54" s="58"/>
      <c r="L54" s="99"/>
      <c r="M54" s="126"/>
      <c r="N54" s="3"/>
    </row>
    <row r="55" spans="1:15" s="2" customFormat="1" ht="22.5" customHeight="1">
      <c r="A55" s="70"/>
      <c r="B55" s="56"/>
      <c r="C55" s="75"/>
      <c r="D55" s="76"/>
      <c r="E55" s="59"/>
      <c r="F55" s="59"/>
      <c r="G55" s="59"/>
      <c r="H55" s="58"/>
      <c r="I55" s="58"/>
      <c r="J55" s="127"/>
      <c r="K55" s="125"/>
      <c r="L55" s="128"/>
      <c r="M55" s="129"/>
      <c r="N55" s="3"/>
    </row>
    <row r="56" spans="1:15" s="2" customFormat="1" ht="22.5" customHeight="1">
      <c r="A56" s="264" t="s">
        <v>82</v>
      </c>
      <c r="B56" s="265"/>
      <c r="C56" s="265"/>
      <c r="D56" s="265"/>
      <c r="E56" s="265"/>
      <c r="F56" s="265"/>
      <c r="G56" s="265"/>
      <c r="H56" s="265"/>
      <c r="I56" s="265"/>
      <c r="J56" s="265"/>
      <c r="K56" s="265"/>
      <c r="L56" s="266"/>
      <c r="M56" s="130"/>
      <c r="N56" s="3"/>
      <c r="O56" s="3"/>
    </row>
    <row r="57" spans="1:15" s="2" customFormat="1" ht="22.5" customHeight="1">
      <c r="A57" s="261" t="s">
        <v>83</v>
      </c>
      <c r="B57" s="262"/>
      <c r="C57" s="262"/>
      <c r="D57" s="262"/>
      <c r="E57" s="262"/>
      <c r="F57" s="262"/>
      <c r="G57" s="262"/>
      <c r="H57" s="262"/>
      <c r="I57" s="262"/>
      <c r="J57" s="262"/>
      <c r="K57" s="262"/>
      <c r="L57" s="263"/>
      <c r="M57" s="3"/>
      <c r="N57" s="3"/>
      <c r="O57" s="3"/>
    </row>
    <row r="58" spans="1:15" s="2" customFormat="1" ht="22.5" customHeight="1">
      <c r="A58" s="261"/>
      <c r="B58" s="262"/>
      <c r="C58" s="262"/>
      <c r="D58" s="262"/>
      <c r="E58" s="262"/>
      <c r="F58" s="262"/>
      <c r="G58" s="262"/>
      <c r="H58" s="262"/>
      <c r="I58" s="262"/>
      <c r="J58" s="262"/>
      <c r="K58" s="262"/>
      <c r="L58" s="263"/>
      <c r="M58" s="3"/>
      <c r="N58" s="3"/>
      <c r="O58" s="3"/>
    </row>
    <row r="59" spans="1:15" ht="15" thickBot="1">
      <c r="A59" s="267" t="s">
        <v>84</v>
      </c>
      <c r="B59" s="268"/>
      <c r="C59" s="268"/>
      <c r="D59" s="268"/>
      <c r="E59" s="268"/>
      <c r="F59" s="268"/>
      <c r="G59" s="268"/>
      <c r="H59" s="268"/>
      <c r="I59" s="268"/>
      <c r="J59" s="268"/>
      <c r="K59" s="268"/>
      <c r="L59" s="269"/>
    </row>
    <row r="63" spans="1:15">
      <c r="I63" s="79"/>
      <c r="J63" s="79"/>
      <c r="K63" s="79"/>
      <c r="L63" s="79"/>
      <c r="M63" s="79"/>
      <c r="N63" s="79"/>
    </row>
    <row r="64" spans="1:15" ht="15" customHeight="1">
      <c r="E64" s="79"/>
      <c r="F64" s="79"/>
      <c r="G64" s="79"/>
      <c r="H64" s="79"/>
      <c r="I64" s="131"/>
      <c r="J64" s="131"/>
      <c r="K64" s="131"/>
      <c r="L64" s="131"/>
      <c r="M64" s="131"/>
      <c r="N64" s="131"/>
    </row>
    <row r="65" spans="2:18" ht="15" customHeight="1">
      <c r="E65" s="131"/>
      <c r="F65" s="131"/>
      <c r="G65" s="131"/>
      <c r="H65" s="131"/>
      <c r="I65" s="131"/>
      <c r="J65" s="131"/>
      <c r="K65" s="131"/>
      <c r="L65" s="131"/>
      <c r="M65" s="131"/>
      <c r="N65" s="131"/>
    </row>
    <row r="66" spans="2:18" ht="15" customHeight="1">
      <c r="E66" s="131"/>
      <c r="F66" s="131"/>
      <c r="G66" s="131"/>
      <c r="H66" s="131"/>
      <c r="I66" s="131"/>
      <c r="J66" s="131"/>
      <c r="K66" s="131"/>
      <c r="L66" s="131"/>
      <c r="M66" s="131"/>
      <c r="N66" s="131"/>
    </row>
    <row r="67" spans="2:18" ht="30.75" customHeight="1">
      <c r="E67" s="131"/>
      <c r="F67" s="131"/>
      <c r="G67" s="131"/>
      <c r="H67" s="131"/>
      <c r="I67" s="140"/>
      <c r="J67" s="140"/>
      <c r="K67" s="140"/>
      <c r="L67" s="140"/>
      <c r="M67" s="140"/>
      <c r="N67" s="140"/>
    </row>
    <row r="68" spans="2:18" ht="15" customHeight="1">
      <c r="E68" s="140"/>
      <c r="F68" s="140"/>
      <c r="G68" s="140"/>
      <c r="H68" s="140"/>
      <c r="I68" s="140"/>
      <c r="J68" s="140"/>
      <c r="K68" s="140"/>
      <c r="L68" s="140"/>
      <c r="M68" s="140"/>
      <c r="N68" s="140"/>
    </row>
    <row r="69" spans="2:18" ht="15" customHeight="1">
      <c r="E69" s="140"/>
      <c r="F69" s="140"/>
      <c r="G69" s="140"/>
      <c r="H69" s="140"/>
    </row>
    <row r="70" spans="2:18" ht="31.5" customHeight="1">
      <c r="E70" s="270"/>
      <c r="F70" s="270"/>
      <c r="G70" s="270"/>
      <c r="H70" s="270"/>
      <c r="I70" s="270"/>
      <c r="J70" s="270"/>
      <c r="K70" s="270"/>
      <c r="L70" s="270"/>
      <c r="M70" s="270"/>
      <c r="N70" s="270"/>
      <c r="O70" s="270"/>
      <c r="P70" s="270"/>
    </row>
    <row r="71" spans="2:18" ht="24" customHeight="1">
      <c r="B71" s="141"/>
      <c r="C71" s="142"/>
      <c r="D71" s="142"/>
      <c r="E71" s="142"/>
      <c r="F71" s="142"/>
      <c r="G71" s="142"/>
      <c r="H71" s="142"/>
      <c r="I71" s="142"/>
      <c r="J71" s="142"/>
      <c r="K71" s="142"/>
      <c r="L71" s="142"/>
      <c r="M71" s="142"/>
      <c r="N71" s="142"/>
      <c r="O71" s="142"/>
      <c r="P71" s="142"/>
      <c r="Q71" s="142"/>
      <c r="R71" s="142"/>
    </row>
    <row r="72" spans="2:18" ht="15" customHeight="1">
      <c r="B72" s="142"/>
      <c r="C72" s="142"/>
      <c r="D72" s="260"/>
      <c r="E72" s="260"/>
      <c r="F72" s="260"/>
      <c r="G72" s="260"/>
      <c r="H72" s="260"/>
      <c r="I72" s="260"/>
      <c r="J72" s="260"/>
      <c r="K72" s="260"/>
      <c r="L72" s="260"/>
      <c r="M72" s="260"/>
      <c r="N72" s="260"/>
      <c r="O72" s="260"/>
      <c r="P72" s="142"/>
      <c r="Q72" s="142"/>
      <c r="R72" s="142"/>
    </row>
    <row r="73" spans="2:18">
      <c r="D73" s="260"/>
      <c r="E73" s="260"/>
      <c r="F73" s="260"/>
      <c r="G73" s="260"/>
      <c r="H73" s="260"/>
      <c r="I73" s="260"/>
      <c r="J73" s="260"/>
      <c r="K73" s="260"/>
      <c r="L73" s="260"/>
      <c r="M73" s="260"/>
      <c r="N73" s="260"/>
      <c r="O73" s="260"/>
    </row>
  </sheetData>
  <sheetProtection formatCells="0" formatColumns="0" insertColumns="0" insertRows="0" deleteColumns="0" deleteRows="0"/>
  <mergeCells count="74">
    <mergeCell ref="A1:B4"/>
    <mergeCell ref="C1:J1"/>
    <mergeCell ref="K1:L1"/>
    <mergeCell ref="C2:J4"/>
    <mergeCell ref="K2:L2"/>
    <mergeCell ref="K3:L3"/>
    <mergeCell ref="K4:L4"/>
    <mergeCell ref="B5:K5"/>
    <mergeCell ref="C6:G6"/>
    <mergeCell ref="H6:I6"/>
    <mergeCell ref="J6:L6"/>
    <mergeCell ref="C7:G7"/>
    <mergeCell ref="H7:I7"/>
    <mergeCell ref="J7:L7"/>
    <mergeCell ref="A18:E18"/>
    <mergeCell ref="G18:L18"/>
    <mergeCell ref="C8:G8"/>
    <mergeCell ref="H8:I8"/>
    <mergeCell ref="J8:L8"/>
    <mergeCell ref="C9:G9"/>
    <mergeCell ref="H9:I9"/>
    <mergeCell ref="C10:G10"/>
    <mergeCell ref="H10:I10"/>
    <mergeCell ref="J10:L10"/>
    <mergeCell ref="B11:K11"/>
    <mergeCell ref="F12:G12"/>
    <mergeCell ref="H12:I12"/>
    <mergeCell ref="C13:L13"/>
    <mergeCell ref="A16:L16"/>
    <mergeCell ref="A27:B27"/>
    <mergeCell ref="A19:C19"/>
    <mergeCell ref="G19:H20"/>
    <mergeCell ref="I19:J19"/>
    <mergeCell ref="K19:L19"/>
    <mergeCell ref="A20:B20"/>
    <mergeCell ref="A21:B21"/>
    <mergeCell ref="A22:B22"/>
    <mergeCell ref="A23:B23"/>
    <mergeCell ref="A24:B24"/>
    <mergeCell ref="A25:B25"/>
    <mergeCell ref="A26:B26"/>
    <mergeCell ref="A38:B38"/>
    <mergeCell ref="D38:E38"/>
    <mergeCell ref="H38:I38"/>
    <mergeCell ref="J38:K38"/>
    <mergeCell ref="A28:B28"/>
    <mergeCell ref="A29:E29"/>
    <mergeCell ref="A30:B30"/>
    <mergeCell ref="A31:B31"/>
    <mergeCell ref="A32:B32"/>
    <mergeCell ref="A33:B33"/>
    <mergeCell ref="A34:B34"/>
    <mergeCell ref="A36:E36"/>
    <mergeCell ref="H36:K36"/>
    <mergeCell ref="A37:B37"/>
    <mergeCell ref="D37:E37"/>
    <mergeCell ref="A39:B39"/>
    <mergeCell ref="D39:E39"/>
    <mergeCell ref="J39:K39"/>
    <mergeCell ref="A40:B40"/>
    <mergeCell ref="D40:E40"/>
    <mergeCell ref="J40:K40"/>
    <mergeCell ref="D72:O73"/>
    <mergeCell ref="H46:I46"/>
    <mergeCell ref="J46:L46"/>
    <mergeCell ref="H51:I51"/>
    <mergeCell ref="J51:L51"/>
    <mergeCell ref="H52:I52"/>
    <mergeCell ref="J52:L52"/>
    <mergeCell ref="H53:K53"/>
    <mergeCell ref="A56:L56"/>
    <mergeCell ref="A57:L58"/>
    <mergeCell ref="A59:L59"/>
    <mergeCell ref="E70:P70"/>
  </mergeCells>
  <conditionalFormatting sqref="C6:G10">
    <cfRule type="containsBlanks" dxfId="179" priority="10">
      <formula>LEN(TRIM(C6))=0</formula>
    </cfRule>
  </conditionalFormatting>
  <conditionalFormatting sqref="C13:L13">
    <cfRule type="containsBlanks" dxfId="178" priority="9">
      <formula>LEN(TRIM(C13))=0</formula>
    </cfRule>
  </conditionalFormatting>
  <conditionalFormatting sqref="D20:D24">
    <cfRule type="containsBlanks" dxfId="177" priority="4">
      <formula>LEN(TRIM(D20))=0</formula>
    </cfRule>
  </conditionalFormatting>
  <conditionalFormatting sqref="D37:D38">
    <cfRule type="containsBlanks" dxfId="176" priority="3">
      <formula>LEN(TRIM(D37))=0</formula>
    </cfRule>
  </conditionalFormatting>
  <conditionalFormatting sqref="D30:E33">
    <cfRule type="containsBlanks" dxfId="175" priority="1">
      <formula>LEN(TRIM(D30))=0</formula>
    </cfRule>
  </conditionalFormatting>
  <conditionalFormatting sqref="E23">
    <cfRule type="containsBlanks" dxfId="174" priority="5">
      <formula>LEN(TRIM(E23))=0</formula>
    </cfRule>
  </conditionalFormatting>
  <conditionalFormatting sqref="F12:G12">
    <cfRule type="containsBlanks" dxfId="173" priority="8">
      <formula>LEN(TRIM(F12))=0</formula>
    </cfRule>
  </conditionalFormatting>
  <conditionalFormatting sqref="I22:I34">
    <cfRule type="containsBlanks" dxfId="172" priority="7">
      <formula>LEN(TRIM(I22))=0</formula>
    </cfRule>
  </conditionalFormatting>
  <conditionalFormatting sqref="I37">
    <cfRule type="containsBlanks" dxfId="171" priority="2">
      <formula>LEN(TRIM(I37))=0</formula>
    </cfRule>
  </conditionalFormatting>
  <conditionalFormatting sqref="K22:K34">
    <cfRule type="containsBlanks" dxfId="170" priority="6">
      <formula>LEN(TRIM(K22))=0</formula>
    </cfRule>
  </conditionalFormatting>
  <dataValidations count="2">
    <dataValidation type="list" allowBlank="1" showInputMessage="1" showErrorMessage="1" sqref="I37" xr:uid="{00000000-0002-0000-0500-000000000000}">
      <formula1>"5 kN, 50 kN"</formula1>
    </dataValidation>
    <dataValidation type="list" allowBlank="1" showInputMessage="1" showErrorMessage="1" sqref="C12" xr:uid="{00000000-0002-0000-0500-000001000000}">
      <formula1>$T$6:$T$13</formula1>
    </dataValidation>
  </dataValidations>
  <printOptions horizontalCentered="1" verticalCentered="1"/>
  <pageMargins left="0.31496062992126" right="0.31496062992126" top="0.15748031496063" bottom="0.55118110236220497" header="0" footer="0.118110236220472"/>
  <pageSetup scale="42" fitToWidth="0" fitToHeight="0" orientation="landscape" r:id="rId1"/>
  <headerFooter>
    <oddFooter>&amp;C&amp;"Arial,Normal"&amp;10GEODELTA S.A.S. Calle 68 B bis No 70 C 95, Móvil: 318 7902368 Bogotá DC - Colombia
e-mail: laboratoriogeodelta@gmail.com</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8" tint="0.59999389629810485"/>
  </sheetPr>
  <dimension ref="A1:AB73"/>
  <sheetViews>
    <sheetView showGridLines="0" view="pageBreakPreview" topLeftCell="A26" zoomScale="85" zoomScaleNormal="50" zoomScalePageLayoutView="50" workbookViewId="0">
      <selection activeCell="K2" sqref="K2:L2"/>
    </sheetView>
  </sheetViews>
  <sheetFormatPr baseColWidth="10" defaultColWidth="11" defaultRowHeight="14.25"/>
  <cols>
    <col min="1" max="1" width="10.5703125" style="3" customWidth="1"/>
    <col min="2" max="2" width="35.42578125" style="3" customWidth="1"/>
    <col min="3" max="3" width="20.85546875" style="3" customWidth="1"/>
    <col min="4" max="5" width="26.7109375" style="3" customWidth="1"/>
    <col min="6" max="6" width="3.7109375" style="3" customWidth="1"/>
    <col min="7" max="7" width="29.140625" style="3" customWidth="1"/>
    <col min="8" max="8" width="27.140625" style="3" customWidth="1"/>
    <col min="9" max="10" width="24.28515625" style="3" customWidth="1"/>
    <col min="11" max="12" width="22.42578125" style="3" customWidth="1"/>
    <col min="13" max="13" width="1.85546875" style="3" customWidth="1"/>
    <col min="14" max="16" width="12.85546875" style="3" customWidth="1"/>
    <col min="17" max="17" width="6.5703125" style="3" customWidth="1"/>
    <col min="18" max="18" width="6.28515625" style="3" customWidth="1"/>
    <col min="19" max="184" width="11" style="3"/>
    <col min="185" max="185" width="0.7109375" style="3" customWidth="1"/>
    <col min="186" max="186" width="6.5703125" style="3" customWidth="1"/>
    <col min="187" max="187" width="13.5703125" style="3" customWidth="1"/>
    <col min="188" max="188" width="13.42578125" style="3" customWidth="1"/>
    <col min="189" max="190" width="12.5703125" style="3" customWidth="1"/>
    <col min="191" max="191" width="14.85546875" style="3" customWidth="1"/>
    <col min="192" max="192" width="20.7109375" style="3" customWidth="1"/>
    <col min="193" max="193" width="12.5703125" style="3" customWidth="1"/>
    <col min="194" max="194" width="13" style="3" customWidth="1"/>
    <col min="195" max="195" width="16" style="3" customWidth="1"/>
    <col min="196" max="196" width="6.42578125" style="3" customWidth="1"/>
    <col min="197" max="197" width="16" style="3" customWidth="1"/>
    <col min="198" max="198" width="2.85546875" style="3" customWidth="1"/>
    <col min="199" max="199" width="0.85546875" style="3" customWidth="1"/>
    <col min="200" max="200" width="11" style="3"/>
    <col min="201" max="201" width="15.42578125" style="3" customWidth="1"/>
    <col min="202" max="204" width="14.85546875" style="3" customWidth="1"/>
    <col min="205" max="205" width="0.7109375" style="3" customWidth="1"/>
    <col min="206" max="206" width="11" style="3"/>
    <col min="207" max="207" width="15.7109375" style="3" customWidth="1"/>
    <col min="208" max="209" width="14.85546875" style="3" customWidth="1"/>
    <col min="210" max="210" width="3.28515625" style="3" customWidth="1"/>
    <col min="211" max="211" width="20.140625" style="3" customWidth="1"/>
    <col min="212" max="212" width="3.28515625" style="3" customWidth="1"/>
    <col min="213" max="217" width="11" style="3"/>
    <col min="218" max="230" width="4.7109375" style="3" customWidth="1"/>
    <col min="231" max="440" width="11" style="3"/>
    <col min="441" max="441" width="0.7109375" style="3" customWidth="1"/>
    <col min="442" max="442" width="6.5703125" style="3" customWidth="1"/>
    <col min="443" max="443" width="13.5703125" style="3" customWidth="1"/>
    <col min="444" max="444" width="13.42578125" style="3" customWidth="1"/>
    <col min="445" max="446" width="12.5703125" style="3" customWidth="1"/>
    <col min="447" max="447" width="14.85546875" style="3" customWidth="1"/>
    <col min="448" max="448" width="20.7109375" style="3" customWidth="1"/>
    <col min="449" max="449" width="12.5703125" style="3" customWidth="1"/>
    <col min="450" max="450" width="13" style="3" customWidth="1"/>
    <col min="451" max="451" width="16" style="3" customWidth="1"/>
    <col min="452" max="452" width="6.42578125" style="3" customWidth="1"/>
    <col min="453" max="453" width="16" style="3" customWidth="1"/>
    <col min="454" max="454" width="2.85546875" style="3" customWidth="1"/>
    <col min="455" max="455" width="0.85546875" style="3" customWidth="1"/>
    <col min="456" max="456" width="11" style="3"/>
    <col min="457" max="457" width="15.42578125" style="3" customWidth="1"/>
    <col min="458" max="460" width="14.85546875" style="3" customWidth="1"/>
    <col min="461" max="461" width="0.7109375" style="3" customWidth="1"/>
    <col min="462" max="462" width="11" style="3"/>
    <col min="463" max="463" width="15.7109375" style="3" customWidth="1"/>
    <col min="464" max="465" width="14.85546875" style="3" customWidth="1"/>
    <col min="466" max="466" width="3.28515625" style="3" customWidth="1"/>
    <col min="467" max="467" width="20.140625" style="3" customWidth="1"/>
    <col min="468" max="468" width="3.28515625" style="3" customWidth="1"/>
    <col min="469" max="473" width="11" style="3"/>
    <col min="474" max="486" width="4.7109375" style="3" customWidth="1"/>
    <col min="487" max="696" width="11" style="3"/>
    <col min="697" max="697" width="0.7109375" style="3" customWidth="1"/>
    <col min="698" max="698" width="6.5703125" style="3" customWidth="1"/>
    <col min="699" max="699" width="13.5703125" style="3" customWidth="1"/>
    <col min="700" max="700" width="13.42578125" style="3" customWidth="1"/>
    <col min="701" max="702" width="12.5703125" style="3" customWidth="1"/>
    <col min="703" max="703" width="14.85546875" style="3" customWidth="1"/>
    <col min="704" max="704" width="20.7109375" style="3" customWidth="1"/>
    <col min="705" max="705" width="12.5703125" style="3" customWidth="1"/>
    <col min="706" max="706" width="13" style="3" customWidth="1"/>
    <col min="707" max="707" width="16" style="3" customWidth="1"/>
    <col min="708" max="708" width="6.42578125" style="3" customWidth="1"/>
    <col min="709" max="709" width="16" style="3" customWidth="1"/>
    <col min="710" max="710" width="2.85546875" style="3" customWidth="1"/>
    <col min="711" max="711" width="0.85546875" style="3" customWidth="1"/>
    <col min="712" max="712" width="11" style="3"/>
    <col min="713" max="713" width="15.42578125" style="3" customWidth="1"/>
    <col min="714" max="716" width="14.85546875" style="3" customWidth="1"/>
    <col min="717" max="717" width="0.7109375" style="3" customWidth="1"/>
    <col min="718" max="718" width="11" style="3"/>
    <col min="719" max="719" width="15.7109375" style="3" customWidth="1"/>
    <col min="720" max="721" width="14.85546875" style="3" customWidth="1"/>
    <col min="722" max="722" width="3.28515625" style="3" customWidth="1"/>
    <col min="723" max="723" width="20.140625" style="3" customWidth="1"/>
    <col min="724" max="724" width="3.28515625" style="3" customWidth="1"/>
    <col min="725" max="729" width="11" style="3"/>
    <col min="730" max="742" width="4.7109375" style="3" customWidth="1"/>
    <col min="743" max="952" width="11" style="3"/>
    <col min="953" max="953" width="0.7109375" style="3" customWidth="1"/>
    <col min="954" max="954" width="6.5703125" style="3" customWidth="1"/>
    <col min="955" max="955" width="13.5703125" style="3" customWidth="1"/>
    <col min="956" max="956" width="13.42578125" style="3" customWidth="1"/>
    <col min="957" max="958" width="12.5703125" style="3" customWidth="1"/>
    <col min="959" max="959" width="14.85546875" style="3" customWidth="1"/>
    <col min="960" max="960" width="20.7109375" style="3" customWidth="1"/>
    <col min="961" max="961" width="12.5703125" style="3" customWidth="1"/>
    <col min="962" max="962" width="13" style="3" customWidth="1"/>
    <col min="963" max="963" width="16" style="3" customWidth="1"/>
    <col min="964" max="964" width="6.42578125" style="3" customWidth="1"/>
    <col min="965" max="965" width="16" style="3" customWidth="1"/>
    <col min="966" max="966" width="2.85546875" style="3" customWidth="1"/>
    <col min="967" max="967" width="0.85546875" style="3" customWidth="1"/>
    <col min="968" max="968" width="11" style="3"/>
    <col min="969" max="969" width="15.42578125" style="3" customWidth="1"/>
    <col min="970" max="972" width="14.85546875" style="3" customWidth="1"/>
    <col min="973" max="973" width="0.7109375" style="3" customWidth="1"/>
    <col min="974" max="974" width="11" style="3"/>
    <col min="975" max="975" width="15.7109375" style="3" customWidth="1"/>
    <col min="976" max="977" width="14.85546875" style="3" customWidth="1"/>
    <col min="978" max="978" width="3.28515625" style="3" customWidth="1"/>
    <col min="979" max="979" width="20.140625" style="3" customWidth="1"/>
    <col min="980" max="980" width="3.28515625" style="3" customWidth="1"/>
    <col min="981" max="985" width="11" style="3"/>
    <col min="986" max="998" width="4.7109375" style="3" customWidth="1"/>
    <col min="999" max="1208" width="11" style="3"/>
    <col min="1209" max="1209" width="0.7109375" style="3" customWidth="1"/>
    <col min="1210" max="1210" width="6.5703125" style="3" customWidth="1"/>
    <col min="1211" max="1211" width="13.5703125" style="3" customWidth="1"/>
    <col min="1212" max="1212" width="13.42578125" style="3" customWidth="1"/>
    <col min="1213" max="1214" width="12.5703125" style="3" customWidth="1"/>
    <col min="1215" max="1215" width="14.85546875" style="3" customWidth="1"/>
    <col min="1216" max="1216" width="20.7109375" style="3" customWidth="1"/>
    <col min="1217" max="1217" width="12.5703125" style="3" customWidth="1"/>
    <col min="1218" max="1218" width="13" style="3" customWidth="1"/>
    <col min="1219" max="1219" width="16" style="3" customWidth="1"/>
    <col min="1220" max="1220" width="6.42578125" style="3" customWidth="1"/>
    <col min="1221" max="1221" width="16" style="3" customWidth="1"/>
    <col min="1222" max="1222" width="2.85546875" style="3" customWidth="1"/>
    <col min="1223" max="1223" width="0.85546875" style="3" customWidth="1"/>
    <col min="1224" max="1224" width="11" style="3"/>
    <col min="1225" max="1225" width="15.42578125" style="3" customWidth="1"/>
    <col min="1226" max="1228" width="14.85546875" style="3" customWidth="1"/>
    <col min="1229" max="1229" width="0.7109375" style="3" customWidth="1"/>
    <col min="1230" max="1230" width="11" style="3"/>
    <col min="1231" max="1231" width="15.7109375" style="3" customWidth="1"/>
    <col min="1232" max="1233" width="14.85546875" style="3" customWidth="1"/>
    <col min="1234" max="1234" width="3.28515625" style="3" customWidth="1"/>
    <col min="1235" max="1235" width="20.140625" style="3" customWidth="1"/>
    <col min="1236" max="1236" width="3.28515625" style="3" customWidth="1"/>
    <col min="1237" max="1241" width="11" style="3"/>
    <col min="1242" max="1254" width="4.7109375" style="3" customWidth="1"/>
    <col min="1255" max="1464" width="11" style="3"/>
    <col min="1465" max="1465" width="0.7109375" style="3" customWidth="1"/>
    <col min="1466" max="1466" width="6.5703125" style="3" customWidth="1"/>
    <col min="1467" max="1467" width="13.5703125" style="3" customWidth="1"/>
    <col min="1468" max="1468" width="13.42578125" style="3" customWidth="1"/>
    <col min="1469" max="1470" width="12.5703125" style="3" customWidth="1"/>
    <col min="1471" max="1471" width="14.85546875" style="3" customWidth="1"/>
    <col min="1472" max="1472" width="20.7109375" style="3" customWidth="1"/>
    <col min="1473" max="1473" width="12.5703125" style="3" customWidth="1"/>
    <col min="1474" max="1474" width="13" style="3" customWidth="1"/>
    <col min="1475" max="1475" width="16" style="3" customWidth="1"/>
    <col min="1476" max="1476" width="6.42578125" style="3" customWidth="1"/>
    <col min="1477" max="1477" width="16" style="3" customWidth="1"/>
    <col min="1478" max="1478" width="2.85546875" style="3" customWidth="1"/>
    <col min="1479" max="1479" width="0.85546875" style="3" customWidth="1"/>
    <col min="1480" max="1480" width="11" style="3"/>
    <col min="1481" max="1481" width="15.42578125" style="3" customWidth="1"/>
    <col min="1482" max="1484" width="14.85546875" style="3" customWidth="1"/>
    <col min="1485" max="1485" width="0.7109375" style="3" customWidth="1"/>
    <col min="1486" max="1486" width="11" style="3"/>
    <col min="1487" max="1487" width="15.7109375" style="3" customWidth="1"/>
    <col min="1488" max="1489" width="14.85546875" style="3" customWidth="1"/>
    <col min="1490" max="1490" width="3.28515625" style="3" customWidth="1"/>
    <col min="1491" max="1491" width="20.140625" style="3" customWidth="1"/>
    <col min="1492" max="1492" width="3.28515625" style="3" customWidth="1"/>
    <col min="1493" max="1497" width="11" style="3"/>
    <col min="1498" max="1510" width="4.7109375" style="3" customWidth="1"/>
    <col min="1511" max="1720" width="11" style="3"/>
    <col min="1721" max="1721" width="0.7109375" style="3" customWidth="1"/>
    <col min="1722" max="1722" width="6.5703125" style="3" customWidth="1"/>
    <col min="1723" max="1723" width="13.5703125" style="3" customWidth="1"/>
    <col min="1724" max="1724" width="13.42578125" style="3" customWidth="1"/>
    <col min="1725" max="1726" width="12.5703125" style="3" customWidth="1"/>
    <col min="1727" max="1727" width="14.85546875" style="3" customWidth="1"/>
    <col min="1728" max="1728" width="20.7109375" style="3" customWidth="1"/>
    <col min="1729" max="1729" width="12.5703125" style="3" customWidth="1"/>
    <col min="1730" max="1730" width="13" style="3" customWidth="1"/>
    <col min="1731" max="1731" width="16" style="3" customWidth="1"/>
    <col min="1732" max="1732" width="6.42578125" style="3" customWidth="1"/>
    <col min="1733" max="1733" width="16" style="3" customWidth="1"/>
    <col min="1734" max="1734" width="2.85546875" style="3" customWidth="1"/>
    <col min="1735" max="1735" width="0.85546875" style="3" customWidth="1"/>
    <col min="1736" max="1736" width="11" style="3"/>
    <col min="1737" max="1737" width="15.42578125" style="3" customWidth="1"/>
    <col min="1738" max="1740" width="14.85546875" style="3" customWidth="1"/>
    <col min="1741" max="1741" width="0.7109375" style="3" customWidth="1"/>
    <col min="1742" max="1742" width="11" style="3"/>
    <col min="1743" max="1743" width="15.7109375" style="3" customWidth="1"/>
    <col min="1744" max="1745" width="14.85546875" style="3" customWidth="1"/>
    <col min="1746" max="1746" width="3.28515625" style="3" customWidth="1"/>
    <col min="1747" max="1747" width="20.140625" style="3" customWidth="1"/>
    <col min="1748" max="1748" width="3.28515625" style="3" customWidth="1"/>
    <col min="1749" max="1753" width="11" style="3"/>
    <col min="1754" max="1766" width="4.7109375" style="3" customWidth="1"/>
    <col min="1767" max="1976" width="11" style="3"/>
    <col min="1977" max="1977" width="0.7109375" style="3" customWidth="1"/>
    <col min="1978" max="1978" width="6.5703125" style="3" customWidth="1"/>
    <col min="1979" max="1979" width="13.5703125" style="3" customWidth="1"/>
    <col min="1980" max="1980" width="13.42578125" style="3" customWidth="1"/>
    <col min="1981" max="1982" width="12.5703125" style="3" customWidth="1"/>
    <col min="1983" max="1983" width="14.85546875" style="3" customWidth="1"/>
    <col min="1984" max="1984" width="20.7109375" style="3" customWidth="1"/>
    <col min="1985" max="1985" width="12.5703125" style="3" customWidth="1"/>
    <col min="1986" max="1986" width="13" style="3" customWidth="1"/>
    <col min="1987" max="1987" width="16" style="3" customWidth="1"/>
    <col min="1988" max="1988" width="6.42578125" style="3" customWidth="1"/>
    <col min="1989" max="1989" width="16" style="3" customWidth="1"/>
    <col min="1990" max="1990" width="2.85546875" style="3" customWidth="1"/>
    <col min="1991" max="1991" width="0.85546875" style="3" customWidth="1"/>
    <col min="1992" max="1992" width="11" style="3"/>
    <col min="1993" max="1993" width="15.42578125" style="3" customWidth="1"/>
    <col min="1994" max="1996" width="14.85546875" style="3" customWidth="1"/>
    <col min="1997" max="1997" width="0.7109375" style="3" customWidth="1"/>
    <col min="1998" max="1998" width="11" style="3"/>
    <col min="1999" max="1999" width="15.7109375" style="3" customWidth="1"/>
    <col min="2000" max="2001" width="14.85546875" style="3" customWidth="1"/>
    <col min="2002" max="2002" width="3.28515625" style="3" customWidth="1"/>
    <col min="2003" max="2003" width="20.140625" style="3" customWidth="1"/>
    <col min="2004" max="2004" width="3.28515625" style="3" customWidth="1"/>
    <col min="2005" max="2009" width="11" style="3"/>
    <col min="2010" max="2022" width="4.7109375" style="3" customWidth="1"/>
    <col min="2023" max="2232" width="11" style="3"/>
    <col min="2233" max="2233" width="0.7109375" style="3" customWidth="1"/>
    <col min="2234" max="2234" width="6.5703125" style="3" customWidth="1"/>
    <col min="2235" max="2235" width="13.5703125" style="3" customWidth="1"/>
    <col min="2236" max="2236" width="13.42578125" style="3" customWidth="1"/>
    <col min="2237" max="2238" width="12.5703125" style="3" customWidth="1"/>
    <col min="2239" max="2239" width="14.85546875" style="3" customWidth="1"/>
    <col min="2240" max="2240" width="20.7109375" style="3" customWidth="1"/>
    <col min="2241" max="2241" width="12.5703125" style="3" customWidth="1"/>
    <col min="2242" max="2242" width="13" style="3" customWidth="1"/>
    <col min="2243" max="2243" width="16" style="3" customWidth="1"/>
    <col min="2244" max="2244" width="6.42578125" style="3" customWidth="1"/>
    <col min="2245" max="2245" width="16" style="3" customWidth="1"/>
    <col min="2246" max="2246" width="2.85546875" style="3" customWidth="1"/>
    <col min="2247" max="2247" width="0.85546875" style="3" customWidth="1"/>
    <col min="2248" max="2248" width="11" style="3"/>
    <col min="2249" max="2249" width="15.42578125" style="3" customWidth="1"/>
    <col min="2250" max="2252" width="14.85546875" style="3" customWidth="1"/>
    <col min="2253" max="2253" width="0.7109375" style="3" customWidth="1"/>
    <col min="2254" max="2254" width="11" style="3"/>
    <col min="2255" max="2255" width="15.7109375" style="3" customWidth="1"/>
    <col min="2256" max="2257" width="14.85546875" style="3" customWidth="1"/>
    <col min="2258" max="2258" width="3.28515625" style="3" customWidth="1"/>
    <col min="2259" max="2259" width="20.140625" style="3" customWidth="1"/>
    <col min="2260" max="2260" width="3.28515625" style="3" customWidth="1"/>
    <col min="2261" max="2265" width="11" style="3"/>
    <col min="2266" max="2278" width="4.7109375" style="3" customWidth="1"/>
    <col min="2279" max="2488" width="11" style="3"/>
    <col min="2489" max="2489" width="0.7109375" style="3" customWidth="1"/>
    <col min="2490" max="2490" width="6.5703125" style="3" customWidth="1"/>
    <col min="2491" max="2491" width="13.5703125" style="3" customWidth="1"/>
    <col min="2492" max="2492" width="13.42578125" style="3" customWidth="1"/>
    <col min="2493" max="2494" width="12.5703125" style="3" customWidth="1"/>
    <col min="2495" max="2495" width="14.85546875" style="3" customWidth="1"/>
    <col min="2496" max="2496" width="20.7109375" style="3" customWidth="1"/>
    <col min="2497" max="2497" width="12.5703125" style="3" customWidth="1"/>
    <col min="2498" max="2498" width="13" style="3" customWidth="1"/>
    <col min="2499" max="2499" width="16" style="3" customWidth="1"/>
    <col min="2500" max="2500" width="6.42578125" style="3" customWidth="1"/>
    <col min="2501" max="2501" width="16" style="3" customWidth="1"/>
    <col min="2502" max="2502" width="2.85546875" style="3" customWidth="1"/>
    <col min="2503" max="2503" width="0.85546875" style="3" customWidth="1"/>
    <col min="2504" max="2504" width="11" style="3"/>
    <col min="2505" max="2505" width="15.42578125" style="3" customWidth="1"/>
    <col min="2506" max="2508" width="14.85546875" style="3" customWidth="1"/>
    <col min="2509" max="2509" width="0.7109375" style="3" customWidth="1"/>
    <col min="2510" max="2510" width="11" style="3"/>
    <col min="2511" max="2511" width="15.7109375" style="3" customWidth="1"/>
    <col min="2512" max="2513" width="14.85546875" style="3" customWidth="1"/>
    <col min="2514" max="2514" width="3.28515625" style="3" customWidth="1"/>
    <col min="2515" max="2515" width="20.140625" style="3" customWidth="1"/>
    <col min="2516" max="2516" width="3.28515625" style="3" customWidth="1"/>
    <col min="2517" max="2521" width="11" style="3"/>
    <col min="2522" max="2534" width="4.7109375" style="3" customWidth="1"/>
    <col min="2535" max="2744" width="11" style="3"/>
    <col min="2745" max="2745" width="0.7109375" style="3" customWidth="1"/>
    <col min="2746" max="2746" width="6.5703125" style="3" customWidth="1"/>
    <col min="2747" max="2747" width="13.5703125" style="3" customWidth="1"/>
    <col min="2748" max="2748" width="13.42578125" style="3" customWidth="1"/>
    <col min="2749" max="2750" width="12.5703125" style="3" customWidth="1"/>
    <col min="2751" max="2751" width="14.85546875" style="3" customWidth="1"/>
    <col min="2752" max="2752" width="20.7109375" style="3" customWidth="1"/>
    <col min="2753" max="2753" width="12.5703125" style="3" customWidth="1"/>
    <col min="2754" max="2754" width="13" style="3" customWidth="1"/>
    <col min="2755" max="2755" width="16" style="3" customWidth="1"/>
    <col min="2756" max="2756" width="6.42578125" style="3" customWidth="1"/>
    <col min="2757" max="2757" width="16" style="3" customWidth="1"/>
    <col min="2758" max="2758" width="2.85546875" style="3" customWidth="1"/>
    <col min="2759" max="2759" width="0.85546875" style="3" customWidth="1"/>
    <col min="2760" max="2760" width="11" style="3"/>
    <col min="2761" max="2761" width="15.42578125" style="3" customWidth="1"/>
    <col min="2762" max="2764" width="14.85546875" style="3" customWidth="1"/>
    <col min="2765" max="2765" width="0.7109375" style="3" customWidth="1"/>
    <col min="2766" max="2766" width="11" style="3"/>
    <col min="2767" max="2767" width="15.7109375" style="3" customWidth="1"/>
    <col min="2768" max="2769" width="14.85546875" style="3" customWidth="1"/>
    <col min="2770" max="2770" width="3.28515625" style="3" customWidth="1"/>
    <col min="2771" max="2771" width="20.140625" style="3" customWidth="1"/>
    <col min="2772" max="2772" width="3.28515625" style="3" customWidth="1"/>
    <col min="2773" max="2777" width="11" style="3"/>
    <col min="2778" max="2790" width="4.7109375" style="3" customWidth="1"/>
    <col min="2791" max="3000" width="11" style="3"/>
    <col min="3001" max="3001" width="0.7109375" style="3" customWidth="1"/>
    <col min="3002" max="3002" width="6.5703125" style="3" customWidth="1"/>
    <col min="3003" max="3003" width="13.5703125" style="3" customWidth="1"/>
    <col min="3004" max="3004" width="13.42578125" style="3" customWidth="1"/>
    <col min="3005" max="3006" width="12.5703125" style="3" customWidth="1"/>
    <col min="3007" max="3007" width="14.85546875" style="3" customWidth="1"/>
    <col min="3008" max="3008" width="20.7109375" style="3" customWidth="1"/>
    <col min="3009" max="3009" width="12.5703125" style="3" customWidth="1"/>
    <col min="3010" max="3010" width="13" style="3" customWidth="1"/>
    <col min="3011" max="3011" width="16" style="3" customWidth="1"/>
    <col min="3012" max="3012" width="6.42578125" style="3" customWidth="1"/>
    <col min="3013" max="3013" width="16" style="3" customWidth="1"/>
    <col min="3014" max="3014" width="2.85546875" style="3" customWidth="1"/>
    <col min="3015" max="3015" width="0.85546875" style="3" customWidth="1"/>
    <col min="3016" max="3016" width="11" style="3"/>
    <col min="3017" max="3017" width="15.42578125" style="3" customWidth="1"/>
    <col min="3018" max="3020" width="14.85546875" style="3" customWidth="1"/>
    <col min="3021" max="3021" width="0.7109375" style="3" customWidth="1"/>
    <col min="3022" max="3022" width="11" style="3"/>
    <col min="3023" max="3023" width="15.7109375" style="3" customWidth="1"/>
    <col min="3024" max="3025" width="14.85546875" style="3" customWidth="1"/>
    <col min="3026" max="3026" width="3.28515625" style="3" customWidth="1"/>
    <col min="3027" max="3027" width="20.140625" style="3" customWidth="1"/>
    <col min="3028" max="3028" width="3.28515625" style="3" customWidth="1"/>
    <col min="3029" max="3033" width="11" style="3"/>
    <col min="3034" max="3046" width="4.7109375" style="3" customWidth="1"/>
    <col min="3047" max="3256" width="11" style="3"/>
    <col min="3257" max="3257" width="0.7109375" style="3" customWidth="1"/>
    <col min="3258" max="3258" width="6.5703125" style="3" customWidth="1"/>
    <col min="3259" max="3259" width="13.5703125" style="3" customWidth="1"/>
    <col min="3260" max="3260" width="13.42578125" style="3" customWidth="1"/>
    <col min="3261" max="3262" width="12.5703125" style="3" customWidth="1"/>
    <col min="3263" max="3263" width="14.85546875" style="3" customWidth="1"/>
    <col min="3264" max="3264" width="20.7109375" style="3" customWidth="1"/>
    <col min="3265" max="3265" width="12.5703125" style="3" customWidth="1"/>
    <col min="3266" max="3266" width="13" style="3" customWidth="1"/>
    <col min="3267" max="3267" width="16" style="3" customWidth="1"/>
    <col min="3268" max="3268" width="6.42578125" style="3" customWidth="1"/>
    <col min="3269" max="3269" width="16" style="3" customWidth="1"/>
    <col min="3270" max="3270" width="2.85546875" style="3" customWidth="1"/>
    <col min="3271" max="3271" width="0.85546875" style="3" customWidth="1"/>
    <col min="3272" max="3272" width="11" style="3"/>
    <col min="3273" max="3273" width="15.42578125" style="3" customWidth="1"/>
    <col min="3274" max="3276" width="14.85546875" style="3" customWidth="1"/>
    <col min="3277" max="3277" width="0.7109375" style="3" customWidth="1"/>
    <col min="3278" max="3278" width="11" style="3"/>
    <col min="3279" max="3279" width="15.7109375" style="3" customWidth="1"/>
    <col min="3280" max="3281" width="14.85546875" style="3" customWidth="1"/>
    <col min="3282" max="3282" width="3.28515625" style="3" customWidth="1"/>
    <col min="3283" max="3283" width="20.140625" style="3" customWidth="1"/>
    <col min="3284" max="3284" width="3.28515625" style="3" customWidth="1"/>
    <col min="3285" max="3289" width="11" style="3"/>
    <col min="3290" max="3302" width="4.7109375" style="3" customWidth="1"/>
    <col min="3303" max="3512" width="11" style="3"/>
    <col min="3513" max="3513" width="0.7109375" style="3" customWidth="1"/>
    <col min="3514" max="3514" width="6.5703125" style="3" customWidth="1"/>
    <col min="3515" max="3515" width="13.5703125" style="3" customWidth="1"/>
    <col min="3516" max="3516" width="13.42578125" style="3" customWidth="1"/>
    <col min="3517" max="3518" width="12.5703125" style="3" customWidth="1"/>
    <col min="3519" max="3519" width="14.85546875" style="3" customWidth="1"/>
    <col min="3520" max="3520" width="20.7109375" style="3" customWidth="1"/>
    <col min="3521" max="3521" width="12.5703125" style="3" customWidth="1"/>
    <col min="3522" max="3522" width="13" style="3" customWidth="1"/>
    <col min="3523" max="3523" width="16" style="3" customWidth="1"/>
    <col min="3524" max="3524" width="6.42578125" style="3" customWidth="1"/>
    <col min="3525" max="3525" width="16" style="3" customWidth="1"/>
    <col min="3526" max="3526" width="2.85546875" style="3" customWidth="1"/>
    <col min="3527" max="3527" width="0.85546875" style="3" customWidth="1"/>
    <col min="3528" max="3528" width="11" style="3"/>
    <col min="3529" max="3529" width="15.42578125" style="3" customWidth="1"/>
    <col min="3530" max="3532" width="14.85546875" style="3" customWidth="1"/>
    <col min="3533" max="3533" width="0.7109375" style="3" customWidth="1"/>
    <col min="3534" max="3534" width="11" style="3"/>
    <col min="3535" max="3535" width="15.7109375" style="3" customWidth="1"/>
    <col min="3536" max="3537" width="14.85546875" style="3" customWidth="1"/>
    <col min="3538" max="3538" width="3.28515625" style="3" customWidth="1"/>
    <col min="3539" max="3539" width="20.140625" style="3" customWidth="1"/>
    <col min="3540" max="3540" width="3.28515625" style="3" customWidth="1"/>
    <col min="3541" max="3545" width="11" style="3"/>
    <col min="3546" max="3558" width="4.7109375" style="3" customWidth="1"/>
    <col min="3559" max="3768" width="11" style="3"/>
    <col min="3769" max="3769" width="0.7109375" style="3" customWidth="1"/>
    <col min="3770" max="3770" width="6.5703125" style="3" customWidth="1"/>
    <col min="3771" max="3771" width="13.5703125" style="3" customWidth="1"/>
    <col min="3772" max="3772" width="13.42578125" style="3" customWidth="1"/>
    <col min="3773" max="3774" width="12.5703125" style="3" customWidth="1"/>
    <col min="3775" max="3775" width="14.85546875" style="3" customWidth="1"/>
    <col min="3776" max="3776" width="20.7109375" style="3" customWidth="1"/>
    <col min="3777" max="3777" width="12.5703125" style="3" customWidth="1"/>
    <col min="3778" max="3778" width="13" style="3" customWidth="1"/>
    <col min="3779" max="3779" width="16" style="3" customWidth="1"/>
    <col min="3780" max="3780" width="6.42578125" style="3" customWidth="1"/>
    <col min="3781" max="3781" width="16" style="3" customWidth="1"/>
    <col min="3782" max="3782" width="2.85546875" style="3" customWidth="1"/>
    <col min="3783" max="3783" width="0.85546875" style="3" customWidth="1"/>
    <col min="3784" max="3784" width="11" style="3"/>
    <col min="3785" max="3785" width="15.42578125" style="3" customWidth="1"/>
    <col min="3786" max="3788" width="14.85546875" style="3" customWidth="1"/>
    <col min="3789" max="3789" width="0.7109375" style="3" customWidth="1"/>
    <col min="3790" max="3790" width="11" style="3"/>
    <col min="3791" max="3791" width="15.7109375" style="3" customWidth="1"/>
    <col min="3792" max="3793" width="14.85546875" style="3" customWidth="1"/>
    <col min="3794" max="3794" width="3.28515625" style="3" customWidth="1"/>
    <col min="3795" max="3795" width="20.140625" style="3" customWidth="1"/>
    <col min="3796" max="3796" width="3.28515625" style="3" customWidth="1"/>
    <col min="3797" max="3801" width="11" style="3"/>
    <col min="3802" max="3814" width="4.7109375" style="3" customWidth="1"/>
    <col min="3815" max="4024" width="11" style="3"/>
    <col min="4025" max="4025" width="0.7109375" style="3" customWidth="1"/>
    <col min="4026" max="4026" width="6.5703125" style="3" customWidth="1"/>
    <col min="4027" max="4027" width="13.5703125" style="3" customWidth="1"/>
    <col min="4028" max="4028" width="13.42578125" style="3" customWidth="1"/>
    <col min="4029" max="4030" width="12.5703125" style="3" customWidth="1"/>
    <col min="4031" max="4031" width="14.85546875" style="3" customWidth="1"/>
    <col min="4032" max="4032" width="20.7109375" style="3" customWidth="1"/>
    <col min="4033" max="4033" width="12.5703125" style="3" customWidth="1"/>
    <col min="4034" max="4034" width="13" style="3" customWidth="1"/>
    <col min="4035" max="4035" width="16" style="3" customWidth="1"/>
    <col min="4036" max="4036" width="6.42578125" style="3" customWidth="1"/>
    <col min="4037" max="4037" width="16" style="3" customWidth="1"/>
    <col min="4038" max="4038" width="2.85546875" style="3" customWidth="1"/>
    <col min="4039" max="4039" width="0.85546875" style="3" customWidth="1"/>
    <col min="4040" max="4040" width="11" style="3"/>
    <col min="4041" max="4041" width="15.42578125" style="3" customWidth="1"/>
    <col min="4042" max="4044" width="14.85546875" style="3" customWidth="1"/>
    <col min="4045" max="4045" width="0.7109375" style="3" customWidth="1"/>
    <col min="4046" max="4046" width="11" style="3"/>
    <col min="4047" max="4047" width="15.7109375" style="3" customWidth="1"/>
    <col min="4048" max="4049" width="14.85546875" style="3" customWidth="1"/>
    <col min="4050" max="4050" width="3.28515625" style="3" customWidth="1"/>
    <col min="4051" max="4051" width="20.140625" style="3" customWidth="1"/>
    <col min="4052" max="4052" width="3.28515625" style="3" customWidth="1"/>
    <col min="4053" max="4057" width="11" style="3"/>
    <col min="4058" max="4070" width="4.7109375" style="3" customWidth="1"/>
    <col min="4071" max="4280" width="11" style="3"/>
    <col min="4281" max="4281" width="0.7109375" style="3" customWidth="1"/>
    <col min="4282" max="4282" width="6.5703125" style="3" customWidth="1"/>
    <col min="4283" max="4283" width="13.5703125" style="3" customWidth="1"/>
    <col min="4284" max="4284" width="13.42578125" style="3" customWidth="1"/>
    <col min="4285" max="4286" width="12.5703125" style="3" customWidth="1"/>
    <col min="4287" max="4287" width="14.85546875" style="3" customWidth="1"/>
    <col min="4288" max="4288" width="20.7109375" style="3" customWidth="1"/>
    <col min="4289" max="4289" width="12.5703125" style="3" customWidth="1"/>
    <col min="4290" max="4290" width="13" style="3" customWidth="1"/>
    <col min="4291" max="4291" width="16" style="3" customWidth="1"/>
    <col min="4292" max="4292" width="6.42578125" style="3" customWidth="1"/>
    <col min="4293" max="4293" width="16" style="3" customWidth="1"/>
    <col min="4294" max="4294" width="2.85546875" style="3" customWidth="1"/>
    <col min="4295" max="4295" width="0.85546875" style="3" customWidth="1"/>
    <col min="4296" max="4296" width="11" style="3"/>
    <col min="4297" max="4297" width="15.42578125" style="3" customWidth="1"/>
    <col min="4298" max="4300" width="14.85546875" style="3" customWidth="1"/>
    <col min="4301" max="4301" width="0.7109375" style="3" customWidth="1"/>
    <col min="4302" max="4302" width="11" style="3"/>
    <col min="4303" max="4303" width="15.7109375" style="3" customWidth="1"/>
    <col min="4304" max="4305" width="14.85546875" style="3" customWidth="1"/>
    <col min="4306" max="4306" width="3.28515625" style="3" customWidth="1"/>
    <col min="4307" max="4307" width="20.140625" style="3" customWidth="1"/>
    <col min="4308" max="4308" width="3.28515625" style="3" customWidth="1"/>
    <col min="4309" max="4313" width="11" style="3"/>
    <col min="4314" max="4326" width="4.7109375" style="3" customWidth="1"/>
    <col min="4327" max="4536" width="11" style="3"/>
    <col min="4537" max="4537" width="0.7109375" style="3" customWidth="1"/>
    <col min="4538" max="4538" width="6.5703125" style="3" customWidth="1"/>
    <col min="4539" max="4539" width="13.5703125" style="3" customWidth="1"/>
    <col min="4540" max="4540" width="13.42578125" style="3" customWidth="1"/>
    <col min="4541" max="4542" width="12.5703125" style="3" customWidth="1"/>
    <col min="4543" max="4543" width="14.85546875" style="3" customWidth="1"/>
    <col min="4544" max="4544" width="20.7109375" style="3" customWidth="1"/>
    <col min="4545" max="4545" width="12.5703125" style="3" customWidth="1"/>
    <col min="4546" max="4546" width="13" style="3" customWidth="1"/>
    <col min="4547" max="4547" width="16" style="3" customWidth="1"/>
    <col min="4548" max="4548" width="6.42578125" style="3" customWidth="1"/>
    <col min="4549" max="4549" width="16" style="3" customWidth="1"/>
    <col min="4550" max="4550" width="2.85546875" style="3" customWidth="1"/>
    <col min="4551" max="4551" width="0.85546875" style="3" customWidth="1"/>
    <col min="4552" max="4552" width="11" style="3"/>
    <col min="4553" max="4553" width="15.42578125" style="3" customWidth="1"/>
    <col min="4554" max="4556" width="14.85546875" style="3" customWidth="1"/>
    <col min="4557" max="4557" width="0.7109375" style="3" customWidth="1"/>
    <col min="4558" max="4558" width="11" style="3"/>
    <col min="4559" max="4559" width="15.7109375" style="3" customWidth="1"/>
    <col min="4560" max="4561" width="14.85546875" style="3" customWidth="1"/>
    <col min="4562" max="4562" width="3.28515625" style="3" customWidth="1"/>
    <col min="4563" max="4563" width="20.140625" style="3" customWidth="1"/>
    <col min="4564" max="4564" width="3.28515625" style="3" customWidth="1"/>
    <col min="4565" max="4569" width="11" style="3"/>
    <col min="4570" max="4582" width="4.7109375" style="3" customWidth="1"/>
    <col min="4583" max="4792" width="11" style="3"/>
    <col min="4793" max="4793" width="0.7109375" style="3" customWidth="1"/>
    <col min="4794" max="4794" width="6.5703125" style="3" customWidth="1"/>
    <col min="4795" max="4795" width="13.5703125" style="3" customWidth="1"/>
    <col min="4796" max="4796" width="13.42578125" style="3" customWidth="1"/>
    <col min="4797" max="4798" width="12.5703125" style="3" customWidth="1"/>
    <col min="4799" max="4799" width="14.85546875" style="3" customWidth="1"/>
    <col min="4800" max="4800" width="20.7109375" style="3" customWidth="1"/>
    <col min="4801" max="4801" width="12.5703125" style="3" customWidth="1"/>
    <col min="4802" max="4802" width="13" style="3" customWidth="1"/>
    <col min="4803" max="4803" width="16" style="3" customWidth="1"/>
    <col min="4804" max="4804" width="6.42578125" style="3" customWidth="1"/>
    <col min="4805" max="4805" width="16" style="3" customWidth="1"/>
    <col min="4806" max="4806" width="2.85546875" style="3" customWidth="1"/>
    <col min="4807" max="4807" width="0.85546875" style="3" customWidth="1"/>
    <col min="4808" max="4808" width="11" style="3"/>
    <col min="4809" max="4809" width="15.42578125" style="3" customWidth="1"/>
    <col min="4810" max="4812" width="14.85546875" style="3" customWidth="1"/>
    <col min="4813" max="4813" width="0.7109375" style="3" customWidth="1"/>
    <col min="4814" max="4814" width="11" style="3"/>
    <col min="4815" max="4815" width="15.7109375" style="3" customWidth="1"/>
    <col min="4816" max="4817" width="14.85546875" style="3" customWidth="1"/>
    <col min="4818" max="4818" width="3.28515625" style="3" customWidth="1"/>
    <col min="4819" max="4819" width="20.140625" style="3" customWidth="1"/>
    <col min="4820" max="4820" width="3.28515625" style="3" customWidth="1"/>
    <col min="4821" max="4825" width="11" style="3"/>
    <col min="4826" max="4838" width="4.7109375" style="3" customWidth="1"/>
    <col min="4839" max="5048" width="11" style="3"/>
    <col min="5049" max="5049" width="0.7109375" style="3" customWidth="1"/>
    <col min="5050" max="5050" width="6.5703125" style="3" customWidth="1"/>
    <col min="5051" max="5051" width="13.5703125" style="3" customWidth="1"/>
    <col min="5052" max="5052" width="13.42578125" style="3" customWidth="1"/>
    <col min="5053" max="5054" width="12.5703125" style="3" customWidth="1"/>
    <col min="5055" max="5055" width="14.85546875" style="3" customWidth="1"/>
    <col min="5056" max="5056" width="20.7109375" style="3" customWidth="1"/>
    <col min="5057" max="5057" width="12.5703125" style="3" customWidth="1"/>
    <col min="5058" max="5058" width="13" style="3" customWidth="1"/>
    <col min="5059" max="5059" width="16" style="3" customWidth="1"/>
    <col min="5060" max="5060" width="6.42578125" style="3" customWidth="1"/>
    <col min="5061" max="5061" width="16" style="3" customWidth="1"/>
    <col min="5062" max="5062" width="2.85546875" style="3" customWidth="1"/>
    <col min="5063" max="5063" width="0.85546875" style="3" customWidth="1"/>
    <col min="5064" max="5064" width="11" style="3"/>
    <col min="5065" max="5065" width="15.42578125" style="3" customWidth="1"/>
    <col min="5066" max="5068" width="14.85546875" style="3" customWidth="1"/>
    <col min="5069" max="5069" width="0.7109375" style="3" customWidth="1"/>
    <col min="5070" max="5070" width="11" style="3"/>
    <col min="5071" max="5071" width="15.7109375" style="3" customWidth="1"/>
    <col min="5072" max="5073" width="14.85546875" style="3" customWidth="1"/>
    <col min="5074" max="5074" width="3.28515625" style="3" customWidth="1"/>
    <col min="5075" max="5075" width="20.140625" style="3" customWidth="1"/>
    <col min="5076" max="5076" width="3.28515625" style="3" customWidth="1"/>
    <col min="5077" max="5081" width="11" style="3"/>
    <col min="5082" max="5094" width="4.7109375" style="3" customWidth="1"/>
    <col min="5095" max="5304" width="11" style="3"/>
    <col min="5305" max="5305" width="0.7109375" style="3" customWidth="1"/>
    <col min="5306" max="5306" width="6.5703125" style="3" customWidth="1"/>
    <col min="5307" max="5307" width="13.5703125" style="3" customWidth="1"/>
    <col min="5308" max="5308" width="13.42578125" style="3" customWidth="1"/>
    <col min="5309" max="5310" width="12.5703125" style="3" customWidth="1"/>
    <col min="5311" max="5311" width="14.85546875" style="3" customWidth="1"/>
    <col min="5312" max="5312" width="20.7109375" style="3" customWidth="1"/>
    <col min="5313" max="5313" width="12.5703125" style="3" customWidth="1"/>
    <col min="5314" max="5314" width="13" style="3" customWidth="1"/>
    <col min="5315" max="5315" width="16" style="3" customWidth="1"/>
    <col min="5316" max="5316" width="6.42578125" style="3" customWidth="1"/>
    <col min="5317" max="5317" width="16" style="3" customWidth="1"/>
    <col min="5318" max="5318" width="2.85546875" style="3" customWidth="1"/>
    <col min="5319" max="5319" width="0.85546875" style="3" customWidth="1"/>
    <col min="5320" max="5320" width="11" style="3"/>
    <col min="5321" max="5321" width="15.42578125" style="3" customWidth="1"/>
    <col min="5322" max="5324" width="14.85546875" style="3" customWidth="1"/>
    <col min="5325" max="5325" width="0.7109375" style="3" customWidth="1"/>
    <col min="5326" max="5326" width="11" style="3"/>
    <col min="5327" max="5327" width="15.7109375" style="3" customWidth="1"/>
    <col min="5328" max="5329" width="14.85546875" style="3" customWidth="1"/>
    <col min="5330" max="5330" width="3.28515625" style="3" customWidth="1"/>
    <col min="5331" max="5331" width="20.140625" style="3" customWidth="1"/>
    <col min="5332" max="5332" width="3.28515625" style="3" customWidth="1"/>
    <col min="5333" max="5337" width="11" style="3"/>
    <col min="5338" max="5350" width="4.7109375" style="3" customWidth="1"/>
    <col min="5351" max="5560" width="11" style="3"/>
    <col min="5561" max="5561" width="0.7109375" style="3" customWidth="1"/>
    <col min="5562" max="5562" width="6.5703125" style="3" customWidth="1"/>
    <col min="5563" max="5563" width="13.5703125" style="3" customWidth="1"/>
    <col min="5564" max="5564" width="13.42578125" style="3" customWidth="1"/>
    <col min="5565" max="5566" width="12.5703125" style="3" customWidth="1"/>
    <col min="5567" max="5567" width="14.85546875" style="3" customWidth="1"/>
    <col min="5568" max="5568" width="20.7109375" style="3" customWidth="1"/>
    <col min="5569" max="5569" width="12.5703125" style="3" customWidth="1"/>
    <col min="5570" max="5570" width="13" style="3" customWidth="1"/>
    <col min="5571" max="5571" width="16" style="3" customWidth="1"/>
    <col min="5572" max="5572" width="6.42578125" style="3" customWidth="1"/>
    <col min="5573" max="5573" width="16" style="3" customWidth="1"/>
    <col min="5574" max="5574" width="2.85546875" style="3" customWidth="1"/>
    <col min="5575" max="5575" width="0.85546875" style="3" customWidth="1"/>
    <col min="5576" max="5576" width="11" style="3"/>
    <col min="5577" max="5577" width="15.42578125" style="3" customWidth="1"/>
    <col min="5578" max="5580" width="14.85546875" style="3" customWidth="1"/>
    <col min="5581" max="5581" width="0.7109375" style="3" customWidth="1"/>
    <col min="5582" max="5582" width="11" style="3"/>
    <col min="5583" max="5583" width="15.7109375" style="3" customWidth="1"/>
    <col min="5584" max="5585" width="14.85546875" style="3" customWidth="1"/>
    <col min="5586" max="5586" width="3.28515625" style="3" customWidth="1"/>
    <col min="5587" max="5587" width="20.140625" style="3" customWidth="1"/>
    <col min="5588" max="5588" width="3.28515625" style="3" customWidth="1"/>
    <col min="5589" max="5593" width="11" style="3"/>
    <col min="5594" max="5606" width="4.7109375" style="3" customWidth="1"/>
    <col min="5607" max="5816" width="11" style="3"/>
    <col min="5817" max="5817" width="0.7109375" style="3" customWidth="1"/>
    <col min="5818" max="5818" width="6.5703125" style="3" customWidth="1"/>
    <col min="5819" max="5819" width="13.5703125" style="3" customWidth="1"/>
    <col min="5820" max="5820" width="13.42578125" style="3" customWidth="1"/>
    <col min="5821" max="5822" width="12.5703125" style="3" customWidth="1"/>
    <col min="5823" max="5823" width="14.85546875" style="3" customWidth="1"/>
    <col min="5824" max="5824" width="20.7109375" style="3" customWidth="1"/>
    <col min="5825" max="5825" width="12.5703125" style="3" customWidth="1"/>
    <col min="5826" max="5826" width="13" style="3" customWidth="1"/>
    <col min="5827" max="5827" width="16" style="3" customWidth="1"/>
    <col min="5828" max="5828" width="6.42578125" style="3" customWidth="1"/>
    <col min="5829" max="5829" width="16" style="3" customWidth="1"/>
    <col min="5830" max="5830" width="2.85546875" style="3" customWidth="1"/>
    <col min="5831" max="5831" width="0.85546875" style="3" customWidth="1"/>
    <col min="5832" max="5832" width="11" style="3"/>
    <col min="5833" max="5833" width="15.42578125" style="3" customWidth="1"/>
    <col min="5834" max="5836" width="14.85546875" style="3" customWidth="1"/>
    <col min="5837" max="5837" width="0.7109375" style="3" customWidth="1"/>
    <col min="5838" max="5838" width="11" style="3"/>
    <col min="5839" max="5839" width="15.7109375" style="3" customWidth="1"/>
    <col min="5840" max="5841" width="14.85546875" style="3" customWidth="1"/>
    <col min="5842" max="5842" width="3.28515625" style="3" customWidth="1"/>
    <col min="5843" max="5843" width="20.140625" style="3" customWidth="1"/>
    <col min="5844" max="5844" width="3.28515625" style="3" customWidth="1"/>
    <col min="5845" max="5849" width="11" style="3"/>
    <col min="5850" max="5862" width="4.7109375" style="3" customWidth="1"/>
    <col min="5863" max="6072" width="11" style="3"/>
    <col min="6073" max="6073" width="0.7109375" style="3" customWidth="1"/>
    <col min="6074" max="6074" width="6.5703125" style="3" customWidth="1"/>
    <col min="6075" max="6075" width="13.5703125" style="3" customWidth="1"/>
    <col min="6076" max="6076" width="13.42578125" style="3" customWidth="1"/>
    <col min="6077" max="6078" width="12.5703125" style="3" customWidth="1"/>
    <col min="6079" max="6079" width="14.85546875" style="3" customWidth="1"/>
    <col min="6080" max="6080" width="20.7109375" style="3" customWidth="1"/>
    <col min="6081" max="6081" width="12.5703125" style="3" customWidth="1"/>
    <col min="6082" max="6082" width="13" style="3" customWidth="1"/>
    <col min="6083" max="6083" width="16" style="3" customWidth="1"/>
    <col min="6084" max="6084" width="6.42578125" style="3" customWidth="1"/>
    <col min="6085" max="6085" width="16" style="3" customWidth="1"/>
    <col min="6086" max="6086" width="2.85546875" style="3" customWidth="1"/>
    <col min="6087" max="6087" width="0.85546875" style="3" customWidth="1"/>
    <col min="6088" max="6088" width="11" style="3"/>
    <col min="6089" max="6089" width="15.42578125" style="3" customWidth="1"/>
    <col min="6090" max="6092" width="14.85546875" style="3" customWidth="1"/>
    <col min="6093" max="6093" width="0.7109375" style="3" customWidth="1"/>
    <col min="6094" max="6094" width="11" style="3"/>
    <col min="6095" max="6095" width="15.7109375" style="3" customWidth="1"/>
    <col min="6096" max="6097" width="14.85546875" style="3" customWidth="1"/>
    <col min="6098" max="6098" width="3.28515625" style="3" customWidth="1"/>
    <col min="6099" max="6099" width="20.140625" style="3" customWidth="1"/>
    <col min="6100" max="6100" width="3.28515625" style="3" customWidth="1"/>
    <col min="6101" max="6105" width="11" style="3"/>
    <col min="6106" max="6118" width="4.7109375" style="3" customWidth="1"/>
    <col min="6119" max="6328" width="11" style="3"/>
    <col min="6329" max="6329" width="0.7109375" style="3" customWidth="1"/>
    <col min="6330" max="6330" width="6.5703125" style="3" customWidth="1"/>
    <col min="6331" max="6331" width="13.5703125" style="3" customWidth="1"/>
    <col min="6332" max="6332" width="13.42578125" style="3" customWidth="1"/>
    <col min="6333" max="6334" width="12.5703125" style="3" customWidth="1"/>
    <col min="6335" max="6335" width="14.85546875" style="3" customWidth="1"/>
    <col min="6336" max="6336" width="20.7109375" style="3" customWidth="1"/>
    <col min="6337" max="6337" width="12.5703125" style="3" customWidth="1"/>
    <col min="6338" max="6338" width="13" style="3" customWidth="1"/>
    <col min="6339" max="6339" width="16" style="3" customWidth="1"/>
    <col min="6340" max="6340" width="6.42578125" style="3" customWidth="1"/>
    <col min="6341" max="6341" width="16" style="3" customWidth="1"/>
    <col min="6342" max="6342" width="2.85546875" style="3" customWidth="1"/>
    <col min="6343" max="6343" width="0.85546875" style="3" customWidth="1"/>
    <col min="6344" max="6344" width="11" style="3"/>
    <col min="6345" max="6345" width="15.42578125" style="3" customWidth="1"/>
    <col min="6346" max="6348" width="14.85546875" style="3" customWidth="1"/>
    <col min="6349" max="6349" width="0.7109375" style="3" customWidth="1"/>
    <col min="6350" max="6350" width="11" style="3"/>
    <col min="6351" max="6351" width="15.7109375" style="3" customWidth="1"/>
    <col min="6352" max="6353" width="14.85546875" style="3" customWidth="1"/>
    <col min="6354" max="6354" width="3.28515625" style="3" customWidth="1"/>
    <col min="6355" max="6355" width="20.140625" style="3" customWidth="1"/>
    <col min="6356" max="6356" width="3.28515625" style="3" customWidth="1"/>
    <col min="6357" max="6361" width="11" style="3"/>
    <col min="6362" max="6374" width="4.7109375" style="3" customWidth="1"/>
    <col min="6375" max="6584" width="11" style="3"/>
    <col min="6585" max="6585" width="0.7109375" style="3" customWidth="1"/>
    <col min="6586" max="6586" width="6.5703125" style="3" customWidth="1"/>
    <col min="6587" max="6587" width="13.5703125" style="3" customWidth="1"/>
    <col min="6588" max="6588" width="13.42578125" style="3" customWidth="1"/>
    <col min="6589" max="6590" width="12.5703125" style="3" customWidth="1"/>
    <col min="6591" max="6591" width="14.85546875" style="3" customWidth="1"/>
    <col min="6592" max="6592" width="20.7109375" style="3" customWidth="1"/>
    <col min="6593" max="6593" width="12.5703125" style="3" customWidth="1"/>
    <col min="6594" max="6594" width="13" style="3" customWidth="1"/>
    <col min="6595" max="6595" width="16" style="3" customWidth="1"/>
    <col min="6596" max="6596" width="6.42578125" style="3" customWidth="1"/>
    <col min="6597" max="6597" width="16" style="3" customWidth="1"/>
    <col min="6598" max="6598" width="2.85546875" style="3" customWidth="1"/>
    <col min="6599" max="6599" width="0.85546875" style="3" customWidth="1"/>
    <col min="6600" max="6600" width="11" style="3"/>
    <col min="6601" max="6601" width="15.42578125" style="3" customWidth="1"/>
    <col min="6602" max="6604" width="14.85546875" style="3" customWidth="1"/>
    <col min="6605" max="6605" width="0.7109375" style="3" customWidth="1"/>
    <col min="6606" max="6606" width="11" style="3"/>
    <col min="6607" max="6607" width="15.7109375" style="3" customWidth="1"/>
    <col min="6608" max="6609" width="14.85546875" style="3" customWidth="1"/>
    <col min="6610" max="6610" width="3.28515625" style="3" customWidth="1"/>
    <col min="6611" max="6611" width="20.140625" style="3" customWidth="1"/>
    <col min="6612" max="6612" width="3.28515625" style="3" customWidth="1"/>
    <col min="6613" max="6617" width="11" style="3"/>
    <col min="6618" max="6630" width="4.7109375" style="3" customWidth="1"/>
    <col min="6631" max="6840" width="11" style="3"/>
    <col min="6841" max="6841" width="0.7109375" style="3" customWidth="1"/>
    <col min="6842" max="6842" width="6.5703125" style="3" customWidth="1"/>
    <col min="6843" max="6843" width="13.5703125" style="3" customWidth="1"/>
    <col min="6844" max="6844" width="13.42578125" style="3" customWidth="1"/>
    <col min="6845" max="6846" width="12.5703125" style="3" customWidth="1"/>
    <col min="6847" max="6847" width="14.85546875" style="3" customWidth="1"/>
    <col min="6848" max="6848" width="20.7109375" style="3" customWidth="1"/>
    <col min="6849" max="6849" width="12.5703125" style="3" customWidth="1"/>
    <col min="6850" max="6850" width="13" style="3" customWidth="1"/>
    <col min="6851" max="6851" width="16" style="3" customWidth="1"/>
    <col min="6852" max="6852" width="6.42578125" style="3" customWidth="1"/>
    <col min="6853" max="6853" width="16" style="3" customWidth="1"/>
    <col min="6854" max="6854" width="2.85546875" style="3" customWidth="1"/>
    <col min="6855" max="6855" width="0.85546875" style="3" customWidth="1"/>
    <col min="6856" max="6856" width="11" style="3"/>
    <col min="6857" max="6857" width="15.42578125" style="3" customWidth="1"/>
    <col min="6858" max="6860" width="14.85546875" style="3" customWidth="1"/>
    <col min="6861" max="6861" width="0.7109375" style="3" customWidth="1"/>
    <col min="6862" max="6862" width="11" style="3"/>
    <col min="6863" max="6863" width="15.7109375" style="3" customWidth="1"/>
    <col min="6864" max="6865" width="14.85546875" style="3" customWidth="1"/>
    <col min="6866" max="6866" width="3.28515625" style="3" customWidth="1"/>
    <col min="6867" max="6867" width="20.140625" style="3" customWidth="1"/>
    <col min="6868" max="6868" width="3.28515625" style="3" customWidth="1"/>
    <col min="6869" max="6873" width="11" style="3"/>
    <col min="6874" max="6886" width="4.7109375" style="3" customWidth="1"/>
    <col min="6887" max="7096" width="11" style="3"/>
    <col min="7097" max="7097" width="0.7109375" style="3" customWidth="1"/>
    <col min="7098" max="7098" width="6.5703125" style="3" customWidth="1"/>
    <col min="7099" max="7099" width="13.5703125" style="3" customWidth="1"/>
    <col min="7100" max="7100" width="13.42578125" style="3" customWidth="1"/>
    <col min="7101" max="7102" width="12.5703125" style="3" customWidth="1"/>
    <col min="7103" max="7103" width="14.85546875" style="3" customWidth="1"/>
    <col min="7104" max="7104" width="20.7109375" style="3" customWidth="1"/>
    <col min="7105" max="7105" width="12.5703125" style="3" customWidth="1"/>
    <col min="7106" max="7106" width="13" style="3" customWidth="1"/>
    <col min="7107" max="7107" width="16" style="3" customWidth="1"/>
    <col min="7108" max="7108" width="6.42578125" style="3" customWidth="1"/>
    <col min="7109" max="7109" width="16" style="3" customWidth="1"/>
    <col min="7110" max="7110" width="2.85546875" style="3" customWidth="1"/>
    <col min="7111" max="7111" width="0.85546875" style="3" customWidth="1"/>
    <col min="7112" max="7112" width="11" style="3"/>
    <col min="7113" max="7113" width="15.42578125" style="3" customWidth="1"/>
    <col min="7114" max="7116" width="14.85546875" style="3" customWidth="1"/>
    <col min="7117" max="7117" width="0.7109375" style="3" customWidth="1"/>
    <col min="7118" max="7118" width="11" style="3"/>
    <col min="7119" max="7119" width="15.7109375" style="3" customWidth="1"/>
    <col min="7120" max="7121" width="14.85546875" style="3" customWidth="1"/>
    <col min="7122" max="7122" width="3.28515625" style="3" customWidth="1"/>
    <col min="7123" max="7123" width="20.140625" style="3" customWidth="1"/>
    <col min="7124" max="7124" width="3.28515625" style="3" customWidth="1"/>
    <col min="7125" max="7129" width="11" style="3"/>
    <col min="7130" max="7142" width="4.7109375" style="3" customWidth="1"/>
    <col min="7143" max="7352" width="11" style="3"/>
    <col min="7353" max="7353" width="0.7109375" style="3" customWidth="1"/>
    <col min="7354" max="7354" width="6.5703125" style="3" customWidth="1"/>
    <col min="7355" max="7355" width="13.5703125" style="3" customWidth="1"/>
    <col min="7356" max="7356" width="13.42578125" style="3" customWidth="1"/>
    <col min="7357" max="7358" width="12.5703125" style="3" customWidth="1"/>
    <col min="7359" max="7359" width="14.85546875" style="3" customWidth="1"/>
    <col min="7360" max="7360" width="20.7109375" style="3" customWidth="1"/>
    <col min="7361" max="7361" width="12.5703125" style="3" customWidth="1"/>
    <col min="7362" max="7362" width="13" style="3" customWidth="1"/>
    <col min="7363" max="7363" width="16" style="3" customWidth="1"/>
    <col min="7364" max="7364" width="6.42578125" style="3" customWidth="1"/>
    <col min="7365" max="7365" width="16" style="3" customWidth="1"/>
    <col min="7366" max="7366" width="2.85546875" style="3" customWidth="1"/>
    <col min="7367" max="7367" width="0.85546875" style="3" customWidth="1"/>
    <col min="7368" max="7368" width="11" style="3"/>
    <col min="7369" max="7369" width="15.42578125" style="3" customWidth="1"/>
    <col min="7370" max="7372" width="14.85546875" style="3" customWidth="1"/>
    <col min="7373" max="7373" width="0.7109375" style="3" customWidth="1"/>
    <col min="7374" max="7374" width="11" style="3"/>
    <col min="7375" max="7375" width="15.7109375" style="3" customWidth="1"/>
    <col min="7376" max="7377" width="14.85546875" style="3" customWidth="1"/>
    <col min="7378" max="7378" width="3.28515625" style="3" customWidth="1"/>
    <col min="7379" max="7379" width="20.140625" style="3" customWidth="1"/>
    <col min="7380" max="7380" width="3.28515625" style="3" customWidth="1"/>
    <col min="7381" max="7385" width="11" style="3"/>
    <col min="7386" max="7398" width="4.7109375" style="3" customWidth="1"/>
    <col min="7399" max="7608" width="11" style="3"/>
    <col min="7609" max="7609" width="0.7109375" style="3" customWidth="1"/>
    <col min="7610" max="7610" width="6.5703125" style="3" customWidth="1"/>
    <col min="7611" max="7611" width="13.5703125" style="3" customWidth="1"/>
    <col min="7612" max="7612" width="13.42578125" style="3" customWidth="1"/>
    <col min="7613" max="7614" width="12.5703125" style="3" customWidth="1"/>
    <col min="7615" max="7615" width="14.85546875" style="3" customWidth="1"/>
    <col min="7616" max="7616" width="20.7109375" style="3" customWidth="1"/>
    <col min="7617" max="7617" width="12.5703125" style="3" customWidth="1"/>
    <col min="7618" max="7618" width="13" style="3" customWidth="1"/>
    <col min="7619" max="7619" width="16" style="3" customWidth="1"/>
    <col min="7620" max="7620" width="6.42578125" style="3" customWidth="1"/>
    <col min="7621" max="7621" width="16" style="3" customWidth="1"/>
    <col min="7622" max="7622" width="2.85546875" style="3" customWidth="1"/>
    <col min="7623" max="7623" width="0.85546875" style="3" customWidth="1"/>
    <col min="7624" max="7624" width="11" style="3"/>
    <col min="7625" max="7625" width="15.42578125" style="3" customWidth="1"/>
    <col min="7626" max="7628" width="14.85546875" style="3" customWidth="1"/>
    <col min="7629" max="7629" width="0.7109375" style="3" customWidth="1"/>
    <col min="7630" max="7630" width="11" style="3"/>
    <col min="7631" max="7631" width="15.7109375" style="3" customWidth="1"/>
    <col min="7632" max="7633" width="14.85546875" style="3" customWidth="1"/>
    <col min="7634" max="7634" width="3.28515625" style="3" customWidth="1"/>
    <col min="7635" max="7635" width="20.140625" style="3" customWidth="1"/>
    <col min="7636" max="7636" width="3.28515625" style="3" customWidth="1"/>
    <col min="7637" max="7641" width="11" style="3"/>
    <col min="7642" max="7654" width="4.7109375" style="3" customWidth="1"/>
    <col min="7655" max="7864" width="11" style="3"/>
    <col min="7865" max="7865" width="0.7109375" style="3" customWidth="1"/>
    <col min="7866" max="7866" width="6.5703125" style="3" customWidth="1"/>
    <col min="7867" max="7867" width="13.5703125" style="3" customWidth="1"/>
    <col min="7868" max="7868" width="13.42578125" style="3" customWidth="1"/>
    <col min="7869" max="7870" width="12.5703125" style="3" customWidth="1"/>
    <col min="7871" max="7871" width="14.85546875" style="3" customWidth="1"/>
    <col min="7872" max="7872" width="20.7109375" style="3" customWidth="1"/>
    <col min="7873" max="7873" width="12.5703125" style="3" customWidth="1"/>
    <col min="7874" max="7874" width="13" style="3" customWidth="1"/>
    <col min="7875" max="7875" width="16" style="3" customWidth="1"/>
    <col min="7876" max="7876" width="6.42578125" style="3" customWidth="1"/>
    <col min="7877" max="7877" width="16" style="3" customWidth="1"/>
    <col min="7878" max="7878" width="2.85546875" style="3" customWidth="1"/>
    <col min="7879" max="7879" width="0.85546875" style="3" customWidth="1"/>
    <col min="7880" max="7880" width="11" style="3"/>
    <col min="7881" max="7881" width="15.42578125" style="3" customWidth="1"/>
    <col min="7882" max="7884" width="14.85546875" style="3" customWidth="1"/>
    <col min="7885" max="7885" width="0.7109375" style="3" customWidth="1"/>
    <col min="7886" max="7886" width="11" style="3"/>
    <col min="7887" max="7887" width="15.7109375" style="3" customWidth="1"/>
    <col min="7888" max="7889" width="14.85546875" style="3" customWidth="1"/>
    <col min="7890" max="7890" width="3.28515625" style="3" customWidth="1"/>
    <col min="7891" max="7891" width="20.140625" style="3" customWidth="1"/>
    <col min="7892" max="7892" width="3.28515625" style="3" customWidth="1"/>
    <col min="7893" max="7897" width="11" style="3"/>
    <col min="7898" max="7910" width="4.7109375" style="3" customWidth="1"/>
    <col min="7911" max="8120" width="11" style="3"/>
    <col min="8121" max="8121" width="0.7109375" style="3" customWidth="1"/>
    <col min="8122" max="8122" width="6.5703125" style="3" customWidth="1"/>
    <col min="8123" max="8123" width="13.5703125" style="3" customWidth="1"/>
    <col min="8124" max="8124" width="13.42578125" style="3" customWidth="1"/>
    <col min="8125" max="8126" width="12.5703125" style="3" customWidth="1"/>
    <col min="8127" max="8127" width="14.85546875" style="3" customWidth="1"/>
    <col min="8128" max="8128" width="20.7109375" style="3" customWidth="1"/>
    <col min="8129" max="8129" width="12.5703125" style="3" customWidth="1"/>
    <col min="8130" max="8130" width="13" style="3" customWidth="1"/>
    <col min="8131" max="8131" width="16" style="3" customWidth="1"/>
    <col min="8132" max="8132" width="6.42578125" style="3" customWidth="1"/>
    <col min="8133" max="8133" width="16" style="3" customWidth="1"/>
    <col min="8134" max="8134" width="2.85546875" style="3" customWidth="1"/>
    <col min="8135" max="8135" width="0.85546875" style="3" customWidth="1"/>
    <col min="8136" max="8136" width="11" style="3"/>
    <col min="8137" max="8137" width="15.42578125" style="3" customWidth="1"/>
    <col min="8138" max="8140" width="14.85546875" style="3" customWidth="1"/>
    <col min="8141" max="8141" width="0.7109375" style="3" customWidth="1"/>
    <col min="8142" max="8142" width="11" style="3"/>
    <col min="8143" max="8143" width="15.7109375" style="3" customWidth="1"/>
    <col min="8144" max="8145" width="14.85546875" style="3" customWidth="1"/>
    <col min="8146" max="8146" width="3.28515625" style="3" customWidth="1"/>
    <col min="8147" max="8147" width="20.140625" style="3" customWidth="1"/>
    <col min="8148" max="8148" width="3.28515625" style="3" customWidth="1"/>
    <col min="8149" max="8153" width="11" style="3"/>
    <col min="8154" max="8166" width="4.7109375" style="3" customWidth="1"/>
    <col min="8167" max="8376" width="11" style="3"/>
    <col min="8377" max="8377" width="0.7109375" style="3" customWidth="1"/>
    <col min="8378" max="8378" width="6.5703125" style="3" customWidth="1"/>
    <col min="8379" max="8379" width="13.5703125" style="3" customWidth="1"/>
    <col min="8380" max="8380" width="13.42578125" style="3" customWidth="1"/>
    <col min="8381" max="8382" width="12.5703125" style="3" customWidth="1"/>
    <col min="8383" max="8383" width="14.85546875" style="3" customWidth="1"/>
    <col min="8384" max="8384" width="20.7109375" style="3" customWidth="1"/>
    <col min="8385" max="8385" width="12.5703125" style="3" customWidth="1"/>
    <col min="8386" max="8386" width="13" style="3" customWidth="1"/>
    <col min="8387" max="8387" width="16" style="3" customWidth="1"/>
    <col min="8388" max="8388" width="6.42578125" style="3" customWidth="1"/>
    <col min="8389" max="8389" width="16" style="3" customWidth="1"/>
    <col min="8390" max="8390" width="2.85546875" style="3" customWidth="1"/>
    <col min="8391" max="8391" width="0.85546875" style="3" customWidth="1"/>
    <col min="8392" max="8392" width="11" style="3"/>
    <col min="8393" max="8393" width="15.42578125" style="3" customWidth="1"/>
    <col min="8394" max="8396" width="14.85546875" style="3" customWidth="1"/>
    <col min="8397" max="8397" width="0.7109375" style="3" customWidth="1"/>
    <col min="8398" max="8398" width="11" style="3"/>
    <col min="8399" max="8399" width="15.7109375" style="3" customWidth="1"/>
    <col min="8400" max="8401" width="14.85546875" style="3" customWidth="1"/>
    <col min="8402" max="8402" width="3.28515625" style="3" customWidth="1"/>
    <col min="8403" max="8403" width="20.140625" style="3" customWidth="1"/>
    <col min="8404" max="8404" width="3.28515625" style="3" customWidth="1"/>
    <col min="8405" max="8409" width="11" style="3"/>
    <col min="8410" max="8422" width="4.7109375" style="3" customWidth="1"/>
    <col min="8423" max="8632" width="11" style="3"/>
    <col min="8633" max="8633" width="0.7109375" style="3" customWidth="1"/>
    <col min="8634" max="8634" width="6.5703125" style="3" customWidth="1"/>
    <col min="8635" max="8635" width="13.5703125" style="3" customWidth="1"/>
    <col min="8636" max="8636" width="13.42578125" style="3" customWidth="1"/>
    <col min="8637" max="8638" width="12.5703125" style="3" customWidth="1"/>
    <col min="8639" max="8639" width="14.85546875" style="3" customWidth="1"/>
    <col min="8640" max="8640" width="20.7109375" style="3" customWidth="1"/>
    <col min="8641" max="8641" width="12.5703125" style="3" customWidth="1"/>
    <col min="8642" max="8642" width="13" style="3" customWidth="1"/>
    <col min="8643" max="8643" width="16" style="3" customWidth="1"/>
    <col min="8644" max="8644" width="6.42578125" style="3" customWidth="1"/>
    <col min="8645" max="8645" width="16" style="3" customWidth="1"/>
    <col min="8646" max="8646" width="2.85546875" style="3" customWidth="1"/>
    <col min="8647" max="8647" width="0.85546875" style="3" customWidth="1"/>
    <col min="8648" max="8648" width="11" style="3"/>
    <col min="8649" max="8649" width="15.42578125" style="3" customWidth="1"/>
    <col min="8650" max="8652" width="14.85546875" style="3" customWidth="1"/>
    <col min="8653" max="8653" width="0.7109375" style="3" customWidth="1"/>
    <col min="8654" max="8654" width="11" style="3"/>
    <col min="8655" max="8655" width="15.7109375" style="3" customWidth="1"/>
    <col min="8656" max="8657" width="14.85546875" style="3" customWidth="1"/>
    <col min="8658" max="8658" width="3.28515625" style="3" customWidth="1"/>
    <col min="8659" max="8659" width="20.140625" style="3" customWidth="1"/>
    <col min="8660" max="8660" width="3.28515625" style="3" customWidth="1"/>
    <col min="8661" max="8665" width="11" style="3"/>
    <col min="8666" max="8678" width="4.7109375" style="3" customWidth="1"/>
    <col min="8679" max="8888" width="11" style="3"/>
    <col min="8889" max="8889" width="0.7109375" style="3" customWidth="1"/>
    <col min="8890" max="8890" width="6.5703125" style="3" customWidth="1"/>
    <col min="8891" max="8891" width="13.5703125" style="3" customWidth="1"/>
    <col min="8892" max="8892" width="13.42578125" style="3" customWidth="1"/>
    <col min="8893" max="8894" width="12.5703125" style="3" customWidth="1"/>
    <col min="8895" max="8895" width="14.85546875" style="3" customWidth="1"/>
    <col min="8896" max="8896" width="20.7109375" style="3" customWidth="1"/>
    <col min="8897" max="8897" width="12.5703125" style="3" customWidth="1"/>
    <col min="8898" max="8898" width="13" style="3" customWidth="1"/>
    <col min="8899" max="8899" width="16" style="3" customWidth="1"/>
    <col min="8900" max="8900" width="6.42578125" style="3" customWidth="1"/>
    <col min="8901" max="8901" width="16" style="3" customWidth="1"/>
    <col min="8902" max="8902" width="2.85546875" style="3" customWidth="1"/>
    <col min="8903" max="8903" width="0.85546875" style="3" customWidth="1"/>
    <col min="8904" max="8904" width="11" style="3"/>
    <col min="8905" max="8905" width="15.42578125" style="3" customWidth="1"/>
    <col min="8906" max="8908" width="14.85546875" style="3" customWidth="1"/>
    <col min="8909" max="8909" width="0.7109375" style="3" customWidth="1"/>
    <col min="8910" max="8910" width="11" style="3"/>
    <col min="8911" max="8911" width="15.7109375" style="3" customWidth="1"/>
    <col min="8912" max="8913" width="14.85546875" style="3" customWidth="1"/>
    <col min="8914" max="8914" width="3.28515625" style="3" customWidth="1"/>
    <col min="8915" max="8915" width="20.140625" style="3" customWidth="1"/>
    <col min="8916" max="8916" width="3.28515625" style="3" customWidth="1"/>
    <col min="8917" max="8921" width="11" style="3"/>
    <col min="8922" max="8934" width="4.7109375" style="3" customWidth="1"/>
    <col min="8935" max="9144" width="11" style="3"/>
    <col min="9145" max="9145" width="0.7109375" style="3" customWidth="1"/>
    <col min="9146" max="9146" width="6.5703125" style="3" customWidth="1"/>
    <col min="9147" max="9147" width="13.5703125" style="3" customWidth="1"/>
    <col min="9148" max="9148" width="13.42578125" style="3" customWidth="1"/>
    <col min="9149" max="9150" width="12.5703125" style="3" customWidth="1"/>
    <col min="9151" max="9151" width="14.85546875" style="3" customWidth="1"/>
    <col min="9152" max="9152" width="20.7109375" style="3" customWidth="1"/>
    <col min="9153" max="9153" width="12.5703125" style="3" customWidth="1"/>
    <col min="9154" max="9154" width="13" style="3" customWidth="1"/>
    <col min="9155" max="9155" width="16" style="3" customWidth="1"/>
    <col min="9156" max="9156" width="6.42578125" style="3" customWidth="1"/>
    <col min="9157" max="9157" width="16" style="3" customWidth="1"/>
    <col min="9158" max="9158" width="2.85546875" style="3" customWidth="1"/>
    <col min="9159" max="9159" width="0.85546875" style="3" customWidth="1"/>
    <col min="9160" max="9160" width="11" style="3"/>
    <col min="9161" max="9161" width="15.42578125" style="3" customWidth="1"/>
    <col min="9162" max="9164" width="14.85546875" style="3" customWidth="1"/>
    <col min="9165" max="9165" width="0.7109375" style="3" customWidth="1"/>
    <col min="9166" max="9166" width="11" style="3"/>
    <col min="9167" max="9167" width="15.7109375" style="3" customWidth="1"/>
    <col min="9168" max="9169" width="14.85546875" style="3" customWidth="1"/>
    <col min="9170" max="9170" width="3.28515625" style="3" customWidth="1"/>
    <col min="9171" max="9171" width="20.140625" style="3" customWidth="1"/>
    <col min="9172" max="9172" width="3.28515625" style="3" customWidth="1"/>
    <col min="9173" max="9177" width="11" style="3"/>
    <col min="9178" max="9190" width="4.7109375" style="3" customWidth="1"/>
    <col min="9191" max="9400" width="11" style="3"/>
    <col min="9401" max="9401" width="0.7109375" style="3" customWidth="1"/>
    <col min="9402" max="9402" width="6.5703125" style="3" customWidth="1"/>
    <col min="9403" max="9403" width="13.5703125" style="3" customWidth="1"/>
    <col min="9404" max="9404" width="13.42578125" style="3" customWidth="1"/>
    <col min="9405" max="9406" width="12.5703125" style="3" customWidth="1"/>
    <col min="9407" max="9407" width="14.85546875" style="3" customWidth="1"/>
    <col min="9408" max="9408" width="20.7109375" style="3" customWidth="1"/>
    <col min="9409" max="9409" width="12.5703125" style="3" customWidth="1"/>
    <col min="9410" max="9410" width="13" style="3" customWidth="1"/>
    <col min="9411" max="9411" width="16" style="3" customWidth="1"/>
    <col min="9412" max="9412" width="6.42578125" style="3" customWidth="1"/>
    <col min="9413" max="9413" width="16" style="3" customWidth="1"/>
    <col min="9414" max="9414" width="2.85546875" style="3" customWidth="1"/>
    <col min="9415" max="9415" width="0.85546875" style="3" customWidth="1"/>
    <col min="9416" max="9416" width="11" style="3"/>
    <col min="9417" max="9417" width="15.42578125" style="3" customWidth="1"/>
    <col min="9418" max="9420" width="14.85546875" style="3" customWidth="1"/>
    <col min="9421" max="9421" width="0.7109375" style="3" customWidth="1"/>
    <col min="9422" max="9422" width="11" style="3"/>
    <col min="9423" max="9423" width="15.7109375" style="3" customWidth="1"/>
    <col min="9424" max="9425" width="14.85546875" style="3" customWidth="1"/>
    <col min="9426" max="9426" width="3.28515625" style="3" customWidth="1"/>
    <col min="9427" max="9427" width="20.140625" style="3" customWidth="1"/>
    <col min="9428" max="9428" width="3.28515625" style="3" customWidth="1"/>
    <col min="9429" max="9433" width="11" style="3"/>
    <col min="9434" max="9446" width="4.7109375" style="3" customWidth="1"/>
    <col min="9447" max="9656" width="11" style="3"/>
    <col min="9657" max="9657" width="0.7109375" style="3" customWidth="1"/>
    <col min="9658" max="9658" width="6.5703125" style="3" customWidth="1"/>
    <col min="9659" max="9659" width="13.5703125" style="3" customWidth="1"/>
    <col min="9660" max="9660" width="13.42578125" style="3" customWidth="1"/>
    <col min="9661" max="9662" width="12.5703125" style="3" customWidth="1"/>
    <col min="9663" max="9663" width="14.85546875" style="3" customWidth="1"/>
    <col min="9664" max="9664" width="20.7109375" style="3" customWidth="1"/>
    <col min="9665" max="9665" width="12.5703125" style="3" customWidth="1"/>
    <col min="9666" max="9666" width="13" style="3" customWidth="1"/>
    <col min="9667" max="9667" width="16" style="3" customWidth="1"/>
    <col min="9668" max="9668" width="6.42578125" style="3" customWidth="1"/>
    <col min="9669" max="9669" width="16" style="3" customWidth="1"/>
    <col min="9670" max="9670" width="2.85546875" style="3" customWidth="1"/>
    <col min="9671" max="9671" width="0.85546875" style="3" customWidth="1"/>
    <col min="9672" max="9672" width="11" style="3"/>
    <col min="9673" max="9673" width="15.42578125" style="3" customWidth="1"/>
    <col min="9674" max="9676" width="14.85546875" style="3" customWidth="1"/>
    <col min="9677" max="9677" width="0.7109375" style="3" customWidth="1"/>
    <col min="9678" max="9678" width="11" style="3"/>
    <col min="9679" max="9679" width="15.7109375" style="3" customWidth="1"/>
    <col min="9680" max="9681" width="14.85546875" style="3" customWidth="1"/>
    <col min="9682" max="9682" width="3.28515625" style="3" customWidth="1"/>
    <col min="9683" max="9683" width="20.140625" style="3" customWidth="1"/>
    <col min="9684" max="9684" width="3.28515625" style="3" customWidth="1"/>
    <col min="9685" max="9689" width="11" style="3"/>
    <col min="9690" max="9702" width="4.7109375" style="3" customWidth="1"/>
    <col min="9703" max="9912" width="11" style="3"/>
    <col min="9913" max="9913" width="0.7109375" style="3" customWidth="1"/>
    <col min="9914" max="9914" width="6.5703125" style="3" customWidth="1"/>
    <col min="9915" max="9915" width="13.5703125" style="3" customWidth="1"/>
    <col min="9916" max="9916" width="13.42578125" style="3" customWidth="1"/>
    <col min="9917" max="9918" width="12.5703125" style="3" customWidth="1"/>
    <col min="9919" max="9919" width="14.85546875" style="3" customWidth="1"/>
    <col min="9920" max="9920" width="20.7109375" style="3" customWidth="1"/>
    <col min="9921" max="9921" width="12.5703125" style="3" customWidth="1"/>
    <col min="9922" max="9922" width="13" style="3" customWidth="1"/>
    <col min="9923" max="9923" width="16" style="3" customWidth="1"/>
    <col min="9924" max="9924" width="6.42578125" style="3" customWidth="1"/>
    <col min="9925" max="9925" width="16" style="3" customWidth="1"/>
    <col min="9926" max="9926" width="2.85546875" style="3" customWidth="1"/>
    <col min="9927" max="9927" width="0.85546875" style="3" customWidth="1"/>
    <col min="9928" max="9928" width="11" style="3"/>
    <col min="9929" max="9929" width="15.42578125" style="3" customWidth="1"/>
    <col min="9930" max="9932" width="14.85546875" style="3" customWidth="1"/>
    <col min="9933" max="9933" width="0.7109375" style="3" customWidth="1"/>
    <col min="9934" max="9934" width="11" style="3"/>
    <col min="9935" max="9935" width="15.7109375" style="3" customWidth="1"/>
    <col min="9936" max="9937" width="14.85546875" style="3" customWidth="1"/>
    <col min="9938" max="9938" width="3.28515625" style="3" customWidth="1"/>
    <col min="9939" max="9939" width="20.140625" style="3" customWidth="1"/>
    <col min="9940" max="9940" width="3.28515625" style="3" customWidth="1"/>
    <col min="9941" max="9945" width="11" style="3"/>
    <col min="9946" max="9958" width="4.7109375" style="3" customWidth="1"/>
    <col min="9959" max="10168" width="11" style="3"/>
    <col min="10169" max="10169" width="0.7109375" style="3" customWidth="1"/>
    <col min="10170" max="10170" width="6.5703125" style="3" customWidth="1"/>
    <col min="10171" max="10171" width="13.5703125" style="3" customWidth="1"/>
    <col min="10172" max="10172" width="13.42578125" style="3" customWidth="1"/>
    <col min="10173" max="10174" width="12.5703125" style="3" customWidth="1"/>
    <col min="10175" max="10175" width="14.85546875" style="3" customWidth="1"/>
    <col min="10176" max="10176" width="20.7109375" style="3" customWidth="1"/>
    <col min="10177" max="10177" width="12.5703125" style="3" customWidth="1"/>
    <col min="10178" max="10178" width="13" style="3" customWidth="1"/>
    <col min="10179" max="10179" width="16" style="3" customWidth="1"/>
    <col min="10180" max="10180" width="6.42578125" style="3" customWidth="1"/>
    <col min="10181" max="10181" width="16" style="3" customWidth="1"/>
    <col min="10182" max="10182" width="2.85546875" style="3" customWidth="1"/>
    <col min="10183" max="10183" width="0.85546875" style="3" customWidth="1"/>
    <col min="10184" max="10184" width="11" style="3"/>
    <col min="10185" max="10185" width="15.42578125" style="3" customWidth="1"/>
    <col min="10186" max="10188" width="14.85546875" style="3" customWidth="1"/>
    <col min="10189" max="10189" width="0.7109375" style="3" customWidth="1"/>
    <col min="10190" max="10190" width="11" style="3"/>
    <col min="10191" max="10191" width="15.7109375" style="3" customWidth="1"/>
    <col min="10192" max="10193" width="14.85546875" style="3" customWidth="1"/>
    <col min="10194" max="10194" width="3.28515625" style="3" customWidth="1"/>
    <col min="10195" max="10195" width="20.140625" style="3" customWidth="1"/>
    <col min="10196" max="10196" width="3.28515625" style="3" customWidth="1"/>
    <col min="10197" max="10201" width="11" style="3"/>
    <col min="10202" max="10214" width="4.7109375" style="3" customWidth="1"/>
    <col min="10215" max="10424" width="11" style="3"/>
    <col min="10425" max="10425" width="0.7109375" style="3" customWidth="1"/>
    <col min="10426" max="10426" width="6.5703125" style="3" customWidth="1"/>
    <col min="10427" max="10427" width="13.5703125" style="3" customWidth="1"/>
    <col min="10428" max="10428" width="13.42578125" style="3" customWidth="1"/>
    <col min="10429" max="10430" width="12.5703125" style="3" customWidth="1"/>
    <col min="10431" max="10431" width="14.85546875" style="3" customWidth="1"/>
    <col min="10432" max="10432" width="20.7109375" style="3" customWidth="1"/>
    <col min="10433" max="10433" width="12.5703125" style="3" customWidth="1"/>
    <col min="10434" max="10434" width="13" style="3" customWidth="1"/>
    <col min="10435" max="10435" width="16" style="3" customWidth="1"/>
    <col min="10436" max="10436" width="6.42578125" style="3" customWidth="1"/>
    <col min="10437" max="10437" width="16" style="3" customWidth="1"/>
    <col min="10438" max="10438" width="2.85546875" style="3" customWidth="1"/>
    <col min="10439" max="10439" width="0.85546875" style="3" customWidth="1"/>
    <col min="10440" max="10440" width="11" style="3"/>
    <col min="10441" max="10441" width="15.42578125" style="3" customWidth="1"/>
    <col min="10442" max="10444" width="14.85546875" style="3" customWidth="1"/>
    <col min="10445" max="10445" width="0.7109375" style="3" customWidth="1"/>
    <col min="10446" max="10446" width="11" style="3"/>
    <col min="10447" max="10447" width="15.7109375" style="3" customWidth="1"/>
    <col min="10448" max="10449" width="14.85546875" style="3" customWidth="1"/>
    <col min="10450" max="10450" width="3.28515625" style="3" customWidth="1"/>
    <col min="10451" max="10451" width="20.140625" style="3" customWidth="1"/>
    <col min="10452" max="10452" width="3.28515625" style="3" customWidth="1"/>
    <col min="10453" max="10457" width="11" style="3"/>
    <col min="10458" max="10470" width="4.7109375" style="3" customWidth="1"/>
    <col min="10471" max="10680" width="11" style="3"/>
    <col min="10681" max="10681" width="0.7109375" style="3" customWidth="1"/>
    <col min="10682" max="10682" width="6.5703125" style="3" customWidth="1"/>
    <col min="10683" max="10683" width="13.5703125" style="3" customWidth="1"/>
    <col min="10684" max="10684" width="13.42578125" style="3" customWidth="1"/>
    <col min="10685" max="10686" width="12.5703125" style="3" customWidth="1"/>
    <col min="10687" max="10687" width="14.85546875" style="3" customWidth="1"/>
    <col min="10688" max="10688" width="20.7109375" style="3" customWidth="1"/>
    <col min="10689" max="10689" width="12.5703125" style="3" customWidth="1"/>
    <col min="10690" max="10690" width="13" style="3" customWidth="1"/>
    <col min="10691" max="10691" width="16" style="3" customWidth="1"/>
    <col min="10692" max="10692" width="6.42578125" style="3" customWidth="1"/>
    <col min="10693" max="10693" width="16" style="3" customWidth="1"/>
    <col min="10694" max="10694" width="2.85546875" style="3" customWidth="1"/>
    <col min="10695" max="10695" width="0.85546875" style="3" customWidth="1"/>
    <col min="10696" max="10696" width="11" style="3"/>
    <col min="10697" max="10697" width="15.42578125" style="3" customWidth="1"/>
    <col min="10698" max="10700" width="14.85546875" style="3" customWidth="1"/>
    <col min="10701" max="10701" width="0.7109375" style="3" customWidth="1"/>
    <col min="10702" max="10702" width="11" style="3"/>
    <col min="10703" max="10703" width="15.7109375" style="3" customWidth="1"/>
    <col min="10704" max="10705" width="14.85546875" style="3" customWidth="1"/>
    <col min="10706" max="10706" width="3.28515625" style="3" customWidth="1"/>
    <col min="10707" max="10707" width="20.140625" style="3" customWidth="1"/>
    <col min="10708" max="10708" width="3.28515625" style="3" customWidth="1"/>
    <col min="10709" max="10713" width="11" style="3"/>
    <col min="10714" max="10726" width="4.7109375" style="3" customWidth="1"/>
    <col min="10727" max="10936" width="11" style="3"/>
    <col min="10937" max="10937" width="0.7109375" style="3" customWidth="1"/>
    <col min="10938" max="10938" width="6.5703125" style="3" customWidth="1"/>
    <col min="10939" max="10939" width="13.5703125" style="3" customWidth="1"/>
    <col min="10940" max="10940" width="13.42578125" style="3" customWidth="1"/>
    <col min="10941" max="10942" width="12.5703125" style="3" customWidth="1"/>
    <col min="10943" max="10943" width="14.85546875" style="3" customWidth="1"/>
    <col min="10944" max="10944" width="20.7109375" style="3" customWidth="1"/>
    <col min="10945" max="10945" width="12.5703125" style="3" customWidth="1"/>
    <col min="10946" max="10946" width="13" style="3" customWidth="1"/>
    <col min="10947" max="10947" width="16" style="3" customWidth="1"/>
    <col min="10948" max="10948" width="6.42578125" style="3" customWidth="1"/>
    <col min="10949" max="10949" width="16" style="3" customWidth="1"/>
    <col min="10950" max="10950" width="2.85546875" style="3" customWidth="1"/>
    <col min="10951" max="10951" width="0.85546875" style="3" customWidth="1"/>
    <col min="10952" max="10952" width="11" style="3"/>
    <col min="10953" max="10953" width="15.42578125" style="3" customWidth="1"/>
    <col min="10954" max="10956" width="14.85546875" style="3" customWidth="1"/>
    <col min="10957" max="10957" width="0.7109375" style="3" customWidth="1"/>
    <col min="10958" max="10958" width="11" style="3"/>
    <col min="10959" max="10959" width="15.7109375" style="3" customWidth="1"/>
    <col min="10960" max="10961" width="14.85546875" style="3" customWidth="1"/>
    <col min="10962" max="10962" width="3.28515625" style="3" customWidth="1"/>
    <col min="10963" max="10963" width="20.140625" style="3" customWidth="1"/>
    <col min="10964" max="10964" width="3.28515625" style="3" customWidth="1"/>
    <col min="10965" max="10969" width="11" style="3"/>
    <col min="10970" max="10982" width="4.7109375" style="3" customWidth="1"/>
    <col min="10983" max="11192" width="11" style="3"/>
    <col min="11193" max="11193" width="0.7109375" style="3" customWidth="1"/>
    <col min="11194" max="11194" width="6.5703125" style="3" customWidth="1"/>
    <col min="11195" max="11195" width="13.5703125" style="3" customWidth="1"/>
    <col min="11196" max="11196" width="13.42578125" style="3" customWidth="1"/>
    <col min="11197" max="11198" width="12.5703125" style="3" customWidth="1"/>
    <col min="11199" max="11199" width="14.85546875" style="3" customWidth="1"/>
    <col min="11200" max="11200" width="20.7109375" style="3" customWidth="1"/>
    <col min="11201" max="11201" width="12.5703125" style="3" customWidth="1"/>
    <col min="11202" max="11202" width="13" style="3" customWidth="1"/>
    <col min="11203" max="11203" width="16" style="3" customWidth="1"/>
    <col min="11204" max="11204" width="6.42578125" style="3" customWidth="1"/>
    <col min="11205" max="11205" width="16" style="3" customWidth="1"/>
    <col min="11206" max="11206" width="2.85546875" style="3" customWidth="1"/>
    <col min="11207" max="11207" width="0.85546875" style="3" customWidth="1"/>
    <col min="11208" max="11208" width="11" style="3"/>
    <col min="11209" max="11209" width="15.42578125" style="3" customWidth="1"/>
    <col min="11210" max="11212" width="14.85546875" style="3" customWidth="1"/>
    <col min="11213" max="11213" width="0.7109375" style="3" customWidth="1"/>
    <col min="11214" max="11214" width="11" style="3"/>
    <col min="11215" max="11215" width="15.7109375" style="3" customWidth="1"/>
    <col min="11216" max="11217" width="14.85546875" style="3" customWidth="1"/>
    <col min="11218" max="11218" width="3.28515625" style="3" customWidth="1"/>
    <col min="11219" max="11219" width="20.140625" style="3" customWidth="1"/>
    <col min="11220" max="11220" width="3.28515625" style="3" customWidth="1"/>
    <col min="11221" max="11225" width="11" style="3"/>
    <col min="11226" max="11238" width="4.7109375" style="3" customWidth="1"/>
    <col min="11239" max="11448" width="11" style="3"/>
    <col min="11449" max="11449" width="0.7109375" style="3" customWidth="1"/>
    <col min="11450" max="11450" width="6.5703125" style="3" customWidth="1"/>
    <col min="11451" max="11451" width="13.5703125" style="3" customWidth="1"/>
    <col min="11452" max="11452" width="13.42578125" style="3" customWidth="1"/>
    <col min="11453" max="11454" width="12.5703125" style="3" customWidth="1"/>
    <col min="11455" max="11455" width="14.85546875" style="3" customWidth="1"/>
    <col min="11456" max="11456" width="20.7109375" style="3" customWidth="1"/>
    <col min="11457" max="11457" width="12.5703125" style="3" customWidth="1"/>
    <col min="11458" max="11458" width="13" style="3" customWidth="1"/>
    <col min="11459" max="11459" width="16" style="3" customWidth="1"/>
    <col min="11460" max="11460" width="6.42578125" style="3" customWidth="1"/>
    <col min="11461" max="11461" width="16" style="3" customWidth="1"/>
    <col min="11462" max="11462" width="2.85546875" style="3" customWidth="1"/>
    <col min="11463" max="11463" width="0.85546875" style="3" customWidth="1"/>
    <col min="11464" max="11464" width="11" style="3"/>
    <col min="11465" max="11465" width="15.42578125" style="3" customWidth="1"/>
    <col min="11466" max="11468" width="14.85546875" style="3" customWidth="1"/>
    <col min="11469" max="11469" width="0.7109375" style="3" customWidth="1"/>
    <col min="11470" max="11470" width="11" style="3"/>
    <col min="11471" max="11471" width="15.7109375" style="3" customWidth="1"/>
    <col min="11472" max="11473" width="14.85546875" style="3" customWidth="1"/>
    <col min="11474" max="11474" width="3.28515625" style="3" customWidth="1"/>
    <col min="11475" max="11475" width="20.140625" style="3" customWidth="1"/>
    <col min="11476" max="11476" width="3.28515625" style="3" customWidth="1"/>
    <col min="11477" max="11481" width="11" style="3"/>
    <col min="11482" max="11494" width="4.7109375" style="3" customWidth="1"/>
    <col min="11495" max="11704" width="11" style="3"/>
    <col min="11705" max="11705" width="0.7109375" style="3" customWidth="1"/>
    <col min="11706" max="11706" width="6.5703125" style="3" customWidth="1"/>
    <col min="11707" max="11707" width="13.5703125" style="3" customWidth="1"/>
    <col min="11708" max="11708" width="13.42578125" style="3" customWidth="1"/>
    <col min="11709" max="11710" width="12.5703125" style="3" customWidth="1"/>
    <col min="11711" max="11711" width="14.85546875" style="3" customWidth="1"/>
    <col min="11712" max="11712" width="20.7109375" style="3" customWidth="1"/>
    <col min="11713" max="11713" width="12.5703125" style="3" customWidth="1"/>
    <col min="11714" max="11714" width="13" style="3" customWidth="1"/>
    <col min="11715" max="11715" width="16" style="3" customWidth="1"/>
    <col min="11716" max="11716" width="6.42578125" style="3" customWidth="1"/>
    <col min="11717" max="11717" width="16" style="3" customWidth="1"/>
    <col min="11718" max="11718" width="2.85546875" style="3" customWidth="1"/>
    <col min="11719" max="11719" width="0.85546875" style="3" customWidth="1"/>
    <col min="11720" max="11720" width="11" style="3"/>
    <col min="11721" max="11721" width="15.42578125" style="3" customWidth="1"/>
    <col min="11722" max="11724" width="14.85546875" style="3" customWidth="1"/>
    <col min="11725" max="11725" width="0.7109375" style="3" customWidth="1"/>
    <col min="11726" max="11726" width="11" style="3"/>
    <col min="11727" max="11727" width="15.7109375" style="3" customWidth="1"/>
    <col min="11728" max="11729" width="14.85546875" style="3" customWidth="1"/>
    <col min="11730" max="11730" width="3.28515625" style="3" customWidth="1"/>
    <col min="11731" max="11731" width="20.140625" style="3" customWidth="1"/>
    <col min="11732" max="11732" width="3.28515625" style="3" customWidth="1"/>
    <col min="11733" max="11737" width="11" style="3"/>
    <col min="11738" max="11750" width="4.7109375" style="3" customWidth="1"/>
    <col min="11751" max="11960" width="11" style="3"/>
    <col min="11961" max="11961" width="0.7109375" style="3" customWidth="1"/>
    <col min="11962" max="11962" width="6.5703125" style="3" customWidth="1"/>
    <col min="11963" max="11963" width="13.5703125" style="3" customWidth="1"/>
    <col min="11964" max="11964" width="13.42578125" style="3" customWidth="1"/>
    <col min="11965" max="11966" width="12.5703125" style="3" customWidth="1"/>
    <col min="11967" max="11967" width="14.85546875" style="3" customWidth="1"/>
    <col min="11968" max="11968" width="20.7109375" style="3" customWidth="1"/>
    <col min="11969" max="11969" width="12.5703125" style="3" customWidth="1"/>
    <col min="11970" max="11970" width="13" style="3" customWidth="1"/>
    <col min="11971" max="11971" width="16" style="3" customWidth="1"/>
    <col min="11972" max="11972" width="6.42578125" style="3" customWidth="1"/>
    <col min="11973" max="11973" width="16" style="3" customWidth="1"/>
    <col min="11974" max="11974" width="2.85546875" style="3" customWidth="1"/>
    <col min="11975" max="11975" width="0.85546875" style="3" customWidth="1"/>
    <col min="11976" max="11976" width="11" style="3"/>
    <col min="11977" max="11977" width="15.42578125" style="3" customWidth="1"/>
    <col min="11978" max="11980" width="14.85546875" style="3" customWidth="1"/>
    <col min="11981" max="11981" width="0.7109375" style="3" customWidth="1"/>
    <col min="11982" max="11982" width="11" style="3"/>
    <col min="11983" max="11983" width="15.7109375" style="3" customWidth="1"/>
    <col min="11984" max="11985" width="14.85546875" style="3" customWidth="1"/>
    <col min="11986" max="11986" width="3.28515625" style="3" customWidth="1"/>
    <col min="11987" max="11987" width="20.140625" style="3" customWidth="1"/>
    <col min="11988" max="11988" width="3.28515625" style="3" customWidth="1"/>
    <col min="11989" max="11993" width="11" style="3"/>
    <col min="11994" max="12006" width="4.7109375" style="3" customWidth="1"/>
    <col min="12007" max="12216" width="11" style="3"/>
    <col min="12217" max="12217" width="0.7109375" style="3" customWidth="1"/>
    <col min="12218" max="12218" width="6.5703125" style="3" customWidth="1"/>
    <col min="12219" max="12219" width="13.5703125" style="3" customWidth="1"/>
    <col min="12220" max="12220" width="13.42578125" style="3" customWidth="1"/>
    <col min="12221" max="12222" width="12.5703125" style="3" customWidth="1"/>
    <col min="12223" max="12223" width="14.85546875" style="3" customWidth="1"/>
    <col min="12224" max="12224" width="20.7109375" style="3" customWidth="1"/>
    <col min="12225" max="12225" width="12.5703125" style="3" customWidth="1"/>
    <col min="12226" max="12226" width="13" style="3" customWidth="1"/>
    <col min="12227" max="12227" width="16" style="3" customWidth="1"/>
    <col min="12228" max="12228" width="6.42578125" style="3" customWidth="1"/>
    <col min="12229" max="12229" width="16" style="3" customWidth="1"/>
    <col min="12230" max="12230" width="2.85546875" style="3" customWidth="1"/>
    <col min="12231" max="12231" width="0.85546875" style="3" customWidth="1"/>
    <col min="12232" max="12232" width="11" style="3"/>
    <col min="12233" max="12233" width="15.42578125" style="3" customWidth="1"/>
    <col min="12234" max="12236" width="14.85546875" style="3" customWidth="1"/>
    <col min="12237" max="12237" width="0.7109375" style="3" customWidth="1"/>
    <col min="12238" max="12238" width="11" style="3"/>
    <col min="12239" max="12239" width="15.7109375" style="3" customWidth="1"/>
    <col min="12240" max="12241" width="14.85546875" style="3" customWidth="1"/>
    <col min="12242" max="12242" width="3.28515625" style="3" customWidth="1"/>
    <col min="12243" max="12243" width="20.140625" style="3" customWidth="1"/>
    <col min="12244" max="12244" width="3.28515625" style="3" customWidth="1"/>
    <col min="12245" max="12249" width="11" style="3"/>
    <col min="12250" max="12262" width="4.7109375" style="3" customWidth="1"/>
    <col min="12263" max="12472" width="11" style="3"/>
    <col min="12473" max="12473" width="0.7109375" style="3" customWidth="1"/>
    <col min="12474" max="12474" width="6.5703125" style="3" customWidth="1"/>
    <col min="12475" max="12475" width="13.5703125" style="3" customWidth="1"/>
    <col min="12476" max="12476" width="13.42578125" style="3" customWidth="1"/>
    <col min="12477" max="12478" width="12.5703125" style="3" customWidth="1"/>
    <col min="12479" max="12479" width="14.85546875" style="3" customWidth="1"/>
    <col min="12480" max="12480" width="20.7109375" style="3" customWidth="1"/>
    <col min="12481" max="12481" width="12.5703125" style="3" customWidth="1"/>
    <col min="12482" max="12482" width="13" style="3" customWidth="1"/>
    <col min="12483" max="12483" width="16" style="3" customWidth="1"/>
    <col min="12484" max="12484" width="6.42578125" style="3" customWidth="1"/>
    <col min="12485" max="12485" width="16" style="3" customWidth="1"/>
    <col min="12486" max="12486" width="2.85546875" style="3" customWidth="1"/>
    <col min="12487" max="12487" width="0.85546875" style="3" customWidth="1"/>
    <col min="12488" max="12488" width="11" style="3"/>
    <col min="12489" max="12489" width="15.42578125" style="3" customWidth="1"/>
    <col min="12490" max="12492" width="14.85546875" style="3" customWidth="1"/>
    <col min="12493" max="12493" width="0.7109375" style="3" customWidth="1"/>
    <col min="12494" max="12494" width="11" style="3"/>
    <col min="12495" max="12495" width="15.7109375" style="3" customWidth="1"/>
    <col min="12496" max="12497" width="14.85546875" style="3" customWidth="1"/>
    <col min="12498" max="12498" width="3.28515625" style="3" customWidth="1"/>
    <col min="12499" max="12499" width="20.140625" style="3" customWidth="1"/>
    <col min="12500" max="12500" width="3.28515625" style="3" customWidth="1"/>
    <col min="12501" max="12505" width="11" style="3"/>
    <col min="12506" max="12518" width="4.7109375" style="3" customWidth="1"/>
    <col min="12519" max="12728" width="11" style="3"/>
    <col min="12729" max="12729" width="0.7109375" style="3" customWidth="1"/>
    <col min="12730" max="12730" width="6.5703125" style="3" customWidth="1"/>
    <col min="12731" max="12731" width="13.5703125" style="3" customWidth="1"/>
    <col min="12732" max="12732" width="13.42578125" style="3" customWidth="1"/>
    <col min="12733" max="12734" width="12.5703125" style="3" customWidth="1"/>
    <col min="12735" max="12735" width="14.85546875" style="3" customWidth="1"/>
    <col min="12736" max="12736" width="20.7109375" style="3" customWidth="1"/>
    <col min="12737" max="12737" width="12.5703125" style="3" customWidth="1"/>
    <col min="12738" max="12738" width="13" style="3" customWidth="1"/>
    <col min="12739" max="12739" width="16" style="3" customWidth="1"/>
    <col min="12740" max="12740" width="6.42578125" style="3" customWidth="1"/>
    <col min="12741" max="12741" width="16" style="3" customWidth="1"/>
    <col min="12742" max="12742" width="2.85546875" style="3" customWidth="1"/>
    <col min="12743" max="12743" width="0.85546875" style="3" customWidth="1"/>
    <col min="12744" max="12744" width="11" style="3"/>
    <col min="12745" max="12745" width="15.42578125" style="3" customWidth="1"/>
    <col min="12746" max="12748" width="14.85546875" style="3" customWidth="1"/>
    <col min="12749" max="12749" width="0.7109375" style="3" customWidth="1"/>
    <col min="12750" max="12750" width="11" style="3"/>
    <col min="12751" max="12751" width="15.7109375" style="3" customWidth="1"/>
    <col min="12752" max="12753" width="14.85546875" style="3" customWidth="1"/>
    <col min="12754" max="12754" width="3.28515625" style="3" customWidth="1"/>
    <col min="12755" max="12755" width="20.140625" style="3" customWidth="1"/>
    <col min="12756" max="12756" width="3.28515625" style="3" customWidth="1"/>
    <col min="12757" max="12761" width="11" style="3"/>
    <col min="12762" max="12774" width="4.7109375" style="3" customWidth="1"/>
    <col min="12775" max="12984" width="11" style="3"/>
    <col min="12985" max="12985" width="0.7109375" style="3" customWidth="1"/>
    <col min="12986" max="12986" width="6.5703125" style="3" customWidth="1"/>
    <col min="12987" max="12987" width="13.5703125" style="3" customWidth="1"/>
    <col min="12988" max="12988" width="13.42578125" style="3" customWidth="1"/>
    <col min="12989" max="12990" width="12.5703125" style="3" customWidth="1"/>
    <col min="12991" max="12991" width="14.85546875" style="3" customWidth="1"/>
    <col min="12992" max="12992" width="20.7109375" style="3" customWidth="1"/>
    <col min="12993" max="12993" width="12.5703125" style="3" customWidth="1"/>
    <col min="12994" max="12994" width="13" style="3" customWidth="1"/>
    <col min="12995" max="12995" width="16" style="3" customWidth="1"/>
    <col min="12996" max="12996" width="6.42578125" style="3" customWidth="1"/>
    <col min="12997" max="12997" width="16" style="3" customWidth="1"/>
    <col min="12998" max="12998" width="2.85546875" style="3" customWidth="1"/>
    <col min="12999" max="12999" width="0.85546875" style="3" customWidth="1"/>
    <col min="13000" max="13000" width="11" style="3"/>
    <col min="13001" max="13001" width="15.42578125" style="3" customWidth="1"/>
    <col min="13002" max="13004" width="14.85546875" style="3" customWidth="1"/>
    <col min="13005" max="13005" width="0.7109375" style="3" customWidth="1"/>
    <col min="13006" max="13006" width="11" style="3"/>
    <col min="13007" max="13007" width="15.7109375" style="3" customWidth="1"/>
    <col min="13008" max="13009" width="14.85546875" style="3" customWidth="1"/>
    <col min="13010" max="13010" width="3.28515625" style="3" customWidth="1"/>
    <col min="13011" max="13011" width="20.140625" style="3" customWidth="1"/>
    <col min="13012" max="13012" width="3.28515625" style="3" customWidth="1"/>
    <col min="13013" max="13017" width="11" style="3"/>
    <col min="13018" max="13030" width="4.7109375" style="3" customWidth="1"/>
    <col min="13031" max="13240" width="11" style="3"/>
    <col min="13241" max="13241" width="0.7109375" style="3" customWidth="1"/>
    <col min="13242" max="13242" width="6.5703125" style="3" customWidth="1"/>
    <col min="13243" max="13243" width="13.5703125" style="3" customWidth="1"/>
    <col min="13244" max="13244" width="13.42578125" style="3" customWidth="1"/>
    <col min="13245" max="13246" width="12.5703125" style="3" customWidth="1"/>
    <col min="13247" max="13247" width="14.85546875" style="3" customWidth="1"/>
    <col min="13248" max="13248" width="20.7109375" style="3" customWidth="1"/>
    <col min="13249" max="13249" width="12.5703125" style="3" customWidth="1"/>
    <col min="13250" max="13250" width="13" style="3" customWidth="1"/>
    <col min="13251" max="13251" width="16" style="3" customWidth="1"/>
    <col min="13252" max="13252" width="6.42578125" style="3" customWidth="1"/>
    <col min="13253" max="13253" width="16" style="3" customWidth="1"/>
    <col min="13254" max="13254" width="2.85546875" style="3" customWidth="1"/>
    <col min="13255" max="13255" width="0.85546875" style="3" customWidth="1"/>
    <col min="13256" max="13256" width="11" style="3"/>
    <col min="13257" max="13257" width="15.42578125" style="3" customWidth="1"/>
    <col min="13258" max="13260" width="14.85546875" style="3" customWidth="1"/>
    <col min="13261" max="13261" width="0.7109375" style="3" customWidth="1"/>
    <col min="13262" max="13262" width="11" style="3"/>
    <col min="13263" max="13263" width="15.7109375" style="3" customWidth="1"/>
    <col min="13264" max="13265" width="14.85546875" style="3" customWidth="1"/>
    <col min="13266" max="13266" width="3.28515625" style="3" customWidth="1"/>
    <col min="13267" max="13267" width="20.140625" style="3" customWidth="1"/>
    <col min="13268" max="13268" width="3.28515625" style="3" customWidth="1"/>
    <col min="13269" max="13273" width="11" style="3"/>
    <col min="13274" max="13286" width="4.7109375" style="3" customWidth="1"/>
    <col min="13287" max="13496" width="11" style="3"/>
    <col min="13497" max="13497" width="0.7109375" style="3" customWidth="1"/>
    <col min="13498" max="13498" width="6.5703125" style="3" customWidth="1"/>
    <col min="13499" max="13499" width="13.5703125" style="3" customWidth="1"/>
    <col min="13500" max="13500" width="13.42578125" style="3" customWidth="1"/>
    <col min="13501" max="13502" width="12.5703125" style="3" customWidth="1"/>
    <col min="13503" max="13503" width="14.85546875" style="3" customWidth="1"/>
    <col min="13504" max="13504" width="20.7109375" style="3" customWidth="1"/>
    <col min="13505" max="13505" width="12.5703125" style="3" customWidth="1"/>
    <col min="13506" max="13506" width="13" style="3" customWidth="1"/>
    <col min="13507" max="13507" width="16" style="3" customWidth="1"/>
    <col min="13508" max="13508" width="6.42578125" style="3" customWidth="1"/>
    <col min="13509" max="13509" width="16" style="3" customWidth="1"/>
    <col min="13510" max="13510" width="2.85546875" style="3" customWidth="1"/>
    <col min="13511" max="13511" width="0.85546875" style="3" customWidth="1"/>
    <col min="13512" max="13512" width="11" style="3"/>
    <col min="13513" max="13513" width="15.42578125" style="3" customWidth="1"/>
    <col min="13514" max="13516" width="14.85546875" style="3" customWidth="1"/>
    <col min="13517" max="13517" width="0.7109375" style="3" customWidth="1"/>
    <col min="13518" max="13518" width="11" style="3"/>
    <col min="13519" max="13519" width="15.7109375" style="3" customWidth="1"/>
    <col min="13520" max="13521" width="14.85546875" style="3" customWidth="1"/>
    <col min="13522" max="13522" width="3.28515625" style="3" customWidth="1"/>
    <col min="13523" max="13523" width="20.140625" style="3" customWidth="1"/>
    <col min="13524" max="13524" width="3.28515625" style="3" customWidth="1"/>
    <col min="13525" max="13529" width="11" style="3"/>
    <col min="13530" max="13542" width="4.7109375" style="3" customWidth="1"/>
    <col min="13543" max="13752" width="11" style="3"/>
    <col min="13753" max="13753" width="0.7109375" style="3" customWidth="1"/>
    <col min="13754" max="13754" width="6.5703125" style="3" customWidth="1"/>
    <col min="13755" max="13755" width="13.5703125" style="3" customWidth="1"/>
    <col min="13756" max="13756" width="13.42578125" style="3" customWidth="1"/>
    <col min="13757" max="13758" width="12.5703125" style="3" customWidth="1"/>
    <col min="13759" max="13759" width="14.85546875" style="3" customWidth="1"/>
    <col min="13760" max="13760" width="20.7109375" style="3" customWidth="1"/>
    <col min="13761" max="13761" width="12.5703125" style="3" customWidth="1"/>
    <col min="13762" max="13762" width="13" style="3" customWidth="1"/>
    <col min="13763" max="13763" width="16" style="3" customWidth="1"/>
    <col min="13764" max="13764" width="6.42578125" style="3" customWidth="1"/>
    <col min="13765" max="13765" width="16" style="3" customWidth="1"/>
    <col min="13766" max="13766" width="2.85546875" style="3" customWidth="1"/>
    <col min="13767" max="13767" width="0.85546875" style="3" customWidth="1"/>
    <col min="13768" max="13768" width="11" style="3"/>
    <col min="13769" max="13769" width="15.42578125" style="3" customWidth="1"/>
    <col min="13770" max="13772" width="14.85546875" style="3" customWidth="1"/>
    <col min="13773" max="13773" width="0.7109375" style="3" customWidth="1"/>
    <col min="13774" max="13774" width="11" style="3"/>
    <col min="13775" max="13775" width="15.7109375" style="3" customWidth="1"/>
    <col min="13776" max="13777" width="14.85546875" style="3" customWidth="1"/>
    <col min="13778" max="13778" width="3.28515625" style="3" customWidth="1"/>
    <col min="13779" max="13779" width="20.140625" style="3" customWidth="1"/>
    <col min="13780" max="13780" width="3.28515625" style="3" customWidth="1"/>
    <col min="13781" max="13785" width="11" style="3"/>
    <col min="13786" max="13798" width="4.7109375" style="3" customWidth="1"/>
    <col min="13799" max="14008" width="11" style="3"/>
    <col min="14009" max="14009" width="0.7109375" style="3" customWidth="1"/>
    <col min="14010" max="14010" width="6.5703125" style="3" customWidth="1"/>
    <col min="14011" max="14011" width="13.5703125" style="3" customWidth="1"/>
    <col min="14012" max="14012" width="13.42578125" style="3" customWidth="1"/>
    <col min="14013" max="14014" width="12.5703125" style="3" customWidth="1"/>
    <col min="14015" max="14015" width="14.85546875" style="3" customWidth="1"/>
    <col min="14016" max="14016" width="20.7109375" style="3" customWidth="1"/>
    <col min="14017" max="14017" width="12.5703125" style="3" customWidth="1"/>
    <col min="14018" max="14018" width="13" style="3" customWidth="1"/>
    <col min="14019" max="14019" width="16" style="3" customWidth="1"/>
    <col min="14020" max="14020" width="6.42578125" style="3" customWidth="1"/>
    <col min="14021" max="14021" width="16" style="3" customWidth="1"/>
    <col min="14022" max="14022" width="2.85546875" style="3" customWidth="1"/>
    <col min="14023" max="14023" width="0.85546875" style="3" customWidth="1"/>
    <col min="14024" max="14024" width="11" style="3"/>
    <col min="14025" max="14025" width="15.42578125" style="3" customWidth="1"/>
    <col min="14026" max="14028" width="14.85546875" style="3" customWidth="1"/>
    <col min="14029" max="14029" width="0.7109375" style="3" customWidth="1"/>
    <col min="14030" max="14030" width="11" style="3"/>
    <col min="14031" max="14031" width="15.7109375" style="3" customWidth="1"/>
    <col min="14032" max="14033" width="14.85546875" style="3" customWidth="1"/>
    <col min="14034" max="14034" width="3.28515625" style="3" customWidth="1"/>
    <col min="14035" max="14035" width="20.140625" style="3" customWidth="1"/>
    <col min="14036" max="14036" width="3.28515625" style="3" customWidth="1"/>
    <col min="14037" max="14041" width="11" style="3"/>
    <col min="14042" max="14054" width="4.7109375" style="3" customWidth="1"/>
    <col min="14055" max="14264" width="11" style="3"/>
    <col min="14265" max="14265" width="0.7109375" style="3" customWidth="1"/>
    <col min="14266" max="14266" width="6.5703125" style="3" customWidth="1"/>
    <col min="14267" max="14267" width="13.5703125" style="3" customWidth="1"/>
    <col min="14268" max="14268" width="13.42578125" style="3" customWidth="1"/>
    <col min="14269" max="14270" width="12.5703125" style="3" customWidth="1"/>
    <col min="14271" max="14271" width="14.85546875" style="3" customWidth="1"/>
    <col min="14272" max="14272" width="20.7109375" style="3" customWidth="1"/>
    <col min="14273" max="14273" width="12.5703125" style="3" customWidth="1"/>
    <col min="14274" max="14274" width="13" style="3" customWidth="1"/>
    <col min="14275" max="14275" width="16" style="3" customWidth="1"/>
    <col min="14276" max="14276" width="6.42578125" style="3" customWidth="1"/>
    <col min="14277" max="14277" width="16" style="3" customWidth="1"/>
    <col min="14278" max="14278" width="2.85546875" style="3" customWidth="1"/>
    <col min="14279" max="14279" width="0.85546875" style="3" customWidth="1"/>
    <col min="14280" max="14280" width="11" style="3"/>
    <col min="14281" max="14281" width="15.42578125" style="3" customWidth="1"/>
    <col min="14282" max="14284" width="14.85546875" style="3" customWidth="1"/>
    <col min="14285" max="14285" width="0.7109375" style="3" customWidth="1"/>
    <col min="14286" max="14286" width="11" style="3"/>
    <col min="14287" max="14287" width="15.7109375" style="3" customWidth="1"/>
    <col min="14288" max="14289" width="14.85546875" style="3" customWidth="1"/>
    <col min="14290" max="14290" width="3.28515625" style="3" customWidth="1"/>
    <col min="14291" max="14291" width="20.140625" style="3" customWidth="1"/>
    <col min="14292" max="14292" width="3.28515625" style="3" customWidth="1"/>
    <col min="14293" max="14297" width="11" style="3"/>
    <col min="14298" max="14310" width="4.7109375" style="3" customWidth="1"/>
    <col min="14311" max="14520" width="11" style="3"/>
    <col min="14521" max="14521" width="0.7109375" style="3" customWidth="1"/>
    <col min="14522" max="14522" width="6.5703125" style="3" customWidth="1"/>
    <col min="14523" max="14523" width="13.5703125" style="3" customWidth="1"/>
    <col min="14524" max="14524" width="13.42578125" style="3" customWidth="1"/>
    <col min="14525" max="14526" width="12.5703125" style="3" customWidth="1"/>
    <col min="14527" max="14527" width="14.85546875" style="3" customWidth="1"/>
    <col min="14528" max="14528" width="20.7109375" style="3" customWidth="1"/>
    <col min="14529" max="14529" width="12.5703125" style="3" customWidth="1"/>
    <col min="14530" max="14530" width="13" style="3" customWidth="1"/>
    <col min="14531" max="14531" width="16" style="3" customWidth="1"/>
    <col min="14532" max="14532" width="6.42578125" style="3" customWidth="1"/>
    <col min="14533" max="14533" width="16" style="3" customWidth="1"/>
    <col min="14534" max="14534" width="2.85546875" style="3" customWidth="1"/>
    <col min="14535" max="14535" width="0.85546875" style="3" customWidth="1"/>
    <col min="14536" max="14536" width="11" style="3"/>
    <col min="14537" max="14537" width="15.42578125" style="3" customWidth="1"/>
    <col min="14538" max="14540" width="14.85546875" style="3" customWidth="1"/>
    <col min="14541" max="14541" width="0.7109375" style="3" customWidth="1"/>
    <col min="14542" max="14542" width="11" style="3"/>
    <col min="14543" max="14543" width="15.7109375" style="3" customWidth="1"/>
    <col min="14544" max="14545" width="14.85546875" style="3" customWidth="1"/>
    <col min="14546" max="14546" width="3.28515625" style="3" customWidth="1"/>
    <col min="14547" max="14547" width="20.140625" style="3" customWidth="1"/>
    <col min="14548" max="14548" width="3.28515625" style="3" customWidth="1"/>
    <col min="14549" max="14553" width="11" style="3"/>
    <col min="14554" max="14566" width="4.7109375" style="3" customWidth="1"/>
    <col min="14567" max="14776" width="11" style="3"/>
    <col min="14777" max="14777" width="0.7109375" style="3" customWidth="1"/>
    <col min="14778" max="14778" width="6.5703125" style="3" customWidth="1"/>
    <col min="14779" max="14779" width="13.5703125" style="3" customWidth="1"/>
    <col min="14780" max="14780" width="13.42578125" style="3" customWidth="1"/>
    <col min="14781" max="14782" width="12.5703125" style="3" customWidth="1"/>
    <col min="14783" max="14783" width="14.85546875" style="3" customWidth="1"/>
    <col min="14784" max="14784" width="20.7109375" style="3" customWidth="1"/>
    <col min="14785" max="14785" width="12.5703125" style="3" customWidth="1"/>
    <col min="14786" max="14786" width="13" style="3" customWidth="1"/>
    <col min="14787" max="14787" width="16" style="3" customWidth="1"/>
    <col min="14788" max="14788" width="6.42578125" style="3" customWidth="1"/>
    <col min="14789" max="14789" width="16" style="3" customWidth="1"/>
    <col min="14790" max="14790" width="2.85546875" style="3" customWidth="1"/>
    <col min="14791" max="14791" width="0.85546875" style="3" customWidth="1"/>
    <col min="14792" max="14792" width="11" style="3"/>
    <col min="14793" max="14793" width="15.42578125" style="3" customWidth="1"/>
    <col min="14794" max="14796" width="14.85546875" style="3" customWidth="1"/>
    <col min="14797" max="14797" width="0.7109375" style="3" customWidth="1"/>
    <col min="14798" max="14798" width="11" style="3"/>
    <col min="14799" max="14799" width="15.7109375" style="3" customWidth="1"/>
    <col min="14800" max="14801" width="14.85546875" style="3" customWidth="1"/>
    <col min="14802" max="14802" width="3.28515625" style="3" customWidth="1"/>
    <col min="14803" max="14803" width="20.140625" style="3" customWidth="1"/>
    <col min="14804" max="14804" width="3.28515625" style="3" customWidth="1"/>
    <col min="14805" max="14809" width="11" style="3"/>
    <col min="14810" max="14822" width="4.7109375" style="3" customWidth="1"/>
    <col min="14823" max="15032" width="11" style="3"/>
    <col min="15033" max="15033" width="0.7109375" style="3" customWidth="1"/>
    <col min="15034" max="15034" width="6.5703125" style="3" customWidth="1"/>
    <col min="15035" max="15035" width="13.5703125" style="3" customWidth="1"/>
    <col min="15036" max="15036" width="13.42578125" style="3" customWidth="1"/>
    <col min="15037" max="15038" width="12.5703125" style="3" customWidth="1"/>
    <col min="15039" max="15039" width="14.85546875" style="3" customWidth="1"/>
    <col min="15040" max="15040" width="20.7109375" style="3" customWidth="1"/>
    <col min="15041" max="15041" width="12.5703125" style="3" customWidth="1"/>
    <col min="15042" max="15042" width="13" style="3" customWidth="1"/>
    <col min="15043" max="15043" width="16" style="3" customWidth="1"/>
    <col min="15044" max="15044" width="6.42578125" style="3" customWidth="1"/>
    <col min="15045" max="15045" width="16" style="3" customWidth="1"/>
    <col min="15046" max="15046" width="2.85546875" style="3" customWidth="1"/>
    <col min="15047" max="15047" width="0.85546875" style="3" customWidth="1"/>
    <col min="15048" max="15048" width="11" style="3"/>
    <col min="15049" max="15049" width="15.42578125" style="3" customWidth="1"/>
    <col min="15050" max="15052" width="14.85546875" style="3" customWidth="1"/>
    <col min="15053" max="15053" width="0.7109375" style="3" customWidth="1"/>
    <col min="15054" max="15054" width="11" style="3"/>
    <col min="15055" max="15055" width="15.7109375" style="3" customWidth="1"/>
    <col min="15056" max="15057" width="14.85546875" style="3" customWidth="1"/>
    <col min="15058" max="15058" width="3.28515625" style="3" customWidth="1"/>
    <col min="15059" max="15059" width="20.140625" style="3" customWidth="1"/>
    <col min="15060" max="15060" width="3.28515625" style="3" customWidth="1"/>
    <col min="15061" max="15065" width="11" style="3"/>
    <col min="15066" max="15078" width="4.7109375" style="3" customWidth="1"/>
    <col min="15079" max="15288" width="11" style="3"/>
    <col min="15289" max="15289" width="0.7109375" style="3" customWidth="1"/>
    <col min="15290" max="15290" width="6.5703125" style="3" customWidth="1"/>
    <col min="15291" max="15291" width="13.5703125" style="3" customWidth="1"/>
    <col min="15292" max="15292" width="13.42578125" style="3" customWidth="1"/>
    <col min="15293" max="15294" width="12.5703125" style="3" customWidth="1"/>
    <col min="15295" max="15295" width="14.85546875" style="3" customWidth="1"/>
    <col min="15296" max="15296" width="20.7109375" style="3" customWidth="1"/>
    <col min="15297" max="15297" width="12.5703125" style="3" customWidth="1"/>
    <col min="15298" max="15298" width="13" style="3" customWidth="1"/>
    <col min="15299" max="15299" width="16" style="3" customWidth="1"/>
    <col min="15300" max="15300" width="6.42578125" style="3" customWidth="1"/>
    <col min="15301" max="15301" width="16" style="3" customWidth="1"/>
    <col min="15302" max="15302" width="2.85546875" style="3" customWidth="1"/>
    <col min="15303" max="15303" width="0.85546875" style="3" customWidth="1"/>
    <col min="15304" max="15304" width="11" style="3"/>
    <col min="15305" max="15305" width="15.42578125" style="3" customWidth="1"/>
    <col min="15306" max="15308" width="14.85546875" style="3" customWidth="1"/>
    <col min="15309" max="15309" width="0.7109375" style="3" customWidth="1"/>
    <col min="15310" max="15310" width="11" style="3"/>
    <col min="15311" max="15311" width="15.7109375" style="3" customWidth="1"/>
    <col min="15312" max="15313" width="14.85546875" style="3" customWidth="1"/>
    <col min="15314" max="15314" width="3.28515625" style="3" customWidth="1"/>
    <col min="15315" max="15315" width="20.140625" style="3" customWidth="1"/>
    <col min="15316" max="15316" width="3.28515625" style="3" customWidth="1"/>
    <col min="15317" max="15321" width="11" style="3"/>
    <col min="15322" max="15334" width="4.7109375" style="3" customWidth="1"/>
    <col min="15335" max="15544" width="11" style="3"/>
    <col min="15545" max="15545" width="0.7109375" style="3" customWidth="1"/>
    <col min="15546" max="15546" width="6.5703125" style="3" customWidth="1"/>
    <col min="15547" max="15547" width="13.5703125" style="3" customWidth="1"/>
    <col min="15548" max="15548" width="13.42578125" style="3" customWidth="1"/>
    <col min="15549" max="15550" width="12.5703125" style="3" customWidth="1"/>
    <col min="15551" max="15551" width="14.85546875" style="3" customWidth="1"/>
    <col min="15552" max="15552" width="20.7109375" style="3" customWidth="1"/>
    <col min="15553" max="15553" width="12.5703125" style="3" customWidth="1"/>
    <col min="15554" max="15554" width="13" style="3" customWidth="1"/>
    <col min="15555" max="15555" width="16" style="3" customWidth="1"/>
    <col min="15556" max="15556" width="6.42578125" style="3" customWidth="1"/>
    <col min="15557" max="15557" width="16" style="3" customWidth="1"/>
    <col min="15558" max="15558" width="2.85546875" style="3" customWidth="1"/>
    <col min="15559" max="15559" width="0.85546875" style="3" customWidth="1"/>
    <col min="15560" max="15560" width="11" style="3"/>
    <col min="15561" max="15561" width="15.42578125" style="3" customWidth="1"/>
    <col min="15562" max="15564" width="14.85546875" style="3" customWidth="1"/>
    <col min="15565" max="15565" width="0.7109375" style="3" customWidth="1"/>
    <col min="15566" max="15566" width="11" style="3"/>
    <col min="15567" max="15567" width="15.7109375" style="3" customWidth="1"/>
    <col min="15568" max="15569" width="14.85546875" style="3" customWidth="1"/>
    <col min="15570" max="15570" width="3.28515625" style="3" customWidth="1"/>
    <col min="15571" max="15571" width="20.140625" style="3" customWidth="1"/>
    <col min="15572" max="15572" width="3.28515625" style="3" customWidth="1"/>
    <col min="15573" max="15577" width="11" style="3"/>
    <col min="15578" max="15590" width="4.7109375" style="3" customWidth="1"/>
    <col min="15591" max="15800" width="11" style="3"/>
    <col min="15801" max="15801" width="0.7109375" style="3" customWidth="1"/>
    <col min="15802" max="15802" width="6.5703125" style="3" customWidth="1"/>
    <col min="15803" max="15803" width="13.5703125" style="3" customWidth="1"/>
    <col min="15804" max="15804" width="13.42578125" style="3" customWidth="1"/>
    <col min="15805" max="15806" width="12.5703125" style="3" customWidth="1"/>
    <col min="15807" max="15807" width="14.85546875" style="3" customWidth="1"/>
    <col min="15808" max="15808" width="20.7109375" style="3" customWidth="1"/>
    <col min="15809" max="15809" width="12.5703125" style="3" customWidth="1"/>
    <col min="15810" max="15810" width="13" style="3" customWidth="1"/>
    <col min="15811" max="15811" width="16" style="3" customWidth="1"/>
    <col min="15812" max="15812" width="6.42578125" style="3" customWidth="1"/>
    <col min="15813" max="15813" width="16" style="3" customWidth="1"/>
    <col min="15814" max="15814" width="2.85546875" style="3" customWidth="1"/>
    <col min="15815" max="15815" width="0.85546875" style="3" customWidth="1"/>
    <col min="15816" max="15816" width="11" style="3"/>
    <col min="15817" max="15817" width="15.42578125" style="3" customWidth="1"/>
    <col min="15818" max="15820" width="14.85546875" style="3" customWidth="1"/>
    <col min="15821" max="15821" width="0.7109375" style="3" customWidth="1"/>
    <col min="15822" max="15822" width="11" style="3"/>
    <col min="15823" max="15823" width="15.7109375" style="3" customWidth="1"/>
    <col min="15824" max="15825" width="14.85546875" style="3" customWidth="1"/>
    <col min="15826" max="15826" width="3.28515625" style="3" customWidth="1"/>
    <col min="15827" max="15827" width="20.140625" style="3" customWidth="1"/>
    <col min="15828" max="15828" width="3.28515625" style="3" customWidth="1"/>
    <col min="15829" max="15833" width="11" style="3"/>
    <col min="15834" max="15846" width="4.7109375" style="3" customWidth="1"/>
    <col min="15847" max="16056" width="11" style="3"/>
    <col min="16057" max="16057" width="0.7109375" style="3" customWidth="1"/>
    <col min="16058" max="16058" width="6.5703125" style="3" customWidth="1"/>
    <col min="16059" max="16059" width="13.5703125" style="3" customWidth="1"/>
    <col min="16060" max="16060" width="13.42578125" style="3" customWidth="1"/>
    <col min="16061" max="16062" width="12.5703125" style="3" customWidth="1"/>
    <col min="16063" max="16063" width="14.85546875" style="3" customWidth="1"/>
    <col min="16064" max="16064" width="20.7109375" style="3" customWidth="1"/>
    <col min="16065" max="16065" width="12.5703125" style="3" customWidth="1"/>
    <col min="16066" max="16066" width="13" style="3" customWidth="1"/>
    <col min="16067" max="16067" width="16" style="3" customWidth="1"/>
    <col min="16068" max="16068" width="6.42578125" style="3" customWidth="1"/>
    <col min="16069" max="16069" width="16" style="3" customWidth="1"/>
    <col min="16070" max="16070" width="2.85546875" style="3" customWidth="1"/>
    <col min="16071" max="16071" width="0.85546875" style="3" customWidth="1"/>
    <col min="16072" max="16072" width="11" style="3"/>
    <col min="16073" max="16073" width="15.42578125" style="3" customWidth="1"/>
    <col min="16074" max="16076" width="14.85546875" style="3" customWidth="1"/>
    <col min="16077" max="16077" width="0.7109375" style="3" customWidth="1"/>
    <col min="16078" max="16078" width="11" style="3"/>
    <col min="16079" max="16079" width="15.7109375" style="3" customWidth="1"/>
    <col min="16080" max="16081" width="14.85546875" style="3" customWidth="1"/>
    <col min="16082" max="16082" width="3.28515625" style="3" customWidth="1"/>
    <col min="16083" max="16083" width="20.140625" style="3" customWidth="1"/>
    <col min="16084" max="16084" width="3.28515625" style="3" customWidth="1"/>
    <col min="16085" max="16089" width="11" style="3"/>
    <col min="16090" max="16102" width="4.7109375" style="3" customWidth="1"/>
    <col min="16103" max="16384" width="11" style="3"/>
  </cols>
  <sheetData>
    <row r="1" spans="1:28" s="1" customFormat="1" ht="19.5" customHeight="1">
      <c r="A1" s="236"/>
      <c r="B1" s="237"/>
      <c r="C1" s="179" t="s">
        <v>0</v>
      </c>
      <c r="D1" s="179"/>
      <c r="E1" s="179"/>
      <c r="F1" s="179"/>
      <c r="G1" s="179"/>
      <c r="H1" s="179"/>
      <c r="I1" s="179"/>
      <c r="J1" s="179"/>
      <c r="K1" s="180" t="s">
        <v>1</v>
      </c>
      <c r="L1" s="181"/>
      <c r="O1" s="80"/>
      <c r="P1" s="80"/>
      <c r="Q1" s="80"/>
      <c r="R1" s="80"/>
      <c r="S1" s="80"/>
      <c r="T1" s="80"/>
      <c r="U1" s="80"/>
      <c r="V1" s="80"/>
      <c r="W1" s="80"/>
      <c r="X1" s="80"/>
      <c r="Y1" s="80"/>
      <c r="Z1" s="80"/>
      <c r="AA1" s="80"/>
    </row>
    <row r="2" spans="1:28" s="1" customFormat="1" ht="19.5" customHeight="1">
      <c r="A2" s="238"/>
      <c r="B2" s="186"/>
      <c r="C2" s="241" t="s">
        <v>2</v>
      </c>
      <c r="D2" s="241"/>
      <c r="E2" s="241"/>
      <c r="F2" s="241"/>
      <c r="G2" s="241"/>
      <c r="H2" s="241"/>
      <c r="I2" s="241"/>
      <c r="J2" s="241"/>
      <c r="K2" s="182" t="s">
        <v>89</v>
      </c>
      <c r="L2" s="183"/>
      <c r="O2" s="80"/>
      <c r="P2" s="80"/>
      <c r="Q2" s="80"/>
      <c r="R2" s="80"/>
      <c r="S2" s="80"/>
      <c r="T2" s="80"/>
      <c r="U2" s="80"/>
      <c r="V2" s="80"/>
      <c r="W2" s="80"/>
      <c r="X2" s="80"/>
      <c r="Y2" s="80"/>
      <c r="Z2" s="80"/>
      <c r="AA2" s="80"/>
    </row>
    <row r="3" spans="1:28" s="1" customFormat="1" ht="19.5" customHeight="1">
      <c r="A3" s="238"/>
      <c r="B3" s="186"/>
      <c r="C3" s="241"/>
      <c r="D3" s="241"/>
      <c r="E3" s="241"/>
      <c r="F3" s="241"/>
      <c r="G3" s="241"/>
      <c r="H3" s="241"/>
      <c r="I3" s="241"/>
      <c r="J3" s="241"/>
      <c r="K3" s="182" t="s">
        <v>3</v>
      </c>
      <c r="L3" s="183"/>
      <c r="Q3" s="132"/>
      <c r="R3" s="80"/>
      <c r="T3" s="132" t="s">
        <v>4</v>
      </c>
      <c r="U3" s="132"/>
      <c r="V3" s="80"/>
      <c r="W3" s="80"/>
      <c r="X3" s="80"/>
      <c r="Y3" s="80"/>
      <c r="Z3" s="80"/>
      <c r="AA3" s="80"/>
    </row>
    <row r="4" spans="1:28" s="1" customFormat="1" ht="19.5" customHeight="1" thickBot="1">
      <c r="A4" s="239"/>
      <c r="B4" s="240"/>
      <c r="C4" s="242"/>
      <c r="D4" s="242"/>
      <c r="E4" s="242"/>
      <c r="F4" s="242"/>
      <c r="G4" s="242"/>
      <c r="H4" s="242"/>
      <c r="I4" s="242"/>
      <c r="J4" s="242"/>
      <c r="K4" s="184" t="s">
        <v>88</v>
      </c>
      <c r="L4" s="185"/>
      <c r="Q4" s="132"/>
      <c r="R4" s="80"/>
      <c r="S4" s="132"/>
      <c r="T4" s="132"/>
      <c r="U4" s="132"/>
      <c r="V4" s="80"/>
      <c r="W4" s="80"/>
      <c r="X4" s="80"/>
      <c r="Y4" s="80"/>
      <c r="Z4" s="80"/>
      <c r="AA4" s="80"/>
    </row>
    <row r="5" spans="1:28" s="1" customFormat="1" ht="3.95" customHeight="1" thickBot="1">
      <c r="A5" s="5"/>
      <c r="B5" s="186"/>
      <c r="C5" s="186"/>
      <c r="D5" s="186"/>
      <c r="E5" s="186"/>
      <c r="F5" s="186"/>
      <c r="G5" s="186"/>
      <c r="H5" s="186"/>
      <c r="I5" s="186"/>
      <c r="J5" s="186"/>
      <c r="K5" s="186"/>
      <c r="L5" s="81"/>
      <c r="Q5" s="132"/>
      <c r="R5" s="132"/>
      <c r="T5" s="132"/>
      <c r="U5" s="132"/>
      <c r="V5" s="80"/>
      <c r="W5" s="80"/>
      <c r="X5" s="80"/>
      <c r="Y5" s="80"/>
      <c r="Z5" s="80"/>
      <c r="AA5" s="80"/>
      <c r="AB5" s="80"/>
    </row>
    <row r="6" spans="1:28" s="1" customFormat="1" ht="22.5" customHeight="1">
      <c r="A6" s="6"/>
      <c r="B6" s="7" t="s">
        <v>5</v>
      </c>
      <c r="C6" s="273" t="s">
        <v>91</v>
      </c>
      <c r="D6" s="273"/>
      <c r="E6" s="273"/>
      <c r="F6" s="273"/>
      <c r="G6" s="273"/>
      <c r="H6" s="188" t="s">
        <v>6</v>
      </c>
      <c r="I6" s="188"/>
      <c r="J6" s="189">
        <v>45884</v>
      </c>
      <c r="K6" s="189"/>
      <c r="L6" s="190"/>
      <c r="Q6" s="80"/>
      <c r="R6" s="80"/>
      <c r="T6" s="133" t="s">
        <v>7</v>
      </c>
      <c r="U6" s="80"/>
      <c r="V6" s="80"/>
      <c r="W6" s="80"/>
      <c r="X6" s="80"/>
      <c r="Y6" s="80"/>
      <c r="Z6" s="80"/>
      <c r="AA6" s="80"/>
      <c r="AB6" s="80"/>
    </row>
    <row r="7" spans="1:28" s="1" customFormat="1" ht="24.75" customHeight="1">
      <c r="A7" s="5"/>
      <c r="B7" s="9" t="s">
        <v>8</v>
      </c>
      <c r="C7" s="274" t="s">
        <v>92</v>
      </c>
      <c r="D7" s="274"/>
      <c r="E7" s="274"/>
      <c r="F7" s="274"/>
      <c r="G7" s="274"/>
      <c r="H7" s="192" t="s">
        <v>9</v>
      </c>
      <c r="I7" s="192"/>
      <c r="J7" s="193">
        <v>45922</v>
      </c>
      <c r="K7" s="193"/>
      <c r="L7" s="194"/>
      <c r="Q7" s="80"/>
      <c r="R7" s="80"/>
      <c r="T7" s="133" t="s">
        <v>102</v>
      </c>
      <c r="U7" s="80"/>
      <c r="V7" s="80"/>
      <c r="W7" s="80"/>
      <c r="X7" s="80"/>
      <c r="Y7" s="80"/>
      <c r="Z7" s="80"/>
      <c r="AA7" s="80"/>
      <c r="AB7" s="80"/>
    </row>
    <row r="8" spans="1:28" s="1" customFormat="1" ht="22.5" customHeight="1">
      <c r="A8" s="5"/>
      <c r="B8" s="9" t="s">
        <v>11</v>
      </c>
      <c r="C8" s="271" t="s">
        <v>12</v>
      </c>
      <c r="D8" s="272"/>
      <c r="E8" s="272"/>
      <c r="F8" s="272"/>
      <c r="G8" s="272"/>
      <c r="H8" s="192" t="s">
        <v>13</v>
      </c>
      <c r="I8" s="192"/>
      <c r="J8" s="193">
        <v>45932</v>
      </c>
      <c r="K8" s="193"/>
      <c r="L8" s="194"/>
      <c r="Q8" s="80"/>
      <c r="R8" s="80"/>
      <c r="S8" s="1">
        <f>17-2.57</f>
        <v>14.43</v>
      </c>
      <c r="T8" s="133" t="s">
        <v>14</v>
      </c>
      <c r="U8" s="80"/>
      <c r="V8" s="80"/>
      <c r="W8" s="80"/>
      <c r="X8" s="80"/>
      <c r="Y8" s="80"/>
      <c r="Z8" s="80"/>
      <c r="AA8" s="80"/>
      <c r="AB8" s="80"/>
    </row>
    <row r="9" spans="1:28" s="1" customFormat="1" ht="22.5" customHeight="1">
      <c r="A9" s="5"/>
      <c r="B9" s="9" t="s">
        <v>15</v>
      </c>
      <c r="C9" s="202" t="s">
        <v>93</v>
      </c>
      <c r="D9" s="202"/>
      <c r="E9" s="202"/>
      <c r="F9" s="202"/>
      <c r="G9" s="202"/>
      <c r="H9" s="192" t="s">
        <v>16</v>
      </c>
      <c r="I9" s="192"/>
      <c r="J9" s="82" t="s">
        <v>17</v>
      </c>
      <c r="K9" s="83" t="s">
        <v>90</v>
      </c>
      <c r="L9" s="84" t="s">
        <v>85</v>
      </c>
      <c r="Q9" s="80"/>
      <c r="R9" s="80"/>
      <c r="T9" s="133" t="s">
        <v>18</v>
      </c>
      <c r="U9" s="80"/>
      <c r="V9" s="80"/>
      <c r="W9" s="80"/>
      <c r="X9" s="80"/>
      <c r="Y9" s="80"/>
      <c r="Z9" s="80"/>
      <c r="AA9" s="80"/>
      <c r="AB9" s="80"/>
    </row>
    <row r="10" spans="1:28" s="1" customFormat="1" ht="22.5" customHeight="1">
      <c r="A10" s="5"/>
      <c r="B10" s="10" t="s">
        <v>19</v>
      </c>
      <c r="C10" s="202" t="s">
        <v>20</v>
      </c>
      <c r="D10" s="202"/>
      <c r="E10" s="202"/>
      <c r="F10" s="202"/>
      <c r="G10" s="202"/>
      <c r="H10" s="196" t="s">
        <v>21</v>
      </c>
      <c r="I10" s="196"/>
      <c r="J10" s="197" t="str">
        <f>CONCATENATE(K9,," ",L9,"-",D12,"-",F12)</f>
        <v>056 25-PALMA SECA AP3-3</v>
      </c>
      <c r="K10" s="197"/>
      <c r="L10" s="198"/>
      <c r="Q10" s="80"/>
      <c r="R10" s="80"/>
      <c r="T10" s="133" t="s">
        <v>22</v>
      </c>
      <c r="U10" s="80"/>
      <c r="V10" s="80"/>
      <c r="W10" s="80"/>
      <c r="X10" s="80"/>
      <c r="Y10" s="80"/>
      <c r="Z10" s="80"/>
      <c r="AA10" s="80"/>
      <c r="AB10" s="80"/>
    </row>
    <row r="11" spans="1:28" s="1" customFormat="1" ht="3.95" customHeight="1" thickBot="1">
      <c r="A11" s="11"/>
      <c r="B11" s="199"/>
      <c r="C11" s="199"/>
      <c r="D11" s="199"/>
      <c r="E11" s="199"/>
      <c r="F11" s="199"/>
      <c r="G11" s="199"/>
      <c r="H11" s="199"/>
      <c r="I11" s="199"/>
      <c r="J11" s="199"/>
      <c r="K11" s="199"/>
      <c r="L11" s="85"/>
      <c r="Q11" s="80"/>
      <c r="R11" s="80"/>
      <c r="T11" s="133"/>
      <c r="U11" s="80"/>
      <c r="V11" s="80"/>
      <c r="W11" s="80"/>
      <c r="X11" s="80"/>
      <c r="Y11" s="80"/>
      <c r="Z11" s="80"/>
      <c r="AA11" s="80"/>
      <c r="AB11" s="80"/>
    </row>
    <row r="12" spans="1:28" s="1" customFormat="1" ht="22.5" customHeight="1">
      <c r="A12" s="6"/>
      <c r="B12" s="7" t="s">
        <v>23</v>
      </c>
      <c r="C12" s="12" t="s">
        <v>102</v>
      </c>
      <c r="D12" s="13" t="s">
        <v>105</v>
      </c>
      <c r="E12" s="14" t="s">
        <v>24</v>
      </c>
      <c r="F12" s="200">
        <v>3</v>
      </c>
      <c r="G12" s="200"/>
      <c r="H12" s="201" t="s">
        <v>25</v>
      </c>
      <c r="I12" s="201"/>
      <c r="J12" s="86">
        <v>1.8</v>
      </c>
      <c r="K12" s="87" t="s">
        <v>26</v>
      </c>
      <c r="L12" s="88">
        <v>2</v>
      </c>
      <c r="Q12" s="80"/>
      <c r="R12" s="80"/>
      <c r="T12" s="133"/>
      <c r="U12" s="80"/>
      <c r="V12" s="80"/>
      <c r="W12" s="80"/>
      <c r="X12" s="80"/>
      <c r="Y12" s="80"/>
      <c r="Z12" s="80"/>
      <c r="AA12" s="80"/>
      <c r="AB12" s="80"/>
    </row>
    <row r="13" spans="1:28" s="1" customFormat="1" ht="22.5" customHeight="1">
      <c r="A13" s="5"/>
      <c r="B13" s="9" t="s">
        <v>27</v>
      </c>
      <c r="C13" s="202" t="s">
        <v>106</v>
      </c>
      <c r="D13" s="202"/>
      <c r="E13" s="202"/>
      <c r="F13" s="202"/>
      <c r="G13" s="202"/>
      <c r="H13" s="202"/>
      <c r="I13" s="202"/>
      <c r="J13" s="202"/>
      <c r="K13" s="202"/>
      <c r="L13" s="203"/>
      <c r="O13" s="1">
        <f>-MOD1</f>
        <v>0</v>
      </c>
      <c r="Q13" s="80"/>
      <c r="R13" s="80"/>
      <c r="T13" s="133"/>
      <c r="U13" s="80"/>
      <c r="V13" s="80"/>
      <c r="W13" s="80"/>
      <c r="X13" s="80"/>
      <c r="Y13" s="80"/>
      <c r="Z13" s="80"/>
      <c r="AA13" s="80"/>
      <c r="AB13" s="80"/>
    </row>
    <row r="14" spans="1:28" s="1" customFormat="1" ht="6.95" customHeight="1" thickBot="1">
      <c r="A14" s="11"/>
      <c r="B14" s="15"/>
      <c r="C14" s="16"/>
      <c r="D14" s="16"/>
      <c r="E14" s="16"/>
      <c r="F14" s="16"/>
      <c r="G14" s="16"/>
      <c r="H14" s="16"/>
      <c r="I14" s="16"/>
      <c r="J14" s="16"/>
      <c r="K14" s="16"/>
      <c r="L14" s="89"/>
      <c r="P14" s="80"/>
      <c r="Q14" s="80"/>
      <c r="R14" s="80"/>
      <c r="S14" s="80"/>
      <c r="T14" s="80"/>
      <c r="U14" s="80"/>
      <c r="V14" s="80"/>
      <c r="W14" s="80"/>
      <c r="X14" s="80"/>
      <c r="Y14" s="80"/>
      <c r="Z14" s="80"/>
      <c r="AA14" s="80"/>
      <c r="AB14" s="80"/>
    </row>
    <row r="15" spans="1:28" ht="14.25" customHeight="1" thickBot="1">
      <c r="A15" s="17"/>
      <c r="B15" s="18"/>
      <c r="C15" s="18"/>
      <c r="D15" s="18"/>
      <c r="E15" s="18"/>
      <c r="F15" s="18"/>
      <c r="G15" s="18"/>
      <c r="H15" s="18"/>
      <c r="I15" s="18"/>
      <c r="J15" s="18"/>
      <c r="K15" s="18"/>
      <c r="L15" s="90"/>
    </row>
    <row r="16" spans="1:28" ht="22.5" customHeight="1" thickBot="1">
      <c r="A16" s="204"/>
      <c r="B16" s="205"/>
      <c r="C16" s="205"/>
      <c r="D16" s="205"/>
      <c r="E16" s="205"/>
      <c r="F16" s="205"/>
      <c r="G16" s="205"/>
      <c r="H16" s="205"/>
      <c r="I16" s="205"/>
      <c r="J16" s="205"/>
      <c r="K16" s="205"/>
      <c r="L16" s="206"/>
    </row>
    <row r="17" spans="1:19" ht="22.5" customHeight="1" thickBot="1">
      <c r="A17" s="17"/>
      <c r="B17" s="18"/>
      <c r="C17" s="18"/>
      <c r="D17" s="18"/>
      <c r="E17" s="18"/>
      <c r="F17" s="18"/>
      <c r="G17" s="19"/>
      <c r="H17" s="19"/>
      <c r="I17" s="19"/>
      <c r="J17" s="19"/>
      <c r="K17" s="19"/>
      <c r="L17" s="91"/>
    </row>
    <row r="18" spans="1:19" s="2" customFormat="1" ht="22.5" customHeight="1" thickBot="1">
      <c r="A18" s="207" t="s">
        <v>28</v>
      </c>
      <c r="B18" s="208"/>
      <c r="C18" s="208"/>
      <c r="D18" s="208"/>
      <c r="E18" s="209"/>
      <c r="F18" s="20"/>
      <c r="G18" s="207" t="s">
        <v>28</v>
      </c>
      <c r="H18" s="208"/>
      <c r="I18" s="208"/>
      <c r="J18" s="208"/>
      <c r="K18" s="208"/>
      <c r="L18" s="209"/>
      <c r="O18" s="92"/>
    </row>
    <row r="19" spans="1:19" s="2" customFormat="1" ht="27.75" customHeight="1" thickBot="1">
      <c r="A19" s="210"/>
      <c r="B19" s="211"/>
      <c r="C19" s="211"/>
      <c r="D19" s="22" t="s">
        <v>29</v>
      </c>
      <c r="E19" s="23" t="s">
        <v>30</v>
      </c>
      <c r="F19" s="24"/>
      <c r="G19" s="243" t="s">
        <v>31</v>
      </c>
      <c r="H19" s="244"/>
      <c r="I19" s="212" t="s">
        <v>32</v>
      </c>
      <c r="J19" s="213"/>
      <c r="K19" s="214" t="s">
        <v>33</v>
      </c>
      <c r="L19" s="215"/>
    </row>
    <row r="20" spans="1:19" s="2" customFormat="1" ht="22.5" customHeight="1">
      <c r="A20" s="216" t="s">
        <v>34</v>
      </c>
      <c r="B20" s="217"/>
      <c r="C20" s="25"/>
      <c r="D20" s="26" t="s">
        <v>99</v>
      </c>
      <c r="E20" s="27" t="s">
        <v>99</v>
      </c>
      <c r="F20" s="28"/>
      <c r="G20" s="245"/>
      <c r="H20" s="246"/>
      <c r="I20" s="93" t="s">
        <v>35</v>
      </c>
      <c r="J20" s="168" t="s">
        <v>36</v>
      </c>
      <c r="K20" s="95" t="s">
        <v>37</v>
      </c>
      <c r="L20" s="150" t="s">
        <v>36</v>
      </c>
      <c r="N20" s="92"/>
    </row>
    <row r="21" spans="1:19" s="2" customFormat="1" ht="22.5" customHeight="1">
      <c r="A21" s="216" t="s">
        <v>38</v>
      </c>
      <c r="B21" s="217"/>
      <c r="C21" s="25" t="s">
        <v>39</v>
      </c>
      <c r="D21" s="160">
        <v>15.21</v>
      </c>
      <c r="E21" s="161">
        <f>D21</f>
        <v>15.21</v>
      </c>
      <c r="F21" s="31"/>
      <c r="G21" s="96" t="s">
        <v>40</v>
      </c>
      <c r="H21" s="32" t="s">
        <v>41</v>
      </c>
      <c r="I21" s="96" t="s">
        <v>42</v>
      </c>
      <c r="J21" s="151" t="s">
        <v>43</v>
      </c>
      <c r="K21" s="96" t="s">
        <v>42</v>
      </c>
      <c r="L21" s="151" t="s">
        <v>43</v>
      </c>
      <c r="N21" s="97"/>
    </row>
    <row r="22" spans="1:19" s="2" customFormat="1" ht="22.5" customHeight="1">
      <c r="A22" s="216" t="s">
        <v>44</v>
      </c>
      <c r="B22" s="217"/>
      <c r="C22" s="25" t="s">
        <v>39</v>
      </c>
      <c r="D22" s="160">
        <v>15.08</v>
      </c>
      <c r="E22" s="161">
        <f>D22+E39</f>
        <v>15.08</v>
      </c>
      <c r="F22" s="31"/>
      <c r="G22" s="145">
        <v>0</v>
      </c>
      <c r="H22" s="33">
        <v>0</v>
      </c>
      <c r="I22" s="144">
        <v>0</v>
      </c>
      <c r="J22" s="152">
        <v>0</v>
      </c>
      <c r="K22" s="144">
        <v>0</v>
      </c>
      <c r="L22" s="152">
        <v>0</v>
      </c>
      <c r="N22" s="97"/>
      <c r="O22" s="2">
        <v>0.20599999999999999</v>
      </c>
      <c r="P22" s="2">
        <v>5.8000000000000003E-2</v>
      </c>
      <c r="S22" s="2">
        <v>5.8000000000000003E-2</v>
      </c>
    </row>
    <row r="23" spans="1:19" s="2" customFormat="1" ht="22.5" customHeight="1">
      <c r="A23" s="216" t="s">
        <v>45</v>
      </c>
      <c r="B23" s="217"/>
      <c r="C23" s="34" t="s">
        <v>46</v>
      </c>
      <c r="D23" s="35">
        <v>9332</v>
      </c>
      <c r="E23" s="36">
        <v>9504</v>
      </c>
      <c r="F23" s="31"/>
      <c r="G23" s="145">
        <v>5.0000000000000001E-3</v>
      </c>
      <c r="H23" s="33">
        <v>0.127</v>
      </c>
      <c r="I23" s="144">
        <v>0.20599999999999999</v>
      </c>
      <c r="J23" s="153">
        <f t="shared" ref="J23:J34" si="0">((I23/19.32)*10)</f>
        <v>0.10662525879917184</v>
      </c>
      <c r="K23" s="98">
        <v>5.8000000000000003E-2</v>
      </c>
      <c r="L23" s="153">
        <f t="shared" ref="L23:L34" si="1">((K23/19.32)*10)</f>
        <v>3.0020703933747412E-2</v>
      </c>
      <c r="N23" s="97"/>
      <c r="O23" s="2">
        <v>0.44500000000000001</v>
      </c>
      <c r="P23" s="2">
        <v>0.129</v>
      </c>
      <c r="S23" s="2">
        <v>0.129</v>
      </c>
    </row>
    <row r="24" spans="1:19" s="2" customFormat="1" ht="22.5" customHeight="1">
      <c r="A24" s="216" t="s">
        <v>47</v>
      </c>
      <c r="B24" s="217"/>
      <c r="C24" s="34" t="s">
        <v>46</v>
      </c>
      <c r="D24" s="35">
        <v>3828</v>
      </c>
      <c r="E24" s="37">
        <f>D24</f>
        <v>3828</v>
      </c>
      <c r="F24" s="38"/>
      <c r="G24" s="145">
        <v>2.5000000000000001E-2</v>
      </c>
      <c r="H24" s="33">
        <v>0.63500000000000001</v>
      </c>
      <c r="I24" s="144">
        <v>0.44500000000000001</v>
      </c>
      <c r="J24" s="153">
        <f t="shared" si="0"/>
        <v>0.23033126293995859</v>
      </c>
      <c r="K24" s="98">
        <v>0.129</v>
      </c>
      <c r="L24" s="153">
        <f t="shared" si="1"/>
        <v>6.6770186335403728E-2</v>
      </c>
      <c r="N24" s="97"/>
      <c r="O24" s="2">
        <v>0.68300000000000005</v>
      </c>
      <c r="P24" s="2">
        <v>0.21299999999999999</v>
      </c>
      <c r="S24" s="2">
        <v>0.21299999999999999</v>
      </c>
    </row>
    <row r="25" spans="1:19" s="2" customFormat="1" ht="22.5" customHeight="1">
      <c r="A25" s="216" t="s">
        <v>48</v>
      </c>
      <c r="B25" s="217"/>
      <c r="C25" s="34" t="s">
        <v>46</v>
      </c>
      <c r="D25" s="39">
        <f>+D23-D24</f>
        <v>5504</v>
      </c>
      <c r="E25" s="40">
        <f>E23-E24</f>
        <v>5676</v>
      </c>
      <c r="F25" s="41"/>
      <c r="G25" s="145">
        <v>0.05</v>
      </c>
      <c r="H25" s="33">
        <v>1.27</v>
      </c>
      <c r="I25" s="144">
        <v>0.68300000000000005</v>
      </c>
      <c r="J25" s="153">
        <f t="shared" si="0"/>
        <v>0.35351966873706009</v>
      </c>
      <c r="K25" s="98">
        <v>0.21299999999999999</v>
      </c>
      <c r="L25" s="153">
        <f t="shared" si="1"/>
        <v>0.11024844720496893</v>
      </c>
      <c r="N25" s="97"/>
      <c r="O25" s="2">
        <v>0.96599999999999997</v>
      </c>
      <c r="P25" s="2">
        <v>0.27300000000000002</v>
      </c>
      <c r="S25" s="2">
        <v>0.27300000000000002</v>
      </c>
    </row>
    <row r="26" spans="1:19" s="2" customFormat="1" ht="22.5" customHeight="1">
      <c r="A26" s="216" t="s">
        <v>49</v>
      </c>
      <c r="B26" s="217"/>
      <c r="C26" s="34" t="s">
        <v>50</v>
      </c>
      <c r="D26" s="39">
        <f>((PI()*(D21*D21))/4)*D22</f>
        <v>2739.994247292761</v>
      </c>
      <c r="E26" s="40">
        <f>((PI()*(E21*E21))/4)*E22</f>
        <v>2739.994247292761</v>
      </c>
      <c r="F26" s="41"/>
      <c r="G26" s="145">
        <v>7.4999999999999997E-2</v>
      </c>
      <c r="H26" s="33">
        <v>1.905</v>
      </c>
      <c r="I26" s="144">
        <v>0.96599999999999997</v>
      </c>
      <c r="J26" s="153">
        <f t="shared" si="0"/>
        <v>0.49999999999999994</v>
      </c>
      <c r="K26" s="98">
        <v>0.27300000000000002</v>
      </c>
      <c r="L26" s="153">
        <f t="shared" si="1"/>
        <v>0.14130434782608697</v>
      </c>
      <c r="N26" s="97"/>
      <c r="O26" s="2">
        <v>1.1819999999999999</v>
      </c>
      <c r="P26" s="2">
        <v>0.313</v>
      </c>
      <c r="S26" s="2">
        <v>0.313</v>
      </c>
    </row>
    <row r="27" spans="1:19" s="2" customFormat="1" ht="22.5" customHeight="1">
      <c r="A27" s="216" t="s">
        <v>51</v>
      </c>
      <c r="B27" s="217"/>
      <c r="C27" s="34" t="s">
        <v>52</v>
      </c>
      <c r="D27" s="42">
        <f>D25/D26</f>
        <v>2.0087633415428527</v>
      </c>
      <c r="E27" s="43">
        <f>E25/E26</f>
        <v>2.0715371959660667</v>
      </c>
      <c r="F27" s="44"/>
      <c r="G27" s="146">
        <v>0.1</v>
      </c>
      <c r="H27" s="45">
        <v>2.54</v>
      </c>
      <c r="I27" s="154">
        <v>1.1819999999999999</v>
      </c>
      <c r="J27" s="155">
        <f t="shared" si="0"/>
        <v>0.61180124223602483</v>
      </c>
      <c r="K27" s="158">
        <v>0.313</v>
      </c>
      <c r="L27" s="155">
        <f t="shared" si="1"/>
        <v>0.16200828157349897</v>
      </c>
      <c r="N27" s="97"/>
      <c r="O27" s="2">
        <v>1.327</v>
      </c>
      <c r="P27" s="2">
        <v>0.36499999999999999</v>
      </c>
      <c r="S27" s="2">
        <v>0.36499999999999999</v>
      </c>
    </row>
    <row r="28" spans="1:19" s="2" customFormat="1" ht="22.5" customHeight="1" thickBot="1">
      <c r="A28" s="218" t="s">
        <v>53</v>
      </c>
      <c r="B28" s="219"/>
      <c r="C28" s="46" t="s">
        <v>52</v>
      </c>
      <c r="D28" s="47">
        <f>D27/(1+D34/100)</f>
        <v>1.7130441862552535</v>
      </c>
      <c r="E28" s="48">
        <f>E27/(1+E34/100)</f>
        <v>1.7366389743922404</v>
      </c>
      <c r="F28" s="49"/>
      <c r="G28" s="145">
        <v>0.125</v>
      </c>
      <c r="H28" s="33">
        <v>3.1749999999999998</v>
      </c>
      <c r="I28" s="144">
        <v>1.327</v>
      </c>
      <c r="J28" s="153">
        <f t="shared" si="0"/>
        <v>0.68685300207039335</v>
      </c>
      <c r="K28" s="98">
        <v>0.36499999999999999</v>
      </c>
      <c r="L28" s="153">
        <f t="shared" si="1"/>
        <v>0.18892339544513456</v>
      </c>
      <c r="N28" s="97"/>
      <c r="O28" s="2">
        <v>1.468</v>
      </c>
      <c r="P28" s="2">
        <v>0.40899999999999997</v>
      </c>
      <c r="S28" s="2">
        <v>0.40899999999999997</v>
      </c>
    </row>
    <row r="29" spans="1:19" s="2" customFormat="1" ht="22.5" customHeight="1" thickBot="1">
      <c r="A29" s="207" t="s">
        <v>54</v>
      </c>
      <c r="B29" s="208" t="s">
        <v>54</v>
      </c>
      <c r="C29" s="208"/>
      <c r="D29" s="208"/>
      <c r="E29" s="209"/>
      <c r="F29" s="49"/>
      <c r="G29" s="147">
        <v>0.15</v>
      </c>
      <c r="H29" s="33">
        <v>3.81</v>
      </c>
      <c r="I29" s="144">
        <v>1.468</v>
      </c>
      <c r="J29" s="153">
        <f t="shared" si="0"/>
        <v>0.75983436853002073</v>
      </c>
      <c r="K29" s="98">
        <v>0.40899999999999997</v>
      </c>
      <c r="L29" s="153">
        <f>((K29/19.32)*10)</f>
        <v>0.21169772256728778</v>
      </c>
      <c r="N29" s="97"/>
      <c r="O29" s="2">
        <v>1.637</v>
      </c>
      <c r="P29" s="2">
        <v>0.45300000000000001</v>
      </c>
      <c r="S29" s="2">
        <v>0.45300000000000001</v>
      </c>
    </row>
    <row r="30" spans="1:19" s="2" customFormat="1" ht="22.5" customHeight="1">
      <c r="A30" s="258" t="s">
        <v>55</v>
      </c>
      <c r="B30" s="259"/>
      <c r="C30" s="50"/>
      <c r="D30" s="51">
        <v>675</v>
      </c>
      <c r="E30" s="52">
        <v>748</v>
      </c>
      <c r="F30" s="44"/>
      <c r="G30" s="145">
        <v>0.17499999999999999</v>
      </c>
      <c r="H30" s="33">
        <v>4.4450000000000003</v>
      </c>
      <c r="I30" s="144">
        <v>1.637</v>
      </c>
      <c r="J30" s="153">
        <f t="shared" si="0"/>
        <v>0.84730848861283636</v>
      </c>
      <c r="K30" s="98">
        <v>0.45300000000000001</v>
      </c>
      <c r="L30" s="153">
        <f t="shared" si="1"/>
        <v>0.23447204968944102</v>
      </c>
      <c r="N30" s="97"/>
      <c r="O30" s="2">
        <v>1.7769999999999999</v>
      </c>
      <c r="P30" s="2">
        <v>0.48399999999999999</v>
      </c>
      <c r="S30" s="2">
        <v>0.48399999999999999</v>
      </c>
    </row>
    <row r="31" spans="1:19" s="2" customFormat="1" ht="22.5" customHeight="1">
      <c r="A31" s="216" t="s">
        <v>56</v>
      </c>
      <c r="B31" s="217"/>
      <c r="C31" s="25" t="s">
        <v>46</v>
      </c>
      <c r="D31" s="53">
        <v>245.92</v>
      </c>
      <c r="E31" s="54">
        <v>518.26</v>
      </c>
      <c r="F31" s="41"/>
      <c r="G31" s="146">
        <v>0.2</v>
      </c>
      <c r="H31" s="45">
        <v>5.08</v>
      </c>
      <c r="I31" s="154">
        <v>1.7769999999999999</v>
      </c>
      <c r="J31" s="155">
        <f t="shared" si="0"/>
        <v>0.91977225672877849</v>
      </c>
      <c r="K31" s="158">
        <v>0.48399999999999999</v>
      </c>
      <c r="L31" s="155">
        <f t="shared" si="1"/>
        <v>0.25051759834368531</v>
      </c>
      <c r="N31" s="97"/>
      <c r="O31" s="2">
        <v>2.181</v>
      </c>
      <c r="P31" s="2">
        <v>0.61399999999999999</v>
      </c>
      <c r="S31" s="2">
        <v>0.61399999999999999</v>
      </c>
    </row>
    <row r="32" spans="1:19" s="2" customFormat="1" ht="22.5" customHeight="1">
      <c r="A32" s="216" t="s">
        <v>57</v>
      </c>
      <c r="B32" s="217"/>
      <c r="C32" s="25" t="s">
        <v>46</v>
      </c>
      <c r="D32" s="53">
        <v>215.61</v>
      </c>
      <c r="E32" s="54">
        <v>441.74</v>
      </c>
      <c r="F32" s="49"/>
      <c r="G32" s="145">
        <v>0.3</v>
      </c>
      <c r="H32" s="33">
        <v>7.62</v>
      </c>
      <c r="I32" s="144">
        <v>2.181</v>
      </c>
      <c r="J32" s="153">
        <f t="shared" si="0"/>
        <v>1.1288819875776397</v>
      </c>
      <c r="K32" s="98">
        <v>0.61399999999999999</v>
      </c>
      <c r="L32" s="153">
        <f t="shared" si="1"/>
        <v>0.31780538302277428</v>
      </c>
      <c r="N32" s="97"/>
      <c r="O32" s="2">
        <v>2.4950000000000001</v>
      </c>
      <c r="P32" s="2">
        <v>0.72199999999999998</v>
      </c>
      <c r="S32" s="2">
        <v>0.72199999999999998</v>
      </c>
    </row>
    <row r="33" spans="1:19" s="2" customFormat="1" ht="22.5" customHeight="1">
      <c r="A33" s="216" t="s">
        <v>58</v>
      </c>
      <c r="B33" s="217"/>
      <c r="C33" s="25" t="s">
        <v>46</v>
      </c>
      <c r="D33" s="53">
        <v>40.03</v>
      </c>
      <c r="E33" s="54">
        <v>44.94</v>
      </c>
      <c r="F33" s="49"/>
      <c r="G33" s="145">
        <v>0.4</v>
      </c>
      <c r="H33" s="33">
        <v>10.16</v>
      </c>
      <c r="I33" s="144">
        <v>2.4950000000000001</v>
      </c>
      <c r="J33" s="153">
        <f t="shared" si="0"/>
        <v>1.2914078674948239</v>
      </c>
      <c r="K33" s="98">
        <v>0.72199999999999998</v>
      </c>
      <c r="L33" s="153">
        <f t="shared" si="1"/>
        <v>0.3737060041407867</v>
      </c>
      <c r="N33" s="97"/>
      <c r="O33" s="2">
        <v>2.7589999999999999</v>
      </c>
      <c r="P33" s="2">
        <v>0.81399999999999995</v>
      </c>
      <c r="S33" s="2">
        <v>0.81399999999999995</v>
      </c>
    </row>
    <row r="34" spans="1:19" s="2" customFormat="1" ht="22.5" customHeight="1" thickBot="1">
      <c r="A34" s="218" t="s">
        <v>59</v>
      </c>
      <c r="B34" s="219"/>
      <c r="C34" s="46" t="s">
        <v>60</v>
      </c>
      <c r="D34" s="47">
        <f>((D31-D32)/(D32-D33))*100</f>
        <v>17.262786194327358</v>
      </c>
      <c r="E34" s="48">
        <f>((E31-E32)/(E32-E33))*100</f>
        <v>19.284274193548381</v>
      </c>
      <c r="F34" s="49"/>
      <c r="G34" s="148">
        <v>0.5</v>
      </c>
      <c r="H34" s="149">
        <v>12.7</v>
      </c>
      <c r="I34" s="156">
        <v>2.7589999999999999</v>
      </c>
      <c r="J34" s="157">
        <f t="shared" si="0"/>
        <v>1.4280538302277432</v>
      </c>
      <c r="K34" s="159">
        <v>0.81399999999999995</v>
      </c>
      <c r="L34" s="157">
        <f t="shared" si="1"/>
        <v>0.42132505175983437</v>
      </c>
      <c r="N34" s="97"/>
    </row>
    <row r="35" spans="1:19" s="2" customFormat="1" ht="11.25" customHeight="1" thickBot="1">
      <c r="A35" s="55"/>
      <c r="B35" s="56"/>
      <c r="C35" s="57"/>
      <c r="D35" s="58"/>
      <c r="E35" s="58"/>
      <c r="F35" s="59"/>
      <c r="G35" s="58"/>
      <c r="H35" s="58"/>
      <c r="I35" s="58"/>
      <c r="J35" s="58"/>
      <c r="K35" s="58"/>
      <c r="L35" s="99"/>
      <c r="N35" s="97"/>
    </row>
    <row r="36" spans="1:19" s="2" customFormat="1" ht="22.5" customHeight="1" thickBot="1">
      <c r="A36" s="247" t="s">
        <v>61</v>
      </c>
      <c r="B36" s="248"/>
      <c r="C36" s="248"/>
      <c r="D36" s="248"/>
      <c r="E36" s="249"/>
      <c r="F36" s="60"/>
      <c r="G36" s="60"/>
      <c r="H36" s="207" t="s">
        <v>62</v>
      </c>
      <c r="I36" s="208"/>
      <c r="J36" s="208"/>
      <c r="K36" s="209"/>
      <c r="L36" s="100"/>
    </row>
    <row r="37" spans="1:19" s="2" customFormat="1" ht="22.5" customHeight="1" thickBot="1">
      <c r="A37" s="250" t="s">
        <v>63</v>
      </c>
      <c r="B37" s="251"/>
      <c r="C37" s="61" t="s">
        <v>64</v>
      </c>
      <c r="D37" s="277">
        <v>0.57999999999999996</v>
      </c>
      <c r="E37" s="278"/>
      <c r="F37" s="62"/>
      <c r="G37" s="62"/>
      <c r="H37" s="63" t="s">
        <v>65</v>
      </c>
      <c r="I37" s="101" t="s">
        <v>86</v>
      </c>
      <c r="J37" s="63" t="s">
        <v>66</v>
      </c>
      <c r="K37" s="102" t="s">
        <v>67</v>
      </c>
      <c r="L37" s="99"/>
    </row>
    <row r="38" spans="1:19" s="2" customFormat="1" ht="22.5" customHeight="1" thickBot="1">
      <c r="A38" s="224" t="s">
        <v>68</v>
      </c>
      <c r="B38" s="225"/>
      <c r="C38" s="64" t="s">
        <v>64</v>
      </c>
      <c r="D38" s="254">
        <v>0.66349999999999998</v>
      </c>
      <c r="E38" s="255"/>
      <c r="F38" s="62"/>
      <c r="G38" s="62"/>
      <c r="H38" s="256" t="s">
        <v>69</v>
      </c>
      <c r="I38" s="257"/>
      <c r="J38" s="256" t="s">
        <v>70</v>
      </c>
      <c r="K38" s="257"/>
      <c r="L38" s="99"/>
    </row>
    <row r="39" spans="1:19" s="2" customFormat="1" ht="22.5" customHeight="1" thickBot="1">
      <c r="A39" s="224" t="s">
        <v>71</v>
      </c>
      <c r="B39" s="225"/>
      <c r="C39" s="65" t="s">
        <v>39</v>
      </c>
      <c r="D39" s="226">
        <f>(D38-D37)*2.54</f>
        <v>0.21209000000000006</v>
      </c>
      <c r="E39" s="227"/>
      <c r="F39" s="31"/>
      <c r="G39" s="31"/>
      <c r="H39" s="163" t="s">
        <v>72</v>
      </c>
      <c r="I39" s="164">
        <v>4556</v>
      </c>
      <c r="J39" s="275">
        <v>4</v>
      </c>
      <c r="K39" s="229"/>
      <c r="L39" s="99"/>
    </row>
    <row r="40" spans="1:19" s="2" customFormat="1" ht="22.5" customHeight="1" thickBot="1">
      <c r="A40" s="230" t="s">
        <v>73</v>
      </c>
      <c r="B40" s="231"/>
      <c r="C40" s="67" t="s">
        <v>60</v>
      </c>
      <c r="D40" s="232">
        <f>IF(D39&lt;&gt;"",IF(D22&lt;&gt;"",D39/D22*100,""),"")</f>
        <v>1.4064323607427061</v>
      </c>
      <c r="E40" s="233"/>
      <c r="F40" s="68"/>
      <c r="G40" s="68"/>
      <c r="H40" s="165" t="s">
        <v>33</v>
      </c>
      <c r="I40" s="166">
        <v>4556</v>
      </c>
      <c r="J40" s="276">
        <v>4</v>
      </c>
      <c r="K40" s="235"/>
      <c r="L40" s="99"/>
      <c r="P40" s="105"/>
      <c r="Q40" s="105"/>
      <c r="R40" s="134"/>
    </row>
    <row r="41" spans="1:19" s="2" customFormat="1" ht="33" customHeight="1" thickBot="1">
      <c r="A41" s="70"/>
      <c r="B41" s="58"/>
      <c r="C41" s="58"/>
      <c r="D41" s="58"/>
      <c r="E41" s="58"/>
      <c r="F41" s="71"/>
      <c r="G41" s="58"/>
      <c r="H41" s="70"/>
      <c r="I41" s="58"/>
      <c r="J41" s="107" t="str">
        <f>I19</f>
        <v>ANTES DE INMERSIÓN</v>
      </c>
      <c r="K41" s="107" t="str">
        <f>K19</f>
        <v xml:space="preserve">DESPUÉS DE INMERSIÓN </v>
      </c>
      <c r="L41" s="108"/>
      <c r="M41" s="20"/>
      <c r="P41" s="109"/>
      <c r="Q41" s="135"/>
      <c r="R41" s="136"/>
    </row>
    <row r="42" spans="1:19" s="2" customFormat="1" ht="22.5" customHeight="1">
      <c r="A42" s="70"/>
      <c r="B42" s="58"/>
      <c r="C42" s="58"/>
      <c r="D42" s="58"/>
      <c r="E42" s="58"/>
      <c r="F42" s="58"/>
      <c r="G42" s="58"/>
      <c r="H42" s="21" t="s">
        <v>74</v>
      </c>
      <c r="I42" s="110" t="s">
        <v>60</v>
      </c>
      <c r="J42" s="111">
        <f>(J27/6.9)*100</f>
        <v>8.8666846700873165</v>
      </c>
      <c r="K42" s="112">
        <f>(L27/6.9)*100</f>
        <v>2.3479461097608545</v>
      </c>
      <c r="L42" s="99"/>
      <c r="P42" s="113"/>
      <c r="Q42" s="137"/>
      <c r="R42" s="136"/>
    </row>
    <row r="43" spans="1:19" s="2" customFormat="1" ht="22.5" customHeight="1" thickBot="1">
      <c r="A43" s="70"/>
      <c r="B43" s="73"/>
      <c r="C43" s="58"/>
      <c r="D43" s="58"/>
      <c r="E43" s="58"/>
      <c r="F43" s="58"/>
      <c r="G43" s="58"/>
      <c r="H43" s="74" t="s">
        <v>75</v>
      </c>
      <c r="I43" s="114" t="s">
        <v>60</v>
      </c>
      <c r="J43" s="115">
        <f>(J31/10.3)*100</f>
        <v>8.9298277352308588</v>
      </c>
      <c r="K43" s="116">
        <f>(L31/10.3)*100</f>
        <v>2.4322096926571386</v>
      </c>
      <c r="L43" s="99"/>
      <c r="P43" s="117"/>
      <c r="Q43" s="138"/>
      <c r="R43" s="139"/>
    </row>
    <row r="44" spans="1:19" s="2" customFormat="1" ht="22.5" customHeight="1" thickBot="1">
      <c r="A44" s="70"/>
      <c r="B44" s="73"/>
      <c r="C44" s="73"/>
      <c r="D44" s="73"/>
      <c r="E44" s="58"/>
      <c r="F44" s="58"/>
      <c r="G44" s="58"/>
      <c r="H44" s="74" t="s">
        <v>76</v>
      </c>
      <c r="I44" s="114"/>
      <c r="J44" s="118">
        <f>IF(J42&lt;J43,J42,J43)</f>
        <v>8.8666846700873165</v>
      </c>
      <c r="K44" s="119">
        <f>IF(K42&lt;K43,K42,K43)</f>
        <v>2.3479461097608545</v>
      </c>
      <c r="L44" s="120"/>
      <c r="M44" s="121"/>
    </row>
    <row r="45" spans="1:19" s="2" customFormat="1" ht="22.5" customHeight="1">
      <c r="A45" s="70"/>
      <c r="B45" s="58"/>
      <c r="C45" s="58"/>
      <c r="D45" s="59"/>
      <c r="E45" s="59"/>
      <c r="F45" s="59"/>
      <c r="G45" s="58"/>
      <c r="H45" s="4"/>
      <c r="I45" s="122"/>
      <c r="J45" s="122"/>
      <c r="K45" s="122"/>
      <c r="L45" s="99"/>
    </row>
    <row r="46" spans="1:19" s="2" customFormat="1" ht="22.5" customHeight="1">
      <c r="A46" s="70"/>
      <c r="B46" s="58"/>
      <c r="C46" s="58"/>
      <c r="D46" s="59"/>
      <c r="E46" s="59"/>
      <c r="F46" s="59"/>
      <c r="G46" s="58"/>
      <c r="H46" s="222" t="s">
        <v>77</v>
      </c>
      <c r="I46" s="222"/>
      <c r="J46" s="222" t="s">
        <v>78</v>
      </c>
      <c r="K46" s="222"/>
      <c r="L46" s="223"/>
    </row>
    <row r="47" spans="1:19" s="2" customFormat="1" ht="22.5" customHeight="1">
      <c r="A47" s="70"/>
      <c r="B47" s="56"/>
      <c r="C47" s="75"/>
      <c r="D47" s="76"/>
      <c r="E47" s="59"/>
      <c r="F47" s="59"/>
      <c r="G47" s="59"/>
      <c r="H47" s="77"/>
      <c r="I47" s="123"/>
      <c r="J47" s="77"/>
      <c r="K47" s="123"/>
      <c r="L47" s="124"/>
    </row>
    <row r="48" spans="1:19" s="2" customFormat="1" ht="22.5" customHeight="1">
      <c r="A48" s="70"/>
      <c r="B48" s="56"/>
      <c r="C48" s="75"/>
      <c r="D48" s="76"/>
      <c r="E48" s="59"/>
      <c r="F48" s="59"/>
      <c r="G48" s="59"/>
      <c r="H48" s="77"/>
      <c r="I48" s="123"/>
      <c r="J48" s="77"/>
      <c r="K48" s="123"/>
      <c r="L48" s="124"/>
    </row>
    <row r="49" spans="1:15" s="2" customFormat="1" ht="22.5" customHeight="1">
      <c r="A49" s="70"/>
      <c r="B49" s="56"/>
      <c r="C49" s="75"/>
      <c r="D49" s="76"/>
      <c r="E49" s="59"/>
      <c r="F49" s="59"/>
      <c r="G49" s="59"/>
      <c r="H49" s="77"/>
      <c r="I49" s="123"/>
      <c r="J49" s="77"/>
      <c r="K49"/>
      <c r="L49" s="124"/>
    </row>
    <row r="50" spans="1:15" s="2" customFormat="1" ht="22.5" customHeight="1">
      <c r="A50" s="70"/>
      <c r="B50" s="56"/>
      <c r="C50" s="75"/>
      <c r="D50" s="76"/>
      <c r="E50" s="59"/>
      <c r="F50" s="59"/>
      <c r="G50" s="59"/>
      <c r="H50" s="78"/>
      <c r="I50" s="78"/>
      <c r="J50" s="77"/>
      <c r="K50" s="123"/>
      <c r="L50" s="124"/>
    </row>
    <row r="51" spans="1:15" s="2" customFormat="1" ht="22.5" customHeight="1">
      <c r="A51" s="70"/>
      <c r="B51" s="56"/>
      <c r="C51" s="75"/>
      <c r="D51" s="76"/>
      <c r="E51" s="59"/>
      <c r="F51" s="59"/>
      <c r="G51" s="59"/>
      <c r="H51" s="220" t="s">
        <v>79</v>
      </c>
      <c r="I51" s="220"/>
      <c r="J51" s="220" t="s">
        <v>87</v>
      </c>
      <c r="K51" s="220"/>
      <c r="L51" s="221"/>
    </row>
    <row r="52" spans="1:15" s="2" customFormat="1" ht="22.5" customHeight="1">
      <c r="A52" s="70"/>
      <c r="B52" s="56"/>
      <c r="C52" s="75"/>
      <c r="D52" s="76"/>
      <c r="E52" s="59"/>
      <c r="F52" s="59"/>
      <c r="G52" s="59"/>
      <c r="H52" s="222" t="s">
        <v>80</v>
      </c>
      <c r="I52" s="222"/>
      <c r="J52" s="222" t="s">
        <v>81</v>
      </c>
      <c r="K52" s="222"/>
      <c r="L52" s="223"/>
    </row>
    <row r="53" spans="1:15" s="2" customFormat="1" ht="22.5" customHeight="1">
      <c r="A53" s="70"/>
      <c r="B53" s="56"/>
      <c r="C53" s="75"/>
      <c r="D53" s="76"/>
      <c r="E53" s="59"/>
      <c r="F53" s="59"/>
      <c r="G53" s="59"/>
      <c r="H53" s="186"/>
      <c r="I53" s="186"/>
      <c r="J53" s="186"/>
      <c r="K53" s="186"/>
      <c r="L53" s="99"/>
    </row>
    <row r="54" spans="1:15" s="2" customFormat="1" ht="22.5" customHeight="1">
      <c r="A54" s="70"/>
      <c r="B54" s="56"/>
      <c r="C54" s="75"/>
      <c r="D54" s="76"/>
      <c r="E54" s="59"/>
      <c r="F54" s="59"/>
      <c r="G54" s="59"/>
      <c r="H54" s="58"/>
      <c r="I54" s="58"/>
      <c r="J54" s="125"/>
      <c r="K54" s="58"/>
      <c r="L54" s="99"/>
      <c r="M54" s="126"/>
      <c r="N54" s="3"/>
    </row>
    <row r="55" spans="1:15" s="2" customFormat="1" ht="22.5" customHeight="1">
      <c r="A55" s="70"/>
      <c r="B55" s="56"/>
      <c r="C55" s="75"/>
      <c r="D55" s="76"/>
      <c r="E55" s="59"/>
      <c r="F55" s="59"/>
      <c r="G55" s="59"/>
      <c r="H55" s="58"/>
      <c r="I55" s="58"/>
      <c r="J55" s="127"/>
      <c r="K55" s="125"/>
      <c r="L55" s="128"/>
      <c r="M55" s="129"/>
      <c r="N55" s="3"/>
    </row>
    <row r="56" spans="1:15" s="2" customFormat="1" ht="22.5" customHeight="1">
      <c r="A56" s="264" t="s">
        <v>82</v>
      </c>
      <c r="B56" s="265"/>
      <c r="C56" s="265"/>
      <c r="D56" s="265"/>
      <c r="E56" s="265"/>
      <c r="F56" s="265"/>
      <c r="G56" s="265"/>
      <c r="H56" s="265"/>
      <c r="I56" s="265"/>
      <c r="J56" s="265"/>
      <c r="K56" s="265"/>
      <c r="L56" s="266"/>
      <c r="M56" s="130"/>
      <c r="N56" s="3"/>
      <c r="O56" s="3"/>
    </row>
    <row r="57" spans="1:15" s="2" customFormat="1" ht="22.5" customHeight="1">
      <c r="A57" s="261" t="s">
        <v>83</v>
      </c>
      <c r="B57" s="262"/>
      <c r="C57" s="262"/>
      <c r="D57" s="262"/>
      <c r="E57" s="262"/>
      <c r="F57" s="262"/>
      <c r="G57" s="262"/>
      <c r="H57" s="262"/>
      <c r="I57" s="262"/>
      <c r="J57" s="262"/>
      <c r="K57" s="262"/>
      <c r="L57" s="263"/>
      <c r="M57" s="3"/>
      <c r="N57" s="3"/>
      <c r="O57" s="3"/>
    </row>
    <row r="58" spans="1:15" s="2" customFormat="1" ht="22.5" customHeight="1">
      <c r="A58" s="261"/>
      <c r="B58" s="262"/>
      <c r="C58" s="262"/>
      <c r="D58" s="262"/>
      <c r="E58" s="262"/>
      <c r="F58" s="262"/>
      <c r="G58" s="262"/>
      <c r="H58" s="262"/>
      <c r="I58" s="262"/>
      <c r="J58" s="262"/>
      <c r="K58" s="262"/>
      <c r="L58" s="263"/>
      <c r="M58" s="3"/>
      <c r="N58" s="3"/>
      <c r="O58" s="3"/>
    </row>
    <row r="59" spans="1:15" ht="15" thickBot="1">
      <c r="A59" s="267" t="s">
        <v>84</v>
      </c>
      <c r="B59" s="268"/>
      <c r="C59" s="268"/>
      <c r="D59" s="268"/>
      <c r="E59" s="268"/>
      <c r="F59" s="268"/>
      <c r="G59" s="268"/>
      <c r="H59" s="268"/>
      <c r="I59" s="268"/>
      <c r="J59" s="268"/>
      <c r="K59" s="268"/>
      <c r="L59" s="269"/>
    </row>
    <row r="63" spans="1:15">
      <c r="I63" s="79"/>
      <c r="J63" s="79"/>
      <c r="K63" s="79"/>
      <c r="L63" s="79"/>
      <c r="M63" s="79"/>
      <c r="N63" s="79"/>
    </row>
    <row r="64" spans="1:15" ht="15" customHeight="1">
      <c r="E64" s="79"/>
      <c r="F64" s="79"/>
      <c r="G64" s="79"/>
      <c r="H64" s="79"/>
      <c r="I64" s="131"/>
      <c r="J64" s="131"/>
      <c r="K64" s="131"/>
      <c r="L64" s="131"/>
      <c r="M64" s="131"/>
      <c r="N64" s="131"/>
    </row>
    <row r="65" spans="2:18" ht="15" customHeight="1">
      <c r="E65" s="131"/>
      <c r="F65" s="131"/>
      <c r="G65" s="131"/>
      <c r="H65" s="131"/>
      <c r="I65" s="131"/>
      <c r="J65" s="131"/>
      <c r="K65" s="131"/>
      <c r="L65" s="131"/>
      <c r="M65" s="131"/>
      <c r="N65" s="131"/>
    </row>
    <row r="66" spans="2:18" ht="15" customHeight="1">
      <c r="E66" s="131"/>
      <c r="F66" s="131"/>
      <c r="G66" s="131"/>
      <c r="H66" s="131"/>
      <c r="I66" s="131"/>
      <c r="J66" s="131"/>
      <c r="K66" s="131"/>
      <c r="L66" s="131"/>
      <c r="M66" s="131"/>
      <c r="N66" s="131"/>
    </row>
    <row r="67" spans="2:18" ht="30.75" customHeight="1">
      <c r="E67" s="131"/>
      <c r="F67" s="131"/>
      <c r="G67" s="131"/>
      <c r="H67" s="131"/>
      <c r="I67" s="140"/>
      <c r="J67" s="140"/>
      <c r="K67" s="140"/>
      <c r="L67" s="140"/>
      <c r="M67" s="140"/>
      <c r="N67" s="140"/>
    </row>
    <row r="68" spans="2:18" ht="15" customHeight="1">
      <c r="E68" s="140"/>
      <c r="F68" s="140"/>
      <c r="G68" s="140"/>
      <c r="H68" s="140"/>
      <c r="I68" s="140"/>
      <c r="J68" s="140"/>
      <c r="K68" s="140"/>
      <c r="L68" s="140"/>
      <c r="M68" s="140"/>
      <c r="N68" s="140"/>
    </row>
    <row r="69" spans="2:18" ht="15" customHeight="1">
      <c r="E69" s="140"/>
      <c r="F69" s="140"/>
      <c r="G69" s="140"/>
      <c r="H69" s="140"/>
    </row>
    <row r="70" spans="2:18" ht="31.5" customHeight="1">
      <c r="E70" s="270"/>
      <c r="F70" s="270"/>
      <c r="G70" s="270"/>
      <c r="H70" s="270"/>
      <c r="I70" s="270"/>
      <c r="J70" s="270"/>
      <c r="K70" s="270"/>
      <c r="L70" s="270"/>
      <c r="M70" s="270"/>
      <c r="N70" s="270"/>
      <c r="O70" s="270"/>
      <c r="P70" s="270"/>
    </row>
    <row r="71" spans="2:18" ht="24" customHeight="1">
      <c r="B71" s="141"/>
      <c r="C71" s="142"/>
      <c r="D71" s="142"/>
      <c r="E71" s="142"/>
      <c r="F71" s="142"/>
      <c r="G71" s="142"/>
      <c r="H71" s="142"/>
      <c r="I71" s="142"/>
      <c r="J71" s="142"/>
      <c r="K71" s="142"/>
      <c r="L71" s="142"/>
      <c r="M71" s="142"/>
      <c r="N71" s="142"/>
      <c r="O71" s="142"/>
      <c r="P71" s="142"/>
      <c r="Q71" s="142"/>
      <c r="R71" s="142"/>
    </row>
    <row r="72" spans="2:18" ht="15" customHeight="1">
      <c r="B72" s="142"/>
      <c r="C72" s="142"/>
      <c r="D72" s="260"/>
      <c r="E72" s="260"/>
      <c r="F72" s="260"/>
      <c r="G72" s="260"/>
      <c r="H72" s="260"/>
      <c r="I72" s="260"/>
      <c r="J72" s="260"/>
      <c r="K72" s="260"/>
      <c r="L72" s="260"/>
      <c r="M72" s="260"/>
      <c r="N72" s="260"/>
      <c r="O72" s="260"/>
      <c r="P72" s="142"/>
      <c r="Q72" s="142"/>
      <c r="R72" s="142"/>
    </row>
    <row r="73" spans="2:18">
      <c r="D73" s="260"/>
      <c r="E73" s="260"/>
      <c r="F73" s="260"/>
      <c r="G73" s="260"/>
      <c r="H73" s="260"/>
      <c r="I73" s="260"/>
      <c r="J73" s="260"/>
      <c r="K73" s="260"/>
      <c r="L73" s="260"/>
      <c r="M73" s="260"/>
      <c r="N73" s="260"/>
      <c r="O73" s="260"/>
    </row>
  </sheetData>
  <sheetProtection formatCells="0" formatColumns="0" insertColumns="0" insertRows="0" deleteColumns="0" deleteRows="0"/>
  <mergeCells count="74">
    <mergeCell ref="A1:B4"/>
    <mergeCell ref="C1:J1"/>
    <mergeCell ref="K1:L1"/>
    <mergeCell ref="C2:J4"/>
    <mergeCell ref="K2:L2"/>
    <mergeCell ref="K3:L3"/>
    <mergeCell ref="K4:L4"/>
    <mergeCell ref="B5:K5"/>
    <mergeCell ref="C6:G6"/>
    <mergeCell ref="H6:I6"/>
    <mergeCell ref="J6:L6"/>
    <mergeCell ref="C7:G7"/>
    <mergeCell ref="H7:I7"/>
    <mergeCell ref="J7:L7"/>
    <mergeCell ref="A18:E18"/>
    <mergeCell ref="G18:L18"/>
    <mergeCell ref="C8:G8"/>
    <mergeCell ref="H8:I8"/>
    <mergeCell ref="J8:L8"/>
    <mergeCell ref="C9:G9"/>
    <mergeCell ref="H9:I9"/>
    <mergeCell ref="C10:G10"/>
    <mergeCell ref="H10:I10"/>
    <mergeCell ref="J10:L10"/>
    <mergeCell ref="B11:K11"/>
    <mergeCell ref="F12:G12"/>
    <mergeCell ref="H12:I12"/>
    <mergeCell ref="C13:L13"/>
    <mergeCell ref="A16:L16"/>
    <mergeCell ref="A27:B27"/>
    <mergeCell ref="A19:C19"/>
    <mergeCell ref="G19:H20"/>
    <mergeCell ref="I19:J19"/>
    <mergeCell ref="K19:L19"/>
    <mergeCell ref="A20:B20"/>
    <mergeCell ref="A21:B21"/>
    <mergeCell ref="A22:B22"/>
    <mergeCell ref="A23:B23"/>
    <mergeCell ref="A24:B24"/>
    <mergeCell ref="A25:B25"/>
    <mergeCell ref="A26:B26"/>
    <mergeCell ref="A38:B38"/>
    <mergeCell ref="D38:E38"/>
    <mergeCell ref="H38:I38"/>
    <mergeCell ref="J38:K38"/>
    <mergeCell ref="A28:B28"/>
    <mergeCell ref="A29:E29"/>
    <mergeCell ref="A30:B30"/>
    <mergeCell ref="A31:B31"/>
    <mergeCell ref="A32:B32"/>
    <mergeCell ref="A33:B33"/>
    <mergeCell ref="A34:B34"/>
    <mergeCell ref="A36:E36"/>
    <mergeCell ref="H36:K36"/>
    <mergeCell ref="A37:B37"/>
    <mergeCell ref="D37:E37"/>
    <mergeCell ref="A39:B39"/>
    <mergeCell ref="D39:E39"/>
    <mergeCell ref="J39:K39"/>
    <mergeCell ref="A40:B40"/>
    <mergeCell ref="D40:E40"/>
    <mergeCell ref="J40:K40"/>
    <mergeCell ref="D72:O73"/>
    <mergeCell ref="H46:I46"/>
    <mergeCell ref="J46:L46"/>
    <mergeCell ref="H51:I51"/>
    <mergeCell ref="J51:L51"/>
    <mergeCell ref="H52:I52"/>
    <mergeCell ref="J52:L52"/>
    <mergeCell ref="H53:K53"/>
    <mergeCell ref="A56:L56"/>
    <mergeCell ref="A57:L58"/>
    <mergeCell ref="A59:L59"/>
    <mergeCell ref="E70:P70"/>
  </mergeCells>
  <conditionalFormatting sqref="C6:G10">
    <cfRule type="containsBlanks" dxfId="169" priority="10">
      <formula>LEN(TRIM(C6))=0</formula>
    </cfRule>
  </conditionalFormatting>
  <conditionalFormatting sqref="C13:L13">
    <cfRule type="containsBlanks" dxfId="168" priority="9">
      <formula>LEN(TRIM(C13))=0</formula>
    </cfRule>
  </conditionalFormatting>
  <conditionalFormatting sqref="D20:D24">
    <cfRule type="containsBlanks" dxfId="167" priority="4">
      <formula>LEN(TRIM(D20))=0</formula>
    </cfRule>
  </conditionalFormatting>
  <conditionalFormatting sqref="D37:D38">
    <cfRule type="containsBlanks" dxfId="166" priority="3">
      <formula>LEN(TRIM(D37))=0</formula>
    </cfRule>
  </conditionalFormatting>
  <conditionalFormatting sqref="D30:E33">
    <cfRule type="containsBlanks" dxfId="165" priority="1">
      <formula>LEN(TRIM(D30))=0</formula>
    </cfRule>
  </conditionalFormatting>
  <conditionalFormatting sqref="E23">
    <cfRule type="containsBlanks" dxfId="164" priority="5">
      <formula>LEN(TRIM(E23))=0</formula>
    </cfRule>
  </conditionalFormatting>
  <conditionalFormatting sqref="F12:G12">
    <cfRule type="containsBlanks" dxfId="163" priority="8">
      <formula>LEN(TRIM(F12))=0</formula>
    </cfRule>
  </conditionalFormatting>
  <conditionalFormatting sqref="I22:I34">
    <cfRule type="containsBlanks" dxfId="162" priority="7">
      <formula>LEN(TRIM(I22))=0</formula>
    </cfRule>
  </conditionalFormatting>
  <conditionalFormatting sqref="I37">
    <cfRule type="containsBlanks" dxfId="161" priority="2">
      <formula>LEN(TRIM(I37))=0</formula>
    </cfRule>
  </conditionalFormatting>
  <conditionalFormatting sqref="K22:K34">
    <cfRule type="containsBlanks" dxfId="160" priority="6">
      <formula>LEN(TRIM(K22))=0</formula>
    </cfRule>
  </conditionalFormatting>
  <dataValidations count="2">
    <dataValidation type="list" allowBlank="1" showInputMessage="1" showErrorMessage="1" sqref="I37" xr:uid="{00000000-0002-0000-0600-000000000000}">
      <formula1>"5 kN, 50 kN"</formula1>
    </dataValidation>
    <dataValidation type="list" allowBlank="1" showInputMessage="1" showErrorMessage="1" sqref="C12" xr:uid="{00000000-0002-0000-0600-000001000000}">
      <formula1>$T$6:$T$13</formula1>
    </dataValidation>
  </dataValidations>
  <printOptions horizontalCentered="1" verticalCentered="1"/>
  <pageMargins left="0.31496062992126" right="0.31496062992126" top="0.15748031496063" bottom="0.55118110236220497" header="0" footer="0.118110236220472"/>
  <pageSetup scale="42" fitToWidth="0" fitToHeight="0" orientation="landscape" r:id="rId1"/>
  <headerFooter>
    <oddFooter>&amp;C&amp;"Arial,Normal"&amp;10GEODELTA S.A.S. Calle 68 B bis No 70 C 95, Móvil: 318 7902368 Bogotá DC - Colombia
e-mail: laboratoriogeodelta@gmail.com</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tint="-0.249977111117893"/>
  </sheetPr>
  <dimension ref="A1:AB73"/>
  <sheetViews>
    <sheetView showGridLines="0" view="pageBreakPreview" zoomScale="85" zoomScaleNormal="50" zoomScalePageLayoutView="50" workbookViewId="0">
      <selection activeCell="G35" sqref="G35"/>
    </sheetView>
  </sheetViews>
  <sheetFormatPr baseColWidth="10" defaultColWidth="11" defaultRowHeight="14.25"/>
  <cols>
    <col min="1" max="1" width="10.5703125" style="3" customWidth="1"/>
    <col min="2" max="2" width="35.42578125" style="3" customWidth="1"/>
    <col min="3" max="3" width="20.85546875" style="3" customWidth="1"/>
    <col min="4" max="5" width="26.7109375" style="3" customWidth="1"/>
    <col min="6" max="6" width="3.7109375" style="3" customWidth="1"/>
    <col min="7" max="7" width="29.140625" style="3" customWidth="1"/>
    <col min="8" max="8" width="27.140625" style="3" customWidth="1"/>
    <col min="9" max="10" width="24.28515625" style="3" customWidth="1"/>
    <col min="11" max="12" width="22.42578125" style="3" customWidth="1"/>
    <col min="13" max="13" width="1.85546875" style="3" customWidth="1"/>
    <col min="14" max="16" width="12.85546875" style="3" customWidth="1"/>
    <col min="17" max="17" width="6.5703125" style="3" customWidth="1"/>
    <col min="18" max="18" width="6.28515625" style="3" customWidth="1"/>
    <col min="19" max="184" width="11" style="3"/>
    <col min="185" max="185" width="0.7109375" style="3" customWidth="1"/>
    <col min="186" max="186" width="6.5703125" style="3" customWidth="1"/>
    <col min="187" max="187" width="13.5703125" style="3" customWidth="1"/>
    <col min="188" max="188" width="13.42578125" style="3" customWidth="1"/>
    <col min="189" max="190" width="12.5703125" style="3" customWidth="1"/>
    <col min="191" max="191" width="14.85546875" style="3" customWidth="1"/>
    <col min="192" max="192" width="20.7109375" style="3" customWidth="1"/>
    <col min="193" max="193" width="12.5703125" style="3" customWidth="1"/>
    <col min="194" max="194" width="13" style="3" customWidth="1"/>
    <col min="195" max="195" width="16" style="3" customWidth="1"/>
    <col min="196" max="196" width="6.42578125" style="3" customWidth="1"/>
    <col min="197" max="197" width="16" style="3" customWidth="1"/>
    <col min="198" max="198" width="2.85546875" style="3" customWidth="1"/>
    <col min="199" max="199" width="0.85546875" style="3" customWidth="1"/>
    <col min="200" max="200" width="11" style="3"/>
    <col min="201" max="201" width="15.42578125" style="3" customWidth="1"/>
    <col min="202" max="204" width="14.85546875" style="3" customWidth="1"/>
    <col min="205" max="205" width="0.7109375" style="3" customWidth="1"/>
    <col min="206" max="206" width="11" style="3"/>
    <col min="207" max="207" width="15.7109375" style="3" customWidth="1"/>
    <col min="208" max="209" width="14.85546875" style="3" customWidth="1"/>
    <col min="210" max="210" width="3.28515625" style="3" customWidth="1"/>
    <col min="211" max="211" width="20.140625" style="3" customWidth="1"/>
    <col min="212" max="212" width="3.28515625" style="3" customWidth="1"/>
    <col min="213" max="217" width="11" style="3"/>
    <col min="218" max="230" width="4.7109375" style="3" customWidth="1"/>
    <col min="231" max="440" width="11" style="3"/>
    <col min="441" max="441" width="0.7109375" style="3" customWidth="1"/>
    <col min="442" max="442" width="6.5703125" style="3" customWidth="1"/>
    <col min="443" max="443" width="13.5703125" style="3" customWidth="1"/>
    <col min="444" max="444" width="13.42578125" style="3" customWidth="1"/>
    <col min="445" max="446" width="12.5703125" style="3" customWidth="1"/>
    <col min="447" max="447" width="14.85546875" style="3" customWidth="1"/>
    <col min="448" max="448" width="20.7109375" style="3" customWidth="1"/>
    <col min="449" max="449" width="12.5703125" style="3" customWidth="1"/>
    <col min="450" max="450" width="13" style="3" customWidth="1"/>
    <col min="451" max="451" width="16" style="3" customWidth="1"/>
    <col min="452" max="452" width="6.42578125" style="3" customWidth="1"/>
    <col min="453" max="453" width="16" style="3" customWidth="1"/>
    <col min="454" max="454" width="2.85546875" style="3" customWidth="1"/>
    <col min="455" max="455" width="0.85546875" style="3" customWidth="1"/>
    <col min="456" max="456" width="11" style="3"/>
    <col min="457" max="457" width="15.42578125" style="3" customWidth="1"/>
    <col min="458" max="460" width="14.85546875" style="3" customWidth="1"/>
    <col min="461" max="461" width="0.7109375" style="3" customWidth="1"/>
    <col min="462" max="462" width="11" style="3"/>
    <col min="463" max="463" width="15.7109375" style="3" customWidth="1"/>
    <col min="464" max="465" width="14.85546875" style="3" customWidth="1"/>
    <col min="466" max="466" width="3.28515625" style="3" customWidth="1"/>
    <col min="467" max="467" width="20.140625" style="3" customWidth="1"/>
    <col min="468" max="468" width="3.28515625" style="3" customWidth="1"/>
    <col min="469" max="473" width="11" style="3"/>
    <col min="474" max="486" width="4.7109375" style="3" customWidth="1"/>
    <col min="487" max="696" width="11" style="3"/>
    <col min="697" max="697" width="0.7109375" style="3" customWidth="1"/>
    <col min="698" max="698" width="6.5703125" style="3" customWidth="1"/>
    <col min="699" max="699" width="13.5703125" style="3" customWidth="1"/>
    <col min="700" max="700" width="13.42578125" style="3" customWidth="1"/>
    <col min="701" max="702" width="12.5703125" style="3" customWidth="1"/>
    <col min="703" max="703" width="14.85546875" style="3" customWidth="1"/>
    <col min="704" max="704" width="20.7109375" style="3" customWidth="1"/>
    <col min="705" max="705" width="12.5703125" style="3" customWidth="1"/>
    <col min="706" max="706" width="13" style="3" customWidth="1"/>
    <col min="707" max="707" width="16" style="3" customWidth="1"/>
    <col min="708" max="708" width="6.42578125" style="3" customWidth="1"/>
    <col min="709" max="709" width="16" style="3" customWidth="1"/>
    <col min="710" max="710" width="2.85546875" style="3" customWidth="1"/>
    <col min="711" max="711" width="0.85546875" style="3" customWidth="1"/>
    <col min="712" max="712" width="11" style="3"/>
    <col min="713" max="713" width="15.42578125" style="3" customWidth="1"/>
    <col min="714" max="716" width="14.85546875" style="3" customWidth="1"/>
    <col min="717" max="717" width="0.7109375" style="3" customWidth="1"/>
    <col min="718" max="718" width="11" style="3"/>
    <col min="719" max="719" width="15.7109375" style="3" customWidth="1"/>
    <col min="720" max="721" width="14.85546875" style="3" customWidth="1"/>
    <col min="722" max="722" width="3.28515625" style="3" customWidth="1"/>
    <col min="723" max="723" width="20.140625" style="3" customWidth="1"/>
    <col min="724" max="724" width="3.28515625" style="3" customWidth="1"/>
    <col min="725" max="729" width="11" style="3"/>
    <col min="730" max="742" width="4.7109375" style="3" customWidth="1"/>
    <col min="743" max="952" width="11" style="3"/>
    <col min="953" max="953" width="0.7109375" style="3" customWidth="1"/>
    <col min="954" max="954" width="6.5703125" style="3" customWidth="1"/>
    <col min="955" max="955" width="13.5703125" style="3" customWidth="1"/>
    <col min="956" max="956" width="13.42578125" style="3" customWidth="1"/>
    <col min="957" max="958" width="12.5703125" style="3" customWidth="1"/>
    <col min="959" max="959" width="14.85546875" style="3" customWidth="1"/>
    <col min="960" max="960" width="20.7109375" style="3" customWidth="1"/>
    <col min="961" max="961" width="12.5703125" style="3" customWidth="1"/>
    <col min="962" max="962" width="13" style="3" customWidth="1"/>
    <col min="963" max="963" width="16" style="3" customWidth="1"/>
    <col min="964" max="964" width="6.42578125" style="3" customWidth="1"/>
    <col min="965" max="965" width="16" style="3" customWidth="1"/>
    <col min="966" max="966" width="2.85546875" style="3" customWidth="1"/>
    <col min="967" max="967" width="0.85546875" style="3" customWidth="1"/>
    <col min="968" max="968" width="11" style="3"/>
    <col min="969" max="969" width="15.42578125" style="3" customWidth="1"/>
    <col min="970" max="972" width="14.85546875" style="3" customWidth="1"/>
    <col min="973" max="973" width="0.7109375" style="3" customWidth="1"/>
    <col min="974" max="974" width="11" style="3"/>
    <col min="975" max="975" width="15.7109375" style="3" customWidth="1"/>
    <col min="976" max="977" width="14.85546875" style="3" customWidth="1"/>
    <col min="978" max="978" width="3.28515625" style="3" customWidth="1"/>
    <col min="979" max="979" width="20.140625" style="3" customWidth="1"/>
    <col min="980" max="980" width="3.28515625" style="3" customWidth="1"/>
    <col min="981" max="985" width="11" style="3"/>
    <col min="986" max="998" width="4.7109375" style="3" customWidth="1"/>
    <col min="999" max="1208" width="11" style="3"/>
    <col min="1209" max="1209" width="0.7109375" style="3" customWidth="1"/>
    <col min="1210" max="1210" width="6.5703125" style="3" customWidth="1"/>
    <col min="1211" max="1211" width="13.5703125" style="3" customWidth="1"/>
    <col min="1212" max="1212" width="13.42578125" style="3" customWidth="1"/>
    <col min="1213" max="1214" width="12.5703125" style="3" customWidth="1"/>
    <col min="1215" max="1215" width="14.85546875" style="3" customWidth="1"/>
    <col min="1216" max="1216" width="20.7109375" style="3" customWidth="1"/>
    <col min="1217" max="1217" width="12.5703125" style="3" customWidth="1"/>
    <col min="1218" max="1218" width="13" style="3" customWidth="1"/>
    <col min="1219" max="1219" width="16" style="3" customWidth="1"/>
    <col min="1220" max="1220" width="6.42578125" style="3" customWidth="1"/>
    <col min="1221" max="1221" width="16" style="3" customWidth="1"/>
    <col min="1222" max="1222" width="2.85546875" style="3" customWidth="1"/>
    <col min="1223" max="1223" width="0.85546875" style="3" customWidth="1"/>
    <col min="1224" max="1224" width="11" style="3"/>
    <col min="1225" max="1225" width="15.42578125" style="3" customWidth="1"/>
    <col min="1226" max="1228" width="14.85546875" style="3" customWidth="1"/>
    <col min="1229" max="1229" width="0.7109375" style="3" customWidth="1"/>
    <col min="1230" max="1230" width="11" style="3"/>
    <col min="1231" max="1231" width="15.7109375" style="3" customWidth="1"/>
    <col min="1232" max="1233" width="14.85546875" style="3" customWidth="1"/>
    <col min="1234" max="1234" width="3.28515625" style="3" customWidth="1"/>
    <col min="1235" max="1235" width="20.140625" style="3" customWidth="1"/>
    <col min="1236" max="1236" width="3.28515625" style="3" customWidth="1"/>
    <col min="1237" max="1241" width="11" style="3"/>
    <col min="1242" max="1254" width="4.7109375" style="3" customWidth="1"/>
    <col min="1255" max="1464" width="11" style="3"/>
    <col min="1465" max="1465" width="0.7109375" style="3" customWidth="1"/>
    <col min="1466" max="1466" width="6.5703125" style="3" customWidth="1"/>
    <col min="1467" max="1467" width="13.5703125" style="3" customWidth="1"/>
    <col min="1468" max="1468" width="13.42578125" style="3" customWidth="1"/>
    <col min="1469" max="1470" width="12.5703125" style="3" customWidth="1"/>
    <col min="1471" max="1471" width="14.85546875" style="3" customWidth="1"/>
    <col min="1472" max="1472" width="20.7109375" style="3" customWidth="1"/>
    <col min="1473" max="1473" width="12.5703125" style="3" customWidth="1"/>
    <col min="1474" max="1474" width="13" style="3" customWidth="1"/>
    <col min="1475" max="1475" width="16" style="3" customWidth="1"/>
    <col min="1476" max="1476" width="6.42578125" style="3" customWidth="1"/>
    <col min="1477" max="1477" width="16" style="3" customWidth="1"/>
    <col min="1478" max="1478" width="2.85546875" style="3" customWidth="1"/>
    <col min="1479" max="1479" width="0.85546875" style="3" customWidth="1"/>
    <col min="1480" max="1480" width="11" style="3"/>
    <col min="1481" max="1481" width="15.42578125" style="3" customWidth="1"/>
    <col min="1482" max="1484" width="14.85546875" style="3" customWidth="1"/>
    <col min="1485" max="1485" width="0.7109375" style="3" customWidth="1"/>
    <col min="1486" max="1486" width="11" style="3"/>
    <col min="1487" max="1487" width="15.7109375" style="3" customWidth="1"/>
    <col min="1488" max="1489" width="14.85546875" style="3" customWidth="1"/>
    <col min="1490" max="1490" width="3.28515625" style="3" customWidth="1"/>
    <col min="1491" max="1491" width="20.140625" style="3" customWidth="1"/>
    <col min="1492" max="1492" width="3.28515625" style="3" customWidth="1"/>
    <col min="1493" max="1497" width="11" style="3"/>
    <col min="1498" max="1510" width="4.7109375" style="3" customWidth="1"/>
    <col min="1511" max="1720" width="11" style="3"/>
    <col min="1721" max="1721" width="0.7109375" style="3" customWidth="1"/>
    <col min="1722" max="1722" width="6.5703125" style="3" customWidth="1"/>
    <col min="1723" max="1723" width="13.5703125" style="3" customWidth="1"/>
    <col min="1724" max="1724" width="13.42578125" style="3" customWidth="1"/>
    <col min="1725" max="1726" width="12.5703125" style="3" customWidth="1"/>
    <col min="1727" max="1727" width="14.85546875" style="3" customWidth="1"/>
    <col min="1728" max="1728" width="20.7109375" style="3" customWidth="1"/>
    <col min="1729" max="1729" width="12.5703125" style="3" customWidth="1"/>
    <col min="1730" max="1730" width="13" style="3" customWidth="1"/>
    <col min="1731" max="1731" width="16" style="3" customWidth="1"/>
    <col min="1732" max="1732" width="6.42578125" style="3" customWidth="1"/>
    <col min="1733" max="1733" width="16" style="3" customWidth="1"/>
    <col min="1734" max="1734" width="2.85546875" style="3" customWidth="1"/>
    <col min="1735" max="1735" width="0.85546875" style="3" customWidth="1"/>
    <col min="1736" max="1736" width="11" style="3"/>
    <col min="1737" max="1737" width="15.42578125" style="3" customWidth="1"/>
    <col min="1738" max="1740" width="14.85546875" style="3" customWidth="1"/>
    <col min="1741" max="1741" width="0.7109375" style="3" customWidth="1"/>
    <col min="1742" max="1742" width="11" style="3"/>
    <col min="1743" max="1743" width="15.7109375" style="3" customWidth="1"/>
    <col min="1744" max="1745" width="14.85546875" style="3" customWidth="1"/>
    <col min="1746" max="1746" width="3.28515625" style="3" customWidth="1"/>
    <col min="1747" max="1747" width="20.140625" style="3" customWidth="1"/>
    <col min="1748" max="1748" width="3.28515625" style="3" customWidth="1"/>
    <col min="1749" max="1753" width="11" style="3"/>
    <col min="1754" max="1766" width="4.7109375" style="3" customWidth="1"/>
    <col min="1767" max="1976" width="11" style="3"/>
    <col min="1977" max="1977" width="0.7109375" style="3" customWidth="1"/>
    <col min="1978" max="1978" width="6.5703125" style="3" customWidth="1"/>
    <col min="1979" max="1979" width="13.5703125" style="3" customWidth="1"/>
    <col min="1980" max="1980" width="13.42578125" style="3" customWidth="1"/>
    <col min="1981" max="1982" width="12.5703125" style="3" customWidth="1"/>
    <col min="1983" max="1983" width="14.85546875" style="3" customWidth="1"/>
    <col min="1984" max="1984" width="20.7109375" style="3" customWidth="1"/>
    <col min="1985" max="1985" width="12.5703125" style="3" customWidth="1"/>
    <col min="1986" max="1986" width="13" style="3" customWidth="1"/>
    <col min="1987" max="1987" width="16" style="3" customWidth="1"/>
    <col min="1988" max="1988" width="6.42578125" style="3" customWidth="1"/>
    <col min="1989" max="1989" width="16" style="3" customWidth="1"/>
    <col min="1990" max="1990" width="2.85546875" style="3" customWidth="1"/>
    <col min="1991" max="1991" width="0.85546875" style="3" customWidth="1"/>
    <col min="1992" max="1992" width="11" style="3"/>
    <col min="1993" max="1993" width="15.42578125" style="3" customWidth="1"/>
    <col min="1994" max="1996" width="14.85546875" style="3" customWidth="1"/>
    <col min="1997" max="1997" width="0.7109375" style="3" customWidth="1"/>
    <col min="1998" max="1998" width="11" style="3"/>
    <col min="1999" max="1999" width="15.7109375" style="3" customWidth="1"/>
    <col min="2000" max="2001" width="14.85546875" style="3" customWidth="1"/>
    <col min="2002" max="2002" width="3.28515625" style="3" customWidth="1"/>
    <col min="2003" max="2003" width="20.140625" style="3" customWidth="1"/>
    <col min="2004" max="2004" width="3.28515625" style="3" customWidth="1"/>
    <col min="2005" max="2009" width="11" style="3"/>
    <col min="2010" max="2022" width="4.7109375" style="3" customWidth="1"/>
    <col min="2023" max="2232" width="11" style="3"/>
    <col min="2233" max="2233" width="0.7109375" style="3" customWidth="1"/>
    <col min="2234" max="2234" width="6.5703125" style="3" customWidth="1"/>
    <col min="2235" max="2235" width="13.5703125" style="3" customWidth="1"/>
    <col min="2236" max="2236" width="13.42578125" style="3" customWidth="1"/>
    <col min="2237" max="2238" width="12.5703125" style="3" customWidth="1"/>
    <col min="2239" max="2239" width="14.85546875" style="3" customWidth="1"/>
    <col min="2240" max="2240" width="20.7109375" style="3" customWidth="1"/>
    <col min="2241" max="2241" width="12.5703125" style="3" customWidth="1"/>
    <col min="2242" max="2242" width="13" style="3" customWidth="1"/>
    <col min="2243" max="2243" width="16" style="3" customWidth="1"/>
    <col min="2244" max="2244" width="6.42578125" style="3" customWidth="1"/>
    <col min="2245" max="2245" width="16" style="3" customWidth="1"/>
    <col min="2246" max="2246" width="2.85546875" style="3" customWidth="1"/>
    <col min="2247" max="2247" width="0.85546875" style="3" customWidth="1"/>
    <col min="2248" max="2248" width="11" style="3"/>
    <col min="2249" max="2249" width="15.42578125" style="3" customWidth="1"/>
    <col min="2250" max="2252" width="14.85546875" style="3" customWidth="1"/>
    <col min="2253" max="2253" width="0.7109375" style="3" customWidth="1"/>
    <col min="2254" max="2254" width="11" style="3"/>
    <col min="2255" max="2255" width="15.7109375" style="3" customWidth="1"/>
    <col min="2256" max="2257" width="14.85546875" style="3" customWidth="1"/>
    <col min="2258" max="2258" width="3.28515625" style="3" customWidth="1"/>
    <col min="2259" max="2259" width="20.140625" style="3" customWidth="1"/>
    <col min="2260" max="2260" width="3.28515625" style="3" customWidth="1"/>
    <col min="2261" max="2265" width="11" style="3"/>
    <col min="2266" max="2278" width="4.7109375" style="3" customWidth="1"/>
    <col min="2279" max="2488" width="11" style="3"/>
    <col min="2489" max="2489" width="0.7109375" style="3" customWidth="1"/>
    <col min="2490" max="2490" width="6.5703125" style="3" customWidth="1"/>
    <col min="2491" max="2491" width="13.5703125" style="3" customWidth="1"/>
    <col min="2492" max="2492" width="13.42578125" style="3" customWidth="1"/>
    <col min="2493" max="2494" width="12.5703125" style="3" customWidth="1"/>
    <col min="2495" max="2495" width="14.85546875" style="3" customWidth="1"/>
    <col min="2496" max="2496" width="20.7109375" style="3" customWidth="1"/>
    <col min="2497" max="2497" width="12.5703125" style="3" customWidth="1"/>
    <col min="2498" max="2498" width="13" style="3" customWidth="1"/>
    <col min="2499" max="2499" width="16" style="3" customWidth="1"/>
    <col min="2500" max="2500" width="6.42578125" style="3" customWidth="1"/>
    <col min="2501" max="2501" width="16" style="3" customWidth="1"/>
    <col min="2502" max="2502" width="2.85546875" style="3" customWidth="1"/>
    <col min="2503" max="2503" width="0.85546875" style="3" customWidth="1"/>
    <col min="2504" max="2504" width="11" style="3"/>
    <col min="2505" max="2505" width="15.42578125" style="3" customWidth="1"/>
    <col min="2506" max="2508" width="14.85546875" style="3" customWidth="1"/>
    <col min="2509" max="2509" width="0.7109375" style="3" customWidth="1"/>
    <col min="2510" max="2510" width="11" style="3"/>
    <col min="2511" max="2511" width="15.7109375" style="3" customWidth="1"/>
    <col min="2512" max="2513" width="14.85546875" style="3" customWidth="1"/>
    <col min="2514" max="2514" width="3.28515625" style="3" customWidth="1"/>
    <col min="2515" max="2515" width="20.140625" style="3" customWidth="1"/>
    <col min="2516" max="2516" width="3.28515625" style="3" customWidth="1"/>
    <col min="2517" max="2521" width="11" style="3"/>
    <col min="2522" max="2534" width="4.7109375" style="3" customWidth="1"/>
    <col min="2535" max="2744" width="11" style="3"/>
    <col min="2745" max="2745" width="0.7109375" style="3" customWidth="1"/>
    <col min="2746" max="2746" width="6.5703125" style="3" customWidth="1"/>
    <col min="2747" max="2747" width="13.5703125" style="3" customWidth="1"/>
    <col min="2748" max="2748" width="13.42578125" style="3" customWidth="1"/>
    <col min="2749" max="2750" width="12.5703125" style="3" customWidth="1"/>
    <col min="2751" max="2751" width="14.85546875" style="3" customWidth="1"/>
    <col min="2752" max="2752" width="20.7109375" style="3" customWidth="1"/>
    <col min="2753" max="2753" width="12.5703125" style="3" customWidth="1"/>
    <col min="2754" max="2754" width="13" style="3" customWidth="1"/>
    <col min="2755" max="2755" width="16" style="3" customWidth="1"/>
    <col min="2756" max="2756" width="6.42578125" style="3" customWidth="1"/>
    <col min="2757" max="2757" width="16" style="3" customWidth="1"/>
    <col min="2758" max="2758" width="2.85546875" style="3" customWidth="1"/>
    <col min="2759" max="2759" width="0.85546875" style="3" customWidth="1"/>
    <col min="2760" max="2760" width="11" style="3"/>
    <col min="2761" max="2761" width="15.42578125" style="3" customWidth="1"/>
    <col min="2762" max="2764" width="14.85546875" style="3" customWidth="1"/>
    <col min="2765" max="2765" width="0.7109375" style="3" customWidth="1"/>
    <col min="2766" max="2766" width="11" style="3"/>
    <col min="2767" max="2767" width="15.7109375" style="3" customWidth="1"/>
    <col min="2768" max="2769" width="14.85546875" style="3" customWidth="1"/>
    <col min="2770" max="2770" width="3.28515625" style="3" customWidth="1"/>
    <col min="2771" max="2771" width="20.140625" style="3" customWidth="1"/>
    <col min="2772" max="2772" width="3.28515625" style="3" customWidth="1"/>
    <col min="2773" max="2777" width="11" style="3"/>
    <col min="2778" max="2790" width="4.7109375" style="3" customWidth="1"/>
    <col min="2791" max="3000" width="11" style="3"/>
    <col min="3001" max="3001" width="0.7109375" style="3" customWidth="1"/>
    <col min="3002" max="3002" width="6.5703125" style="3" customWidth="1"/>
    <col min="3003" max="3003" width="13.5703125" style="3" customWidth="1"/>
    <col min="3004" max="3004" width="13.42578125" style="3" customWidth="1"/>
    <col min="3005" max="3006" width="12.5703125" style="3" customWidth="1"/>
    <col min="3007" max="3007" width="14.85546875" style="3" customWidth="1"/>
    <col min="3008" max="3008" width="20.7109375" style="3" customWidth="1"/>
    <col min="3009" max="3009" width="12.5703125" style="3" customWidth="1"/>
    <col min="3010" max="3010" width="13" style="3" customWidth="1"/>
    <col min="3011" max="3011" width="16" style="3" customWidth="1"/>
    <col min="3012" max="3012" width="6.42578125" style="3" customWidth="1"/>
    <col min="3013" max="3013" width="16" style="3" customWidth="1"/>
    <col min="3014" max="3014" width="2.85546875" style="3" customWidth="1"/>
    <col min="3015" max="3015" width="0.85546875" style="3" customWidth="1"/>
    <col min="3016" max="3016" width="11" style="3"/>
    <col min="3017" max="3017" width="15.42578125" style="3" customWidth="1"/>
    <col min="3018" max="3020" width="14.85546875" style="3" customWidth="1"/>
    <col min="3021" max="3021" width="0.7109375" style="3" customWidth="1"/>
    <col min="3022" max="3022" width="11" style="3"/>
    <col min="3023" max="3023" width="15.7109375" style="3" customWidth="1"/>
    <col min="3024" max="3025" width="14.85546875" style="3" customWidth="1"/>
    <col min="3026" max="3026" width="3.28515625" style="3" customWidth="1"/>
    <col min="3027" max="3027" width="20.140625" style="3" customWidth="1"/>
    <col min="3028" max="3028" width="3.28515625" style="3" customWidth="1"/>
    <col min="3029" max="3033" width="11" style="3"/>
    <col min="3034" max="3046" width="4.7109375" style="3" customWidth="1"/>
    <col min="3047" max="3256" width="11" style="3"/>
    <col min="3257" max="3257" width="0.7109375" style="3" customWidth="1"/>
    <col min="3258" max="3258" width="6.5703125" style="3" customWidth="1"/>
    <col min="3259" max="3259" width="13.5703125" style="3" customWidth="1"/>
    <col min="3260" max="3260" width="13.42578125" style="3" customWidth="1"/>
    <col min="3261" max="3262" width="12.5703125" style="3" customWidth="1"/>
    <col min="3263" max="3263" width="14.85546875" style="3" customWidth="1"/>
    <col min="3264" max="3264" width="20.7109375" style="3" customWidth="1"/>
    <col min="3265" max="3265" width="12.5703125" style="3" customWidth="1"/>
    <col min="3266" max="3266" width="13" style="3" customWidth="1"/>
    <col min="3267" max="3267" width="16" style="3" customWidth="1"/>
    <col min="3268" max="3268" width="6.42578125" style="3" customWidth="1"/>
    <col min="3269" max="3269" width="16" style="3" customWidth="1"/>
    <col min="3270" max="3270" width="2.85546875" style="3" customWidth="1"/>
    <col min="3271" max="3271" width="0.85546875" style="3" customWidth="1"/>
    <col min="3272" max="3272" width="11" style="3"/>
    <col min="3273" max="3273" width="15.42578125" style="3" customWidth="1"/>
    <col min="3274" max="3276" width="14.85546875" style="3" customWidth="1"/>
    <col min="3277" max="3277" width="0.7109375" style="3" customWidth="1"/>
    <col min="3278" max="3278" width="11" style="3"/>
    <col min="3279" max="3279" width="15.7109375" style="3" customWidth="1"/>
    <col min="3280" max="3281" width="14.85546875" style="3" customWidth="1"/>
    <col min="3282" max="3282" width="3.28515625" style="3" customWidth="1"/>
    <col min="3283" max="3283" width="20.140625" style="3" customWidth="1"/>
    <col min="3284" max="3284" width="3.28515625" style="3" customWidth="1"/>
    <col min="3285" max="3289" width="11" style="3"/>
    <col min="3290" max="3302" width="4.7109375" style="3" customWidth="1"/>
    <col min="3303" max="3512" width="11" style="3"/>
    <col min="3513" max="3513" width="0.7109375" style="3" customWidth="1"/>
    <col min="3514" max="3514" width="6.5703125" style="3" customWidth="1"/>
    <col min="3515" max="3515" width="13.5703125" style="3" customWidth="1"/>
    <col min="3516" max="3516" width="13.42578125" style="3" customWidth="1"/>
    <col min="3517" max="3518" width="12.5703125" style="3" customWidth="1"/>
    <col min="3519" max="3519" width="14.85546875" style="3" customWidth="1"/>
    <col min="3520" max="3520" width="20.7109375" style="3" customWidth="1"/>
    <col min="3521" max="3521" width="12.5703125" style="3" customWidth="1"/>
    <col min="3522" max="3522" width="13" style="3" customWidth="1"/>
    <col min="3523" max="3523" width="16" style="3" customWidth="1"/>
    <col min="3524" max="3524" width="6.42578125" style="3" customWidth="1"/>
    <col min="3525" max="3525" width="16" style="3" customWidth="1"/>
    <col min="3526" max="3526" width="2.85546875" style="3" customWidth="1"/>
    <col min="3527" max="3527" width="0.85546875" style="3" customWidth="1"/>
    <col min="3528" max="3528" width="11" style="3"/>
    <col min="3529" max="3529" width="15.42578125" style="3" customWidth="1"/>
    <col min="3530" max="3532" width="14.85546875" style="3" customWidth="1"/>
    <col min="3533" max="3533" width="0.7109375" style="3" customWidth="1"/>
    <col min="3534" max="3534" width="11" style="3"/>
    <col min="3535" max="3535" width="15.7109375" style="3" customWidth="1"/>
    <col min="3536" max="3537" width="14.85546875" style="3" customWidth="1"/>
    <col min="3538" max="3538" width="3.28515625" style="3" customWidth="1"/>
    <col min="3539" max="3539" width="20.140625" style="3" customWidth="1"/>
    <col min="3540" max="3540" width="3.28515625" style="3" customWidth="1"/>
    <col min="3541" max="3545" width="11" style="3"/>
    <col min="3546" max="3558" width="4.7109375" style="3" customWidth="1"/>
    <col min="3559" max="3768" width="11" style="3"/>
    <col min="3769" max="3769" width="0.7109375" style="3" customWidth="1"/>
    <col min="3770" max="3770" width="6.5703125" style="3" customWidth="1"/>
    <col min="3771" max="3771" width="13.5703125" style="3" customWidth="1"/>
    <col min="3772" max="3772" width="13.42578125" style="3" customWidth="1"/>
    <col min="3773" max="3774" width="12.5703125" style="3" customWidth="1"/>
    <col min="3775" max="3775" width="14.85546875" style="3" customWidth="1"/>
    <col min="3776" max="3776" width="20.7109375" style="3" customWidth="1"/>
    <col min="3777" max="3777" width="12.5703125" style="3" customWidth="1"/>
    <col min="3778" max="3778" width="13" style="3" customWidth="1"/>
    <col min="3779" max="3779" width="16" style="3" customWidth="1"/>
    <col min="3780" max="3780" width="6.42578125" style="3" customWidth="1"/>
    <col min="3781" max="3781" width="16" style="3" customWidth="1"/>
    <col min="3782" max="3782" width="2.85546875" style="3" customWidth="1"/>
    <col min="3783" max="3783" width="0.85546875" style="3" customWidth="1"/>
    <col min="3784" max="3784" width="11" style="3"/>
    <col min="3785" max="3785" width="15.42578125" style="3" customWidth="1"/>
    <col min="3786" max="3788" width="14.85546875" style="3" customWidth="1"/>
    <col min="3789" max="3789" width="0.7109375" style="3" customWidth="1"/>
    <col min="3790" max="3790" width="11" style="3"/>
    <col min="3791" max="3791" width="15.7109375" style="3" customWidth="1"/>
    <col min="3792" max="3793" width="14.85546875" style="3" customWidth="1"/>
    <col min="3794" max="3794" width="3.28515625" style="3" customWidth="1"/>
    <col min="3795" max="3795" width="20.140625" style="3" customWidth="1"/>
    <col min="3796" max="3796" width="3.28515625" style="3" customWidth="1"/>
    <col min="3797" max="3801" width="11" style="3"/>
    <col min="3802" max="3814" width="4.7109375" style="3" customWidth="1"/>
    <col min="3815" max="4024" width="11" style="3"/>
    <col min="4025" max="4025" width="0.7109375" style="3" customWidth="1"/>
    <col min="4026" max="4026" width="6.5703125" style="3" customWidth="1"/>
    <col min="4027" max="4027" width="13.5703125" style="3" customWidth="1"/>
    <col min="4028" max="4028" width="13.42578125" style="3" customWidth="1"/>
    <col min="4029" max="4030" width="12.5703125" style="3" customWidth="1"/>
    <col min="4031" max="4031" width="14.85546875" style="3" customWidth="1"/>
    <col min="4032" max="4032" width="20.7109375" style="3" customWidth="1"/>
    <col min="4033" max="4033" width="12.5703125" style="3" customWidth="1"/>
    <col min="4034" max="4034" width="13" style="3" customWidth="1"/>
    <col min="4035" max="4035" width="16" style="3" customWidth="1"/>
    <col min="4036" max="4036" width="6.42578125" style="3" customWidth="1"/>
    <col min="4037" max="4037" width="16" style="3" customWidth="1"/>
    <col min="4038" max="4038" width="2.85546875" style="3" customWidth="1"/>
    <col min="4039" max="4039" width="0.85546875" style="3" customWidth="1"/>
    <col min="4040" max="4040" width="11" style="3"/>
    <col min="4041" max="4041" width="15.42578125" style="3" customWidth="1"/>
    <col min="4042" max="4044" width="14.85546875" style="3" customWidth="1"/>
    <col min="4045" max="4045" width="0.7109375" style="3" customWidth="1"/>
    <col min="4046" max="4046" width="11" style="3"/>
    <col min="4047" max="4047" width="15.7109375" style="3" customWidth="1"/>
    <col min="4048" max="4049" width="14.85546875" style="3" customWidth="1"/>
    <col min="4050" max="4050" width="3.28515625" style="3" customWidth="1"/>
    <col min="4051" max="4051" width="20.140625" style="3" customWidth="1"/>
    <col min="4052" max="4052" width="3.28515625" style="3" customWidth="1"/>
    <col min="4053" max="4057" width="11" style="3"/>
    <col min="4058" max="4070" width="4.7109375" style="3" customWidth="1"/>
    <col min="4071" max="4280" width="11" style="3"/>
    <col min="4281" max="4281" width="0.7109375" style="3" customWidth="1"/>
    <col min="4282" max="4282" width="6.5703125" style="3" customWidth="1"/>
    <col min="4283" max="4283" width="13.5703125" style="3" customWidth="1"/>
    <col min="4284" max="4284" width="13.42578125" style="3" customWidth="1"/>
    <col min="4285" max="4286" width="12.5703125" style="3" customWidth="1"/>
    <col min="4287" max="4287" width="14.85546875" style="3" customWidth="1"/>
    <col min="4288" max="4288" width="20.7109375" style="3" customWidth="1"/>
    <col min="4289" max="4289" width="12.5703125" style="3" customWidth="1"/>
    <col min="4290" max="4290" width="13" style="3" customWidth="1"/>
    <col min="4291" max="4291" width="16" style="3" customWidth="1"/>
    <col min="4292" max="4292" width="6.42578125" style="3" customWidth="1"/>
    <col min="4293" max="4293" width="16" style="3" customWidth="1"/>
    <col min="4294" max="4294" width="2.85546875" style="3" customWidth="1"/>
    <col min="4295" max="4295" width="0.85546875" style="3" customWidth="1"/>
    <col min="4296" max="4296" width="11" style="3"/>
    <col min="4297" max="4297" width="15.42578125" style="3" customWidth="1"/>
    <col min="4298" max="4300" width="14.85546875" style="3" customWidth="1"/>
    <col min="4301" max="4301" width="0.7109375" style="3" customWidth="1"/>
    <col min="4302" max="4302" width="11" style="3"/>
    <col min="4303" max="4303" width="15.7109375" style="3" customWidth="1"/>
    <col min="4304" max="4305" width="14.85546875" style="3" customWidth="1"/>
    <col min="4306" max="4306" width="3.28515625" style="3" customWidth="1"/>
    <col min="4307" max="4307" width="20.140625" style="3" customWidth="1"/>
    <col min="4308" max="4308" width="3.28515625" style="3" customWidth="1"/>
    <col min="4309" max="4313" width="11" style="3"/>
    <col min="4314" max="4326" width="4.7109375" style="3" customWidth="1"/>
    <col min="4327" max="4536" width="11" style="3"/>
    <col min="4537" max="4537" width="0.7109375" style="3" customWidth="1"/>
    <col min="4538" max="4538" width="6.5703125" style="3" customWidth="1"/>
    <col min="4539" max="4539" width="13.5703125" style="3" customWidth="1"/>
    <col min="4540" max="4540" width="13.42578125" style="3" customWidth="1"/>
    <col min="4541" max="4542" width="12.5703125" style="3" customWidth="1"/>
    <col min="4543" max="4543" width="14.85546875" style="3" customWidth="1"/>
    <col min="4544" max="4544" width="20.7109375" style="3" customWidth="1"/>
    <col min="4545" max="4545" width="12.5703125" style="3" customWidth="1"/>
    <col min="4546" max="4546" width="13" style="3" customWidth="1"/>
    <col min="4547" max="4547" width="16" style="3" customWidth="1"/>
    <col min="4548" max="4548" width="6.42578125" style="3" customWidth="1"/>
    <col min="4549" max="4549" width="16" style="3" customWidth="1"/>
    <col min="4550" max="4550" width="2.85546875" style="3" customWidth="1"/>
    <col min="4551" max="4551" width="0.85546875" style="3" customWidth="1"/>
    <col min="4552" max="4552" width="11" style="3"/>
    <col min="4553" max="4553" width="15.42578125" style="3" customWidth="1"/>
    <col min="4554" max="4556" width="14.85546875" style="3" customWidth="1"/>
    <col min="4557" max="4557" width="0.7109375" style="3" customWidth="1"/>
    <col min="4558" max="4558" width="11" style="3"/>
    <col min="4559" max="4559" width="15.7109375" style="3" customWidth="1"/>
    <col min="4560" max="4561" width="14.85546875" style="3" customWidth="1"/>
    <col min="4562" max="4562" width="3.28515625" style="3" customWidth="1"/>
    <col min="4563" max="4563" width="20.140625" style="3" customWidth="1"/>
    <col min="4564" max="4564" width="3.28515625" style="3" customWidth="1"/>
    <col min="4565" max="4569" width="11" style="3"/>
    <col min="4570" max="4582" width="4.7109375" style="3" customWidth="1"/>
    <col min="4583" max="4792" width="11" style="3"/>
    <col min="4793" max="4793" width="0.7109375" style="3" customWidth="1"/>
    <col min="4794" max="4794" width="6.5703125" style="3" customWidth="1"/>
    <col min="4795" max="4795" width="13.5703125" style="3" customWidth="1"/>
    <col min="4796" max="4796" width="13.42578125" style="3" customWidth="1"/>
    <col min="4797" max="4798" width="12.5703125" style="3" customWidth="1"/>
    <col min="4799" max="4799" width="14.85546875" style="3" customWidth="1"/>
    <col min="4800" max="4800" width="20.7109375" style="3" customWidth="1"/>
    <col min="4801" max="4801" width="12.5703125" style="3" customWidth="1"/>
    <col min="4802" max="4802" width="13" style="3" customWidth="1"/>
    <col min="4803" max="4803" width="16" style="3" customWidth="1"/>
    <col min="4804" max="4804" width="6.42578125" style="3" customWidth="1"/>
    <col min="4805" max="4805" width="16" style="3" customWidth="1"/>
    <col min="4806" max="4806" width="2.85546875" style="3" customWidth="1"/>
    <col min="4807" max="4807" width="0.85546875" style="3" customWidth="1"/>
    <col min="4808" max="4808" width="11" style="3"/>
    <col min="4809" max="4809" width="15.42578125" style="3" customWidth="1"/>
    <col min="4810" max="4812" width="14.85546875" style="3" customWidth="1"/>
    <col min="4813" max="4813" width="0.7109375" style="3" customWidth="1"/>
    <col min="4814" max="4814" width="11" style="3"/>
    <col min="4815" max="4815" width="15.7109375" style="3" customWidth="1"/>
    <col min="4816" max="4817" width="14.85546875" style="3" customWidth="1"/>
    <col min="4818" max="4818" width="3.28515625" style="3" customWidth="1"/>
    <col min="4819" max="4819" width="20.140625" style="3" customWidth="1"/>
    <col min="4820" max="4820" width="3.28515625" style="3" customWidth="1"/>
    <col min="4821" max="4825" width="11" style="3"/>
    <col min="4826" max="4838" width="4.7109375" style="3" customWidth="1"/>
    <col min="4839" max="5048" width="11" style="3"/>
    <col min="5049" max="5049" width="0.7109375" style="3" customWidth="1"/>
    <col min="5050" max="5050" width="6.5703125" style="3" customWidth="1"/>
    <col min="5051" max="5051" width="13.5703125" style="3" customWidth="1"/>
    <col min="5052" max="5052" width="13.42578125" style="3" customWidth="1"/>
    <col min="5053" max="5054" width="12.5703125" style="3" customWidth="1"/>
    <col min="5055" max="5055" width="14.85546875" style="3" customWidth="1"/>
    <col min="5056" max="5056" width="20.7109375" style="3" customWidth="1"/>
    <col min="5057" max="5057" width="12.5703125" style="3" customWidth="1"/>
    <col min="5058" max="5058" width="13" style="3" customWidth="1"/>
    <col min="5059" max="5059" width="16" style="3" customWidth="1"/>
    <col min="5060" max="5060" width="6.42578125" style="3" customWidth="1"/>
    <col min="5061" max="5061" width="16" style="3" customWidth="1"/>
    <col min="5062" max="5062" width="2.85546875" style="3" customWidth="1"/>
    <col min="5063" max="5063" width="0.85546875" style="3" customWidth="1"/>
    <col min="5064" max="5064" width="11" style="3"/>
    <col min="5065" max="5065" width="15.42578125" style="3" customWidth="1"/>
    <col min="5066" max="5068" width="14.85546875" style="3" customWidth="1"/>
    <col min="5069" max="5069" width="0.7109375" style="3" customWidth="1"/>
    <col min="5070" max="5070" width="11" style="3"/>
    <col min="5071" max="5071" width="15.7109375" style="3" customWidth="1"/>
    <col min="5072" max="5073" width="14.85546875" style="3" customWidth="1"/>
    <col min="5074" max="5074" width="3.28515625" style="3" customWidth="1"/>
    <col min="5075" max="5075" width="20.140625" style="3" customWidth="1"/>
    <col min="5076" max="5076" width="3.28515625" style="3" customWidth="1"/>
    <col min="5077" max="5081" width="11" style="3"/>
    <col min="5082" max="5094" width="4.7109375" style="3" customWidth="1"/>
    <col min="5095" max="5304" width="11" style="3"/>
    <col min="5305" max="5305" width="0.7109375" style="3" customWidth="1"/>
    <col min="5306" max="5306" width="6.5703125" style="3" customWidth="1"/>
    <col min="5307" max="5307" width="13.5703125" style="3" customWidth="1"/>
    <col min="5308" max="5308" width="13.42578125" style="3" customWidth="1"/>
    <col min="5309" max="5310" width="12.5703125" style="3" customWidth="1"/>
    <col min="5311" max="5311" width="14.85546875" style="3" customWidth="1"/>
    <col min="5312" max="5312" width="20.7109375" style="3" customWidth="1"/>
    <col min="5313" max="5313" width="12.5703125" style="3" customWidth="1"/>
    <col min="5314" max="5314" width="13" style="3" customWidth="1"/>
    <col min="5315" max="5315" width="16" style="3" customWidth="1"/>
    <col min="5316" max="5316" width="6.42578125" style="3" customWidth="1"/>
    <col min="5317" max="5317" width="16" style="3" customWidth="1"/>
    <col min="5318" max="5318" width="2.85546875" style="3" customWidth="1"/>
    <col min="5319" max="5319" width="0.85546875" style="3" customWidth="1"/>
    <col min="5320" max="5320" width="11" style="3"/>
    <col min="5321" max="5321" width="15.42578125" style="3" customWidth="1"/>
    <col min="5322" max="5324" width="14.85546875" style="3" customWidth="1"/>
    <col min="5325" max="5325" width="0.7109375" style="3" customWidth="1"/>
    <col min="5326" max="5326" width="11" style="3"/>
    <col min="5327" max="5327" width="15.7109375" style="3" customWidth="1"/>
    <col min="5328" max="5329" width="14.85546875" style="3" customWidth="1"/>
    <col min="5330" max="5330" width="3.28515625" style="3" customWidth="1"/>
    <col min="5331" max="5331" width="20.140625" style="3" customWidth="1"/>
    <col min="5332" max="5332" width="3.28515625" style="3" customWidth="1"/>
    <col min="5333" max="5337" width="11" style="3"/>
    <col min="5338" max="5350" width="4.7109375" style="3" customWidth="1"/>
    <col min="5351" max="5560" width="11" style="3"/>
    <col min="5561" max="5561" width="0.7109375" style="3" customWidth="1"/>
    <col min="5562" max="5562" width="6.5703125" style="3" customWidth="1"/>
    <col min="5563" max="5563" width="13.5703125" style="3" customWidth="1"/>
    <col min="5564" max="5564" width="13.42578125" style="3" customWidth="1"/>
    <col min="5565" max="5566" width="12.5703125" style="3" customWidth="1"/>
    <col min="5567" max="5567" width="14.85546875" style="3" customWidth="1"/>
    <col min="5568" max="5568" width="20.7109375" style="3" customWidth="1"/>
    <col min="5569" max="5569" width="12.5703125" style="3" customWidth="1"/>
    <col min="5570" max="5570" width="13" style="3" customWidth="1"/>
    <col min="5571" max="5571" width="16" style="3" customWidth="1"/>
    <col min="5572" max="5572" width="6.42578125" style="3" customWidth="1"/>
    <col min="5573" max="5573" width="16" style="3" customWidth="1"/>
    <col min="5574" max="5574" width="2.85546875" style="3" customWidth="1"/>
    <col min="5575" max="5575" width="0.85546875" style="3" customWidth="1"/>
    <col min="5576" max="5576" width="11" style="3"/>
    <col min="5577" max="5577" width="15.42578125" style="3" customWidth="1"/>
    <col min="5578" max="5580" width="14.85546875" style="3" customWidth="1"/>
    <col min="5581" max="5581" width="0.7109375" style="3" customWidth="1"/>
    <col min="5582" max="5582" width="11" style="3"/>
    <col min="5583" max="5583" width="15.7109375" style="3" customWidth="1"/>
    <col min="5584" max="5585" width="14.85546875" style="3" customWidth="1"/>
    <col min="5586" max="5586" width="3.28515625" style="3" customWidth="1"/>
    <col min="5587" max="5587" width="20.140625" style="3" customWidth="1"/>
    <col min="5588" max="5588" width="3.28515625" style="3" customWidth="1"/>
    <col min="5589" max="5593" width="11" style="3"/>
    <col min="5594" max="5606" width="4.7109375" style="3" customWidth="1"/>
    <col min="5607" max="5816" width="11" style="3"/>
    <col min="5817" max="5817" width="0.7109375" style="3" customWidth="1"/>
    <col min="5818" max="5818" width="6.5703125" style="3" customWidth="1"/>
    <col min="5819" max="5819" width="13.5703125" style="3" customWidth="1"/>
    <col min="5820" max="5820" width="13.42578125" style="3" customWidth="1"/>
    <col min="5821" max="5822" width="12.5703125" style="3" customWidth="1"/>
    <col min="5823" max="5823" width="14.85546875" style="3" customWidth="1"/>
    <col min="5824" max="5824" width="20.7109375" style="3" customWidth="1"/>
    <col min="5825" max="5825" width="12.5703125" style="3" customWidth="1"/>
    <col min="5826" max="5826" width="13" style="3" customWidth="1"/>
    <col min="5827" max="5827" width="16" style="3" customWidth="1"/>
    <col min="5828" max="5828" width="6.42578125" style="3" customWidth="1"/>
    <col min="5829" max="5829" width="16" style="3" customWidth="1"/>
    <col min="5830" max="5830" width="2.85546875" style="3" customWidth="1"/>
    <col min="5831" max="5831" width="0.85546875" style="3" customWidth="1"/>
    <col min="5832" max="5832" width="11" style="3"/>
    <col min="5833" max="5833" width="15.42578125" style="3" customWidth="1"/>
    <col min="5834" max="5836" width="14.85546875" style="3" customWidth="1"/>
    <col min="5837" max="5837" width="0.7109375" style="3" customWidth="1"/>
    <col min="5838" max="5838" width="11" style="3"/>
    <col min="5839" max="5839" width="15.7109375" style="3" customWidth="1"/>
    <col min="5840" max="5841" width="14.85546875" style="3" customWidth="1"/>
    <col min="5842" max="5842" width="3.28515625" style="3" customWidth="1"/>
    <col min="5843" max="5843" width="20.140625" style="3" customWidth="1"/>
    <col min="5844" max="5844" width="3.28515625" style="3" customWidth="1"/>
    <col min="5845" max="5849" width="11" style="3"/>
    <col min="5850" max="5862" width="4.7109375" style="3" customWidth="1"/>
    <col min="5863" max="6072" width="11" style="3"/>
    <col min="6073" max="6073" width="0.7109375" style="3" customWidth="1"/>
    <col min="6074" max="6074" width="6.5703125" style="3" customWidth="1"/>
    <col min="6075" max="6075" width="13.5703125" style="3" customWidth="1"/>
    <col min="6076" max="6076" width="13.42578125" style="3" customWidth="1"/>
    <col min="6077" max="6078" width="12.5703125" style="3" customWidth="1"/>
    <col min="6079" max="6079" width="14.85546875" style="3" customWidth="1"/>
    <col min="6080" max="6080" width="20.7109375" style="3" customWidth="1"/>
    <col min="6081" max="6081" width="12.5703125" style="3" customWidth="1"/>
    <col min="6082" max="6082" width="13" style="3" customWidth="1"/>
    <col min="6083" max="6083" width="16" style="3" customWidth="1"/>
    <col min="6084" max="6084" width="6.42578125" style="3" customWidth="1"/>
    <col min="6085" max="6085" width="16" style="3" customWidth="1"/>
    <col min="6086" max="6086" width="2.85546875" style="3" customWidth="1"/>
    <col min="6087" max="6087" width="0.85546875" style="3" customWidth="1"/>
    <col min="6088" max="6088" width="11" style="3"/>
    <col min="6089" max="6089" width="15.42578125" style="3" customWidth="1"/>
    <col min="6090" max="6092" width="14.85546875" style="3" customWidth="1"/>
    <col min="6093" max="6093" width="0.7109375" style="3" customWidth="1"/>
    <col min="6094" max="6094" width="11" style="3"/>
    <col min="6095" max="6095" width="15.7109375" style="3" customWidth="1"/>
    <col min="6096" max="6097" width="14.85546875" style="3" customWidth="1"/>
    <col min="6098" max="6098" width="3.28515625" style="3" customWidth="1"/>
    <col min="6099" max="6099" width="20.140625" style="3" customWidth="1"/>
    <col min="6100" max="6100" width="3.28515625" style="3" customWidth="1"/>
    <col min="6101" max="6105" width="11" style="3"/>
    <col min="6106" max="6118" width="4.7109375" style="3" customWidth="1"/>
    <col min="6119" max="6328" width="11" style="3"/>
    <col min="6329" max="6329" width="0.7109375" style="3" customWidth="1"/>
    <col min="6330" max="6330" width="6.5703125" style="3" customWidth="1"/>
    <col min="6331" max="6331" width="13.5703125" style="3" customWidth="1"/>
    <col min="6332" max="6332" width="13.42578125" style="3" customWidth="1"/>
    <col min="6333" max="6334" width="12.5703125" style="3" customWidth="1"/>
    <col min="6335" max="6335" width="14.85546875" style="3" customWidth="1"/>
    <col min="6336" max="6336" width="20.7109375" style="3" customWidth="1"/>
    <col min="6337" max="6337" width="12.5703125" style="3" customWidth="1"/>
    <col min="6338" max="6338" width="13" style="3" customWidth="1"/>
    <col min="6339" max="6339" width="16" style="3" customWidth="1"/>
    <col min="6340" max="6340" width="6.42578125" style="3" customWidth="1"/>
    <col min="6341" max="6341" width="16" style="3" customWidth="1"/>
    <col min="6342" max="6342" width="2.85546875" style="3" customWidth="1"/>
    <col min="6343" max="6343" width="0.85546875" style="3" customWidth="1"/>
    <col min="6344" max="6344" width="11" style="3"/>
    <col min="6345" max="6345" width="15.42578125" style="3" customWidth="1"/>
    <col min="6346" max="6348" width="14.85546875" style="3" customWidth="1"/>
    <col min="6349" max="6349" width="0.7109375" style="3" customWidth="1"/>
    <col min="6350" max="6350" width="11" style="3"/>
    <col min="6351" max="6351" width="15.7109375" style="3" customWidth="1"/>
    <col min="6352" max="6353" width="14.85546875" style="3" customWidth="1"/>
    <col min="6354" max="6354" width="3.28515625" style="3" customWidth="1"/>
    <col min="6355" max="6355" width="20.140625" style="3" customWidth="1"/>
    <col min="6356" max="6356" width="3.28515625" style="3" customWidth="1"/>
    <col min="6357" max="6361" width="11" style="3"/>
    <col min="6362" max="6374" width="4.7109375" style="3" customWidth="1"/>
    <col min="6375" max="6584" width="11" style="3"/>
    <col min="6585" max="6585" width="0.7109375" style="3" customWidth="1"/>
    <col min="6586" max="6586" width="6.5703125" style="3" customWidth="1"/>
    <col min="6587" max="6587" width="13.5703125" style="3" customWidth="1"/>
    <col min="6588" max="6588" width="13.42578125" style="3" customWidth="1"/>
    <col min="6589" max="6590" width="12.5703125" style="3" customWidth="1"/>
    <col min="6591" max="6591" width="14.85546875" style="3" customWidth="1"/>
    <col min="6592" max="6592" width="20.7109375" style="3" customWidth="1"/>
    <col min="6593" max="6593" width="12.5703125" style="3" customWidth="1"/>
    <col min="6594" max="6594" width="13" style="3" customWidth="1"/>
    <col min="6595" max="6595" width="16" style="3" customWidth="1"/>
    <col min="6596" max="6596" width="6.42578125" style="3" customWidth="1"/>
    <col min="6597" max="6597" width="16" style="3" customWidth="1"/>
    <col min="6598" max="6598" width="2.85546875" style="3" customWidth="1"/>
    <col min="6599" max="6599" width="0.85546875" style="3" customWidth="1"/>
    <col min="6600" max="6600" width="11" style="3"/>
    <col min="6601" max="6601" width="15.42578125" style="3" customWidth="1"/>
    <col min="6602" max="6604" width="14.85546875" style="3" customWidth="1"/>
    <col min="6605" max="6605" width="0.7109375" style="3" customWidth="1"/>
    <col min="6606" max="6606" width="11" style="3"/>
    <col min="6607" max="6607" width="15.7109375" style="3" customWidth="1"/>
    <col min="6608" max="6609" width="14.85546875" style="3" customWidth="1"/>
    <col min="6610" max="6610" width="3.28515625" style="3" customWidth="1"/>
    <col min="6611" max="6611" width="20.140625" style="3" customWidth="1"/>
    <col min="6612" max="6612" width="3.28515625" style="3" customWidth="1"/>
    <col min="6613" max="6617" width="11" style="3"/>
    <col min="6618" max="6630" width="4.7109375" style="3" customWidth="1"/>
    <col min="6631" max="6840" width="11" style="3"/>
    <col min="6841" max="6841" width="0.7109375" style="3" customWidth="1"/>
    <col min="6842" max="6842" width="6.5703125" style="3" customWidth="1"/>
    <col min="6843" max="6843" width="13.5703125" style="3" customWidth="1"/>
    <col min="6844" max="6844" width="13.42578125" style="3" customWidth="1"/>
    <col min="6845" max="6846" width="12.5703125" style="3" customWidth="1"/>
    <col min="6847" max="6847" width="14.85546875" style="3" customWidth="1"/>
    <col min="6848" max="6848" width="20.7109375" style="3" customWidth="1"/>
    <col min="6849" max="6849" width="12.5703125" style="3" customWidth="1"/>
    <col min="6850" max="6850" width="13" style="3" customWidth="1"/>
    <col min="6851" max="6851" width="16" style="3" customWidth="1"/>
    <col min="6852" max="6852" width="6.42578125" style="3" customWidth="1"/>
    <col min="6853" max="6853" width="16" style="3" customWidth="1"/>
    <col min="6854" max="6854" width="2.85546875" style="3" customWidth="1"/>
    <col min="6855" max="6855" width="0.85546875" style="3" customWidth="1"/>
    <col min="6856" max="6856" width="11" style="3"/>
    <col min="6857" max="6857" width="15.42578125" style="3" customWidth="1"/>
    <col min="6858" max="6860" width="14.85546875" style="3" customWidth="1"/>
    <col min="6861" max="6861" width="0.7109375" style="3" customWidth="1"/>
    <col min="6862" max="6862" width="11" style="3"/>
    <col min="6863" max="6863" width="15.7109375" style="3" customWidth="1"/>
    <col min="6864" max="6865" width="14.85546875" style="3" customWidth="1"/>
    <col min="6866" max="6866" width="3.28515625" style="3" customWidth="1"/>
    <col min="6867" max="6867" width="20.140625" style="3" customWidth="1"/>
    <col min="6868" max="6868" width="3.28515625" style="3" customWidth="1"/>
    <col min="6869" max="6873" width="11" style="3"/>
    <col min="6874" max="6886" width="4.7109375" style="3" customWidth="1"/>
    <col min="6887" max="7096" width="11" style="3"/>
    <col min="7097" max="7097" width="0.7109375" style="3" customWidth="1"/>
    <col min="7098" max="7098" width="6.5703125" style="3" customWidth="1"/>
    <col min="7099" max="7099" width="13.5703125" style="3" customWidth="1"/>
    <col min="7100" max="7100" width="13.42578125" style="3" customWidth="1"/>
    <col min="7101" max="7102" width="12.5703125" style="3" customWidth="1"/>
    <col min="7103" max="7103" width="14.85546875" style="3" customWidth="1"/>
    <col min="7104" max="7104" width="20.7109375" style="3" customWidth="1"/>
    <col min="7105" max="7105" width="12.5703125" style="3" customWidth="1"/>
    <col min="7106" max="7106" width="13" style="3" customWidth="1"/>
    <col min="7107" max="7107" width="16" style="3" customWidth="1"/>
    <col min="7108" max="7108" width="6.42578125" style="3" customWidth="1"/>
    <col min="7109" max="7109" width="16" style="3" customWidth="1"/>
    <col min="7110" max="7110" width="2.85546875" style="3" customWidth="1"/>
    <col min="7111" max="7111" width="0.85546875" style="3" customWidth="1"/>
    <col min="7112" max="7112" width="11" style="3"/>
    <col min="7113" max="7113" width="15.42578125" style="3" customWidth="1"/>
    <col min="7114" max="7116" width="14.85546875" style="3" customWidth="1"/>
    <col min="7117" max="7117" width="0.7109375" style="3" customWidth="1"/>
    <col min="7118" max="7118" width="11" style="3"/>
    <col min="7119" max="7119" width="15.7109375" style="3" customWidth="1"/>
    <col min="7120" max="7121" width="14.85546875" style="3" customWidth="1"/>
    <col min="7122" max="7122" width="3.28515625" style="3" customWidth="1"/>
    <col min="7123" max="7123" width="20.140625" style="3" customWidth="1"/>
    <col min="7124" max="7124" width="3.28515625" style="3" customWidth="1"/>
    <col min="7125" max="7129" width="11" style="3"/>
    <col min="7130" max="7142" width="4.7109375" style="3" customWidth="1"/>
    <col min="7143" max="7352" width="11" style="3"/>
    <col min="7353" max="7353" width="0.7109375" style="3" customWidth="1"/>
    <col min="7354" max="7354" width="6.5703125" style="3" customWidth="1"/>
    <col min="7355" max="7355" width="13.5703125" style="3" customWidth="1"/>
    <col min="7356" max="7356" width="13.42578125" style="3" customWidth="1"/>
    <col min="7357" max="7358" width="12.5703125" style="3" customWidth="1"/>
    <col min="7359" max="7359" width="14.85546875" style="3" customWidth="1"/>
    <col min="7360" max="7360" width="20.7109375" style="3" customWidth="1"/>
    <col min="7361" max="7361" width="12.5703125" style="3" customWidth="1"/>
    <col min="7362" max="7362" width="13" style="3" customWidth="1"/>
    <col min="7363" max="7363" width="16" style="3" customWidth="1"/>
    <col min="7364" max="7364" width="6.42578125" style="3" customWidth="1"/>
    <col min="7365" max="7365" width="16" style="3" customWidth="1"/>
    <col min="7366" max="7366" width="2.85546875" style="3" customWidth="1"/>
    <col min="7367" max="7367" width="0.85546875" style="3" customWidth="1"/>
    <col min="7368" max="7368" width="11" style="3"/>
    <col min="7369" max="7369" width="15.42578125" style="3" customWidth="1"/>
    <col min="7370" max="7372" width="14.85546875" style="3" customWidth="1"/>
    <col min="7373" max="7373" width="0.7109375" style="3" customWidth="1"/>
    <col min="7374" max="7374" width="11" style="3"/>
    <col min="7375" max="7375" width="15.7109375" style="3" customWidth="1"/>
    <col min="7376" max="7377" width="14.85546875" style="3" customWidth="1"/>
    <col min="7378" max="7378" width="3.28515625" style="3" customWidth="1"/>
    <col min="7379" max="7379" width="20.140625" style="3" customWidth="1"/>
    <col min="7380" max="7380" width="3.28515625" style="3" customWidth="1"/>
    <col min="7381" max="7385" width="11" style="3"/>
    <col min="7386" max="7398" width="4.7109375" style="3" customWidth="1"/>
    <col min="7399" max="7608" width="11" style="3"/>
    <col min="7609" max="7609" width="0.7109375" style="3" customWidth="1"/>
    <col min="7610" max="7610" width="6.5703125" style="3" customWidth="1"/>
    <col min="7611" max="7611" width="13.5703125" style="3" customWidth="1"/>
    <col min="7612" max="7612" width="13.42578125" style="3" customWidth="1"/>
    <col min="7613" max="7614" width="12.5703125" style="3" customWidth="1"/>
    <col min="7615" max="7615" width="14.85546875" style="3" customWidth="1"/>
    <col min="7616" max="7616" width="20.7109375" style="3" customWidth="1"/>
    <col min="7617" max="7617" width="12.5703125" style="3" customWidth="1"/>
    <col min="7618" max="7618" width="13" style="3" customWidth="1"/>
    <col min="7619" max="7619" width="16" style="3" customWidth="1"/>
    <col min="7620" max="7620" width="6.42578125" style="3" customWidth="1"/>
    <col min="7621" max="7621" width="16" style="3" customWidth="1"/>
    <col min="7622" max="7622" width="2.85546875" style="3" customWidth="1"/>
    <col min="7623" max="7623" width="0.85546875" style="3" customWidth="1"/>
    <col min="7624" max="7624" width="11" style="3"/>
    <col min="7625" max="7625" width="15.42578125" style="3" customWidth="1"/>
    <col min="7626" max="7628" width="14.85546875" style="3" customWidth="1"/>
    <col min="7629" max="7629" width="0.7109375" style="3" customWidth="1"/>
    <col min="7630" max="7630" width="11" style="3"/>
    <col min="7631" max="7631" width="15.7109375" style="3" customWidth="1"/>
    <col min="7632" max="7633" width="14.85546875" style="3" customWidth="1"/>
    <col min="7634" max="7634" width="3.28515625" style="3" customWidth="1"/>
    <col min="7635" max="7635" width="20.140625" style="3" customWidth="1"/>
    <col min="7636" max="7636" width="3.28515625" style="3" customWidth="1"/>
    <col min="7637" max="7641" width="11" style="3"/>
    <col min="7642" max="7654" width="4.7109375" style="3" customWidth="1"/>
    <col min="7655" max="7864" width="11" style="3"/>
    <col min="7865" max="7865" width="0.7109375" style="3" customWidth="1"/>
    <col min="7866" max="7866" width="6.5703125" style="3" customWidth="1"/>
    <col min="7867" max="7867" width="13.5703125" style="3" customWidth="1"/>
    <col min="7868" max="7868" width="13.42578125" style="3" customWidth="1"/>
    <col min="7869" max="7870" width="12.5703125" style="3" customWidth="1"/>
    <col min="7871" max="7871" width="14.85546875" style="3" customWidth="1"/>
    <col min="7872" max="7872" width="20.7109375" style="3" customWidth="1"/>
    <col min="7873" max="7873" width="12.5703125" style="3" customWidth="1"/>
    <col min="7874" max="7874" width="13" style="3" customWidth="1"/>
    <col min="7875" max="7875" width="16" style="3" customWidth="1"/>
    <col min="7876" max="7876" width="6.42578125" style="3" customWidth="1"/>
    <col min="7877" max="7877" width="16" style="3" customWidth="1"/>
    <col min="7878" max="7878" width="2.85546875" style="3" customWidth="1"/>
    <col min="7879" max="7879" width="0.85546875" style="3" customWidth="1"/>
    <col min="7880" max="7880" width="11" style="3"/>
    <col min="7881" max="7881" width="15.42578125" style="3" customWidth="1"/>
    <col min="7882" max="7884" width="14.85546875" style="3" customWidth="1"/>
    <col min="7885" max="7885" width="0.7109375" style="3" customWidth="1"/>
    <col min="7886" max="7886" width="11" style="3"/>
    <col min="7887" max="7887" width="15.7109375" style="3" customWidth="1"/>
    <col min="7888" max="7889" width="14.85546875" style="3" customWidth="1"/>
    <col min="7890" max="7890" width="3.28515625" style="3" customWidth="1"/>
    <col min="7891" max="7891" width="20.140625" style="3" customWidth="1"/>
    <col min="7892" max="7892" width="3.28515625" style="3" customWidth="1"/>
    <col min="7893" max="7897" width="11" style="3"/>
    <col min="7898" max="7910" width="4.7109375" style="3" customWidth="1"/>
    <col min="7911" max="8120" width="11" style="3"/>
    <col min="8121" max="8121" width="0.7109375" style="3" customWidth="1"/>
    <col min="8122" max="8122" width="6.5703125" style="3" customWidth="1"/>
    <col min="8123" max="8123" width="13.5703125" style="3" customWidth="1"/>
    <col min="8124" max="8124" width="13.42578125" style="3" customWidth="1"/>
    <col min="8125" max="8126" width="12.5703125" style="3" customWidth="1"/>
    <col min="8127" max="8127" width="14.85546875" style="3" customWidth="1"/>
    <col min="8128" max="8128" width="20.7109375" style="3" customWidth="1"/>
    <col min="8129" max="8129" width="12.5703125" style="3" customWidth="1"/>
    <col min="8130" max="8130" width="13" style="3" customWidth="1"/>
    <col min="8131" max="8131" width="16" style="3" customWidth="1"/>
    <col min="8132" max="8132" width="6.42578125" style="3" customWidth="1"/>
    <col min="8133" max="8133" width="16" style="3" customWidth="1"/>
    <col min="8134" max="8134" width="2.85546875" style="3" customWidth="1"/>
    <col min="8135" max="8135" width="0.85546875" style="3" customWidth="1"/>
    <col min="8136" max="8136" width="11" style="3"/>
    <col min="8137" max="8137" width="15.42578125" style="3" customWidth="1"/>
    <col min="8138" max="8140" width="14.85546875" style="3" customWidth="1"/>
    <col min="8141" max="8141" width="0.7109375" style="3" customWidth="1"/>
    <col min="8142" max="8142" width="11" style="3"/>
    <col min="8143" max="8143" width="15.7109375" style="3" customWidth="1"/>
    <col min="8144" max="8145" width="14.85546875" style="3" customWidth="1"/>
    <col min="8146" max="8146" width="3.28515625" style="3" customWidth="1"/>
    <col min="8147" max="8147" width="20.140625" style="3" customWidth="1"/>
    <col min="8148" max="8148" width="3.28515625" style="3" customWidth="1"/>
    <col min="8149" max="8153" width="11" style="3"/>
    <col min="8154" max="8166" width="4.7109375" style="3" customWidth="1"/>
    <col min="8167" max="8376" width="11" style="3"/>
    <col min="8377" max="8377" width="0.7109375" style="3" customWidth="1"/>
    <col min="8378" max="8378" width="6.5703125" style="3" customWidth="1"/>
    <col min="8379" max="8379" width="13.5703125" style="3" customWidth="1"/>
    <col min="8380" max="8380" width="13.42578125" style="3" customWidth="1"/>
    <col min="8381" max="8382" width="12.5703125" style="3" customWidth="1"/>
    <col min="8383" max="8383" width="14.85546875" style="3" customWidth="1"/>
    <col min="8384" max="8384" width="20.7109375" style="3" customWidth="1"/>
    <col min="8385" max="8385" width="12.5703125" style="3" customWidth="1"/>
    <col min="8386" max="8386" width="13" style="3" customWidth="1"/>
    <col min="8387" max="8387" width="16" style="3" customWidth="1"/>
    <col min="8388" max="8388" width="6.42578125" style="3" customWidth="1"/>
    <col min="8389" max="8389" width="16" style="3" customWidth="1"/>
    <col min="8390" max="8390" width="2.85546875" style="3" customWidth="1"/>
    <col min="8391" max="8391" width="0.85546875" style="3" customWidth="1"/>
    <col min="8392" max="8392" width="11" style="3"/>
    <col min="8393" max="8393" width="15.42578125" style="3" customWidth="1"/>
    <col min="8394" max="8396" width="14.85546875" style="3" customWidth="1"/>
    <col min="8397" max="8397" width="0.7109375" style="3" customWidth="1"/>
    <col min="8398" max="8398" width="11" style="3"/>
    <col min="8399" max="8399" width="15.7109375" style="3" customWidth="1"/>
    <col min="8400" max="8401" width="14.85546875" style="3" customWidth="1"/>
    <col min="8402" max="8402" width="3.28515625" style="3" customWidth="1"/>
    <col min="8403" max="8403" width="20.140625" style="3" customWidth="1"/>
    <col min="8404" max="8404" width="3.28515625" style="3" customWidth="1"/>
    <col min="8405" max="8409" width="11" style="3"/>
    <col min="8410" max="8422" width="4.7109375" style="3" customWidth="1"/>
    <col min="8423" max="8632" width="11" style="3"/>
    <col min="8633" max="8633" width="0.7109375" style="3" customWidth="1"/>
    <col min="8634" max="8634" width="6.5703125" style="3" customWidth="1"/>
    <col min="8635" max="8635" width="13.5703125" style="3" customWidth="1"/>
    <col min="8636" max="8636" width="13.42578125" style="3" customWidth="1"/>
    <col min="8637" max="8638" width="12.5703125" style="3" customWidth="1"/>
    <col min="8639" max="8639" width="14.85546875" style="3" customWidth="1"/>
    <col min="8640" max="8640" width="20.7109375" style="3" customWidth="1"/>
    <col min="8641" max="8641" width="12.5703125" style="3" customWidth="1"/>
    <col min="8642" max="8642" width="13" style="3" customWidth="1"/>
    <col min="8643" max="8643" width="16" style="3" customWidth="1"/>
    <col min="8644" max="8644" width="6.42578125" style="3" customWidth="1"/>
    <col min="8645" max="8645" width="16" style="3" customWidth="1"/>
    <col min="8646" max="8646" width="2.85546875" style="3" customWidth="1"/>
    <col min="8647" max="8647" width="0.85546875" style="3" customWidth="1"/>
    <col min="8648" max="8648" width="11" style="3"/>
    <col min="8649" max="8649" width="15.42578125" style="3" customWidth="1"/>
    <col min="8650" max="8652" width="14.85546875" style="3" customWidth="1"/>
    <col min="8653" max="8653" width="0.7109375" style="3" customWidth="1"/>
    <col min="8654" max="8654" width="11" style="3"/>
    <col min="8655" max="8655" width="15.7109375" style="3" customWidth="1"/>
    <col min="8656" max="8657" width="14.85546875" style="3" customWidth="1"/>
    <col min="8658" max="8658" width="3.28515625" style="3" customWidth="1"/>
    <col min="8659" max="8659" width="20.140625" style="3" customWidth="1"/>
    <col min="8660" max="8660" width="3.28515625" style="3" customWidth="1"/>
    <col min="8661" max="8665" width="11" style="3"/>
    <col min="8666" max="8678" width="4.7109375" style="3" customWidth="1"/>
    <col min="8679" max="8888" width="11" style="3"/>
    <col min="8889" max="8889" width="0.7109375" style="3" customWidth="1"/>
    <col min="8890" max="8890" width="6.5703125" style="3" customWidth="1"/>
    <col min="8891" max="8891" width="13.5703125" style="3" customWidth="1"/>
    <col min="8892" max="8892" width="13.42578125" style="3" customWidth="1"/>
    <col min="8893" max="8894" width="12.5703125" style="3" customWidth="1"/>
    <col min="8895" max="8895" width="14.85546875" style="3" customWidth="1"/>
    <col min="8896" max="8896" width="20.7109375" style="3" customWidth="1"/>
    <col min="8897" max="8897" width="12.5703125" style="3" customWidth="1"/>
    <col min="8898" max="8898" width="13" style="3" customWidth="1"/>
    <col min="8899" max="8899" width="16" style="3" customWidth="1"/>
    <col min="8900" max="8900" width="6.42578125" style="3" customWidth="1"/>
    <col min="8901" max="8901" width="16" style="3" customWidth="1"/>
    <col min="8902" max="8902" width="2.85546875" style="3" customWidth="1"/>
    <col min="8903" max="8903" width="0.85546875" style="3" customWidth="1"/>
    <col min="8904" max="8904" width="11" style="3"/>
    <col min="8905" max="8905" width="15.42578125" style="3" customWidth="1"/>
    <col min="8906" max="8908" width="14.85546875" style="3" customWidth="1"/>
    <col min="8909" max="8909" width="0.7109375" style="3" customWidth="1"/>
    <col min="8910" max="8910" width="11" style="3"/>
    <col min="8911" max="8911" width="15.7109375" style="3" customWidth="1"/>
    <col min="8912" max="8913" width="14.85546875" style="3" customWidth="1"/>
    <col min="8914" max="8914" width="3.28515625" style="3" customWidth="1"/>
    <col min="8915" max="8915" width="20.140625" style="3" customWidth="1"/>
    <col min="8916" max="8916" width="3.28515625" style="3" customWidth="1"/>
    <col min="8917" max="8921" width="11" style="3"/>
    <col min="8922" max="8934" width="4.7109375" style="3" customWidth="1"/>
    <col min="8935" max="9144" width="11" style="3"/>
    <col min="9145" max="9145" width="0.7109375" style="3" customWidth="1"/>
    <col min="9146" max="9146" width="6.5703125" style="3" customWidth="1"/>
    <col min="9147" max="9147" width="13.5703125" style="3" customWidth="1"/>
    <col min="9148" max="9148" width="13.42578125" style="3" customWidth="1"/>
    <col min="9149" max="9150" width="12.5703125" style="3" customWidth="1"/>
    <col min="9151" max="9151" width="14.85546875" style="3" customWidth="1"/>
    <col min="9152" max="9152" width="20.7109375" style="3" customWidth="1"/>
    <col min="9153" max="9153" width="12.5703125" style="3" customWidth="1"/>
    <col min="9154" max="9154" width="13" style="3" customWidth="1"/>
    <col min="9155" max="9155" width="16" style="3" customWidth="1"/>
    <col min="9156" max="9156" width="6.42578125" style="3" customWidth="1"/>
    <col min="9157" max="9157" width="16" style="3" customWidth="1"/>
    <col min="9158" max="9158" width="2.85546875" style="3" customWidth="1"/>
    <col min="9159" max="9159" width="0.85546875" style="3" customWidth="1"/>
    <col min="9160" max="9160" width="11" style="3"/>
    <col min="9161" max="9161" width="15.42578125" style="3" customWidth="1"/>
    <col min="9162" max="9164" width="14.85546875" style="3" customWidth="1"/>
    <col min="9165" max="9165" width="0.7109375" style="3" customWidth="1"/>
    <col min="9166" max="9166" width="11" style="3"/>
    <col min="9167" max="9167" width="15.7109375" style="3" customWidth="1"/>
    <col min="9168" max="9169" width="14.85546875" style="3" customWidth="1"/>
    <col min="9170" max="9170" width="3.28515625" style="3" customWidth="1"/>
    <col min="9171" max="9171" width="20.140625" style="3" customWidth="1"/>
    <col min="9172" max="9172" width="3.28515625" style="3" customWidth="1"/>
    <col min="9173" max="9177" width="11" style="3"/>
    <col min="9178" max="9190" width="4.7109375" style="3" customWidth="1"/>
    <col min="9191" max="9400" width="11" style="3"/>
    <col min="9401" max="9401" width="0.7109375" style="3" customWidth="1"/>
    <col min="9402" max="9402" width="6.5703125" style="3" customWidth="1"/>
    <col min="9403" max="9403" width="13.5703125" style="3" customWidth="1"/>
    <col min="9404" max="9404" width="13.42578125" style="3" customWidth="1"/>
    <col min="9405" max="9406" width="12.5703125" style="3" customWidth="1"/>
    <col min="9407" max="9407" width="14.85546875" style="3" customWidth="1"/>
    <col min="9408" max="9408" width="20.7109375" style="3" customWidth="1"/>
    <col min="9409" max="9409" width="12.5703125" style="3" customWidth="1"/>
    <col min="9410" max="9410" width="13" style="3" customWidth="1"/>
    <col min="9411" max="9411" width="16" style="3" customWidth="1"/>
    <col min="9412" max="9412" width="6.42578125" style="3" customWidth="1"/>
    <col min="9413" max="9413" width="16" style="3" customWidth="1"/>
    <col min="9414" max="9414" width="2.85546875" style="3" customWidth="1"/>
    <col min="9415" max="9415" width="0.85546875" style="3" customWidth="1"/>
    <col min="9416" max="9416" width="11" style="3"/>
    <col min="9417" max="9417" width="15.42578125" style="3" customWidth="1"/>
    <col min="9418" max="9420" width="14.85546875" style="3" customWidth="1"/>
    <col min="9421" max="9421" width="0.7109375" style="3" customWidth="1"/>
    <col min="9422" max="9422" width="11" style="3"/>
    <col min="9423" max="9423" width="15.7109375" style="3" customWidth="1"/>
    <col min="9424" max="9425" width="14.85546875" style="3" customWidth="1"/>
    <col min="9426" max="9426" width="3.28515625" style="3" customWidth="1"/>
    <col min="9427" max="9427" width="20.140625" style="3" customWidth="1"/>
    <col min="9428" max="9428" width="3.28515625" style="3" customWidth="1"/>
    <col min="9429" max="9433" width="11" style="3"/>
    <col min="9434" max="9446" width="4.7109375" style="3" customWidth="1"/>
    <col min="9447" max="9656" width="11" style="3"/>
    <col min="9657" max="9657" width="0.7109375" style="3" customWidth="1"/>
    <col min="9658" max="9658" width="6.5703125" style="3" customWidth="1"/>
    <col min="9659" max="9659" width="13.5703125" style="3" customWidth="1"/>
    <col min="9660" max="9660" width="13.42578125" style="3" customWidth="1"/>
    <col min="9661" max="9662" width="12.5703125" style="3" customWidth="1"/>
    <col min="9663" max="9663" width="14.85546875" style="3" customWidth="1"/>
    <col min="9664" max="9664" width="20.7109375" style="3" customWidth="1"/>
    <col min="9665" max="9665" width="12.5703125" style="3" customWidth="1"/>
    <col min="9666" max="9666" width="13" style="3" customWidth="1"/>
    <col min="9667" max="9667" width="16" style="3" customWidth="1"/>
    <col min="9668" max="9668" width="6.42578125" style="3" customWidth="1"/>
    <col min="9669" max="9669" width="16" style="3" customWidth="1"/>
    <col min="9670" max="9670" width="2.85546875" style="3" customWidth="1"/>
    <col min="9671" max="9671" width="0.85546875" style="3" customWidth="1"/>
    <col min="9672" max="9672" width="11" style="3"/>
    <col min="9673" max="9673" width="15.42578125" style="3" customWidth="1"/>
    <col min="9674" max="9676" width="14.85546875" style="3" customWidth="1"/>
    <col min="9677" max="9677" width="0.7109375" style="3" customWidth="1"/>
    <col min="9678" max="9678" width="11" style="3"/>
    <col min="9679" max="9679" width="15.7109375" style="3" customWidth="1"/>
    <col min="9680" max="9681" width="14.85546875" style="3" customWidth="1"/>
    <col min="9682" max="9682" width="3.28515625" style="3" customWidth="1"/>
    <col min="9683" max="9683" width="20.140625" style="3" customWidth="1"/>
    <col min="9684" max="9684" width="3.28515625" style="3" customWidth="1"/>
    <col min="9685" max="9689" width="11" style="3"/>
    <col min="9690" max="9702" width="4.7109375" style="3" customWidth="1"/>
    <col min="9703" max="9912" width="11" style="3"/>
    <col min="9913" max="9913" width="0.7109375" style="3" customWidth="1"/>
    <col min="9914" max="9914" width="6.5703125" style="3" customWidth="1"/>
    <col min="9915" max="9915" width="13.5703125" style="3" customWidth="1"/>
    <col min="9916" max="9916" width="13.42578125" style="3" customWidth="1"/>
    <col min="9917" max="9918" width="12.5703125" style="3" customWidth="1"/>
    <col min="9919" max="9919" width="14.85546875" style="3" customWidth="1"/>
    <col min="9920" max="9920" width="20.7109375" style="3" customWidth="1"/>
    <col min="9921" max="9921" width="12.5703125" style="3" customWidth="1"/>
    <col min="9922" max="9922" width="13" style="3" customWidth="1"/>
    <col min="9923" max="9923" width="16" style="3" customWidth="1"/>
    <col min="9924" max="9924" width="6.42578125" style="3" customWidth="1"/>
    <col min="9925" max="9925" width="16" style="3" customWidth="1"/>
    <col min="9926" max="9926" width="2.85546875" style="3" customWidth="1"/>
    <col min="9927" max="9927" width="0.85546875" style="3" customWidth="1"/>
    <col min="9928" max="9928" width="11" style="3"/>
    <col min="9929" max="9929" width="15.42578125" style="3" customWidth="1"/>
    <col min="9930" max="9932" width="14.85546875" style="3" customWidth="1"/>
    <col min="9933" max="9933" width="0.7109375" style="3" customWidth="1"/>
    <col min="9934" max="9934" width="11" style="3"/>
    <col min="9935" max="9935" width="15.7109375" style="3" customWidth="1"/>
    <col min="9936" max="9937" width="14.85546875" style="3" customWidth="1"/>
    <col min="9938" max="9938" width="3.28515625" style="3" customWidth="1"/>
    <col min="9939" max="9939" width="20.140625" style="3" customWidth="1"/>
    <col min="9940" max="9940" width="3.28515625" style="3" customWidth="1"/>
    <col min="9941" max="9945" width="11" style="3"/>
    <col min="9946" max="9958" width="4.7109375" style="3" customWidth="1"/>
    <col min="9959" max="10168" width="11" style="3"/>
    <col min="10169" max="10169" width="0.7109375" style="3" customWidth="1"/>
    <col min="10170" max="10170" width="6.5703125" style="3" customWidth="1"/>
    <col min="10171" max="10171" width="13.5703125" style="3" customWidth="1"/>
    <col min="10172" max="10172" width="13.42578125" style="3" customWidth="1"/>
    <col min="10173" max="10174" width="12.5703125" style="3" customWidth="1"/>
    <col min="10175" max="10175" width="14.85546875" style="3" customWidth="1"/>
    <col min="10176" max="10176" width="20.7109375" style="3" customWidth="1"/>
    <col min="10177" max="10177" width="12.5703125" style="3" customWidth="1"/>
    <col min="10178" max="10178" width="13" style="3" customWidth="1"/>
    <col min="10179" max="10179" width="16" style="3" customWidth="1"/>
    <col min="10180" max="10180" width="6.42578125" style="3" customWidth="1"/>
    <col min="10181" max="10181" width="16" style="3" customWidth="1"/>
    <col min="10182" max="10182" width="2.85546875" style="3" customWidth="1"/>
    <col min="10183" max="10183" width="0.85546875" style="3" customWidth="1"/>
    <col min="10184" max="10184" width="11" style="3"/>
    <col min="10185" max="10185" width="15.42578125" style="3" customWidth="1"/>
    <col min="10186" max="10188" width="14.85546875" style="3" customWidth="1"/>
    <col min="10189" max="10189" width="0.7109375" style="3" customWidth="1"/>
    <col min="10190" max="10190" width="11" style="3"/>
    <col min="10191" max="10191" width="15.7109375" style="3" customWidth="1"/>
    <col min="10192" max="10193" width="14.85546875" style="3" customWidth="1"/>
    <col min="10194" max="10194" width="3.28515625" style="3" customWidth="1"/>
    <col min="10195" max="10195" width="20.140625" style="3" customWidth="1"/>
    <col min="10196" max="10196" width="3.28515625" style="3" customWidth="1"/>
    <col min="10197" max="10201" width="11" style="3"/>
    <col min="10202" max="10214" width="4.7109375" style="3" customWidth="1"/>
    <col min="10215" max="10424" width="11" style="3"/>
    <col min="10425" max="10425" width="0.7109375" style="3" customWidth="1"/>
    <col min="10426" max="10426" width="6.5703125" style="3" customWidth="1"/>
    <col min="10427" max="10427" width="13.5703125" style="3" customWidth="1"/>
    <col min="10428" max="10428" width="13.42578125" style="3" customWidth="1"/>
    <col min="10429" max="10430" width="12.5703125" style="3" customWidth="1"/>
    <col min="10431" max="10431" width="14.85546875" style="3" customWidth="1"/>
    <col min="10432" max="10432" width="20.7109375" style="3" customWidth="1"/>
    <col min="10433" max="10433" width="12.5703125" style="3" customWidth="1"/>
    <col min="10434" max="10434" width="13" style="3" customWidth="1"/>
    <col min="10435" max="10435" width="16" style="3" customWidth="1"/>
    <col min="10436" max="10436" width="6.42578125" style="3" customWidth="1"/>
    <col min="10437" max="10437" width="16" style="3" customWidth="1"/>
    <col min="10438" max="10438" width="2.85546875" style="3" customWidth="1"/>
    <col min="10439" max="10439" width="0.85546875" style="3" customWidth="1"/>
    <col min="10440" max="10440" width="11" style="3"/>
    <col min="10441" max="10441" width="15.42578125" style="3" customWidth="1"/>
    <col min="10442" max="10444" width="14.85546875" style="3" customWidth="1"/>
    <col min="10445" max="10445" width="0.7109375" style="3" customWidth="1"/>
    <col min="10446" max="10446" width="11" style="3"/>
    <col min="10447" max="10447" width="15.7109375" style="3" customWidth="1"/>
    <col min="10448" max="10449" width="14.85546875" style="3" customWidth="1"/>
    <col min="10450" max="10450" width="3.28515625" style="3" customWidth="1"/>
    <col min="10451" max="10451" width="20.140625" style="3" customWidth="1"/>
    <col min="10452" max="10452" width="3.28515625" style="3" customWidth="1"/>
    <col min="10453" max="10457" width="11" style="3"/>
    <col min="10458" max="10470" width="4.7109375" style="3" customWidth="1"/>
    <col min="10471" max="10680" width="11" style="3"/>
    <col min="10681" max="10681" width="0.7109375" style="3" customWidth="1"/>
    <col min="10682" max="10682" width="6.5703125" style="3" customWidth="1"/>
    <col min="10683" max="10683" width="13.5703125" style="3" customWidth="1"/>
    <col min="10684" max="10684" width="13.42578125" style="3" customWidth="1"/>
    <col min="10685" max="10686" width="12.5703125" style="3" customWidth="1"/>
    <col min="10687" max="10687" width="14.85546875" style="3" customWidth="1"/>
    <col min="10688" max="10688" width="20.7109375" style="3" customWidth="1"/>
    <col min="10689" max="10689" width="12.5703125" style="3" customWidth="1"/>
    <col min="10690" max="10690" width="13" style="3" customWidth="1"/>
    <col min="10691" max="10691" width="16" style="3" customWidth="1"/>
    <col min="10692" max="10692" width="6.42578125" style="3" customWidth="1"/>
    <col min="10693" max="10693" width="16" style="3" customWidth="1"/>
    <col min="10694" max="10694" width="2.85546875" style="3" customWidth="1"/>
    <col min="10695" max="10695" width="0.85546875" style="3" customWidth="1"/>
    <col min="10696" max="10696" width="11" style="3"/>
    <col min="10697" max="10697" width="15.42578125" style="3" customWidth="1"/>
    <col min="10698" max="10700" width="14.85546875" style="3" customWidth="1"/>
    <col min="10701" max="10701" width="0.7109375" style="3" customWidth="1"/>
    <col min="10702" max="10702" width="11" style="3"/>
    <col min="10703" max="10703" width="15.7109375" style="3" customWidth="1"/>
    <col min="10704" max="10705" width="14.85546875" style="3" customWidth="1"/>
    <col min="10706" max="10706" width="3.28515625" style="3" customWidth="1"/>
    <col min="10707" max="10707" width="20.140625" style="3" customWidth="1"/>
    <col min="10708" max="10708" width="3.28515625" style="3" customWidth="1"/>
    <col min="10709" max="10713" width="11" style="3"/>
    <col min="10714" max="10726" width="4.7109375" style="3" customWidth="1"/>
    <col min="10727" max="10936" width="11" style="3"/>
    <col min="10937" max="10937" width="0.7109375" style="3" customWidth="1"/>
    <col min="10938" max="10938" width="6.5703125" style="3" customWidth="1"/>
    <col min="10939" max="10939" width="13.5703125" style="3" customWidth="1"/>
    <col min="10940" max="10940" width="13.42578125" style="3" customWidth="1"/>
    <col min="10941" max="10942" width="12.5703125" style="3" customWidth="1"/>
    <col min="10943" max="10943" width="14.85546875" style="3" customWidth="1"/>
    <col min="10944" max="10944" width="20.7109375" style="3" customWidth="1"/>
    <col min="10945" max="10945" width="12.5703125" style="3" customWidth="1"/>
    <col min="10946" max="10946" width="13" style="3" customWidth="1"/>
    <col min="10947" max="10947" width="16" style="3" customWidth="1"/>
    <col min="10948" max="10948" width="6.42578125" style="3" customWidth="1"/>
    <col min="10949" max="10949" width="16" style="3" customWidth="1"/>
    <col min="10950" max="10950" width="2.85546875" style="3" customWidth="1"/>
    <col min="10951" max="10951" width="0.85546875" style="3" customWidth="1"/>
    <col min="10952" max="10952" width="11" style="3"/>
    <col min="10953" max="10953" width="15.42578125" style="3" customWidth="1"/>
    <col min="10954" max="10956" width="14.85546875" style="3" customWidth="1"/>
    <col min="10957" max="10957" width="0.7109375" style="3" customWidth="1"/>
    <col min="10958" max="10958" width="11" style="3"/>
    <col min="10959" max="10959" width="15.7109375" style="3" customWidth="1"/>
    <col min="10960" max="10961" width="14.85546875" style="3" customWidth="1"/>
    <col min="10962" max="10962" width="3.28515625" style="3" customWidth="1"/>
    <col min="10963" max="10963" width="20.140625" style="3" customWidth="1"/>
    <col min="10964" max="10964" width="3.28515625" style="3" customWidth="1"/>
    <col min="10965" max="10969" width="11" style="3"/>
    <col min="10970" max="10982" width="4.7109375" style="3" customWidth="1"/>
    <col min="10983" max="11192" width="11" style="3"/>
    <col min="11193" max="11193" width="0.7109375" style="3" customWidth="1"/>
    <col min="11194" max="11194" width="6.5703125" style="3" customWidth="1"/>
    <col min="11195" max="11195" width="13.5703125" style="3" customWidth="1"/>
    <col min="11196" max="11196" width="13.42578125" style="3" customWidth="1"/>
    <col min="11197" max="11198" width="12.5703125" style="3" customWidth="1"/>
    <col min="11199" max="11199" width="14.85546875" style="3" customWidth="1"/>
    <col min="11200" max="11200" width="20.7109375" style="3" customWidth="1"/>
    <col min="11201" max="11201" width="12.5703125" style="3" customWidth="1"/>
    <col min="11202" max="11202" width="13" style="3" customWidth="1"/>
    <col min="11203" max="11203" width="16" style="3" customWidth="1"/>
    <col min="11204" max="11204" width="6.42578125" style="3" customWidth="1"/>
    <col min="11205" max="11205" width="16" style="3" customWidth="1"/>
    <col min="11206" max="11206" width="2.85546875" style="3" customWidth="1"/>
    <col min="11207" max="11207" width="0.85546875" style="3" customWidth="1"/>
    <col min="11208" max="11208" width="11" style="3"/>
    <col min="11209" max="11209" width="15.42578125" style="3" customWidth="1"/>
    <col min="11210" max="11212" width="14.85546875" style="3" customWidth="1"/>
    <col min="11213" max="11213" width="0.7109375" style="3" customWidth="1"/>
    <col min="11214" max="11214" width="11" style="3"/>
    <col min="11215" max="11215" width="15.7109375" style="3" customWidth="1"/>
    <col min="11216" max="11217" width="14.85546875" style="3" customWidth="1"/>
    <col min="11218" max="11218" width="3.28515625" style="3" customWidth="1"/>
    <col min="11219" max="11219" width="20.140625" style="3" customWidth="1"/>
    <col min="11220" max="11220" width="3.28515625" style="3" customWidth="1"/>
    <col min="11221" max="11225" width="11" style="3"/>
    <col min="11226" max="11238" width="4.7109375" style="3" customWidth="1"/>
    <col min="11239" max="11448" width="11" style="3"/>
    <col min="11449" max="11449" width="0.7109375" style="3" customWidth="1"/>
    <col min="11450" max="11450" width="6.5703125" style="3" customWidth="1"/>
    <col min="11451" max="11451" width="13.5703125" style="3" customWidth="1"/>
    <col min="11452" max="11452" width="13.42578125" style="3" customWidth="1"/>
    <col min="11453" max="11454" width="12.5703125" style="3" customWidth="1"/>
    <col min="11455" max="11455" width="14.85546875" style="3" customWidth="1"/>
    <col min="11456" max="11456" width="20.7109375" style="3" customWidth="1"/>
    <col min="11457" max="11457" width="12.5703125" style="3" customWidth="1"/>
    <col min="11458" max="11458" width="13" style="3" customWidth="1"/>
    <col min="11459" max="11459" width="16" style="3" customWidth="1"/>
    <col min="11460" max="11460" width="6.42578125" style="3" customWidth="1"/>
    <col min="11461" max="11461" width="16" style="3" customWidth="1"/>
    <col min="11462" max="11462" width="2.85546875" style="3" customWidth="1"/>
    <col min="11463" max="11463" width="0.85546875" style="3" customWidth="1"/>
    <col min="11464" max="11464" width="11" style="3"/>
    <col min="11465" max="11465" width="15.42578125" style="3" customWidth="1"/>
    <col min="11466" max="11468" width="14.85546875" style="3" customWidth="1"/>
    <col min="11469" max="11469" width="0.7109375" style="3" customWidth="1"/>
    <col min="11470" max="11470" width="11" style="3"/>
    <col min="11471" max="11471" width="15.7109375" style="3" customWidth="1"/>
    <col min="11472" max="11473" width="14.85546875" style="3" customWidth="1"/>
    <col min="11474" max="11474" width="3.28515625" style="3" customWidth="1"/>
    <col min="11475" max="11475" width="20.140625" style="3" customWidth="1"/>
    <col min="11476" max="11476" width="3.28515625" style="3" customWidth="1"/>
    <col min="11477" max="11481" width="11" style="3"/>
    <col min="11482" max="11494" width="4.7109375" style="3" customWidth="1"/>
    <col min="11495" max="11704" width="11" style="3"/>
    <col min="11705" max="11705" width="0.7109375" style="3" customWidth="1"/>
    <col min="11706" max="11706" width="6.5703125" style="3" customWidth="1"/>
    <col min="11707" max="11707" width="13.5703125" style="3" customWidth="1"/>
    <col min="11708" max="11708" width="13.42578125" style="3" customWidth="1"/>
    <col min="11709" max="11710" width="12.5703125" style="3" customWidth="1"/>
    <col min="11711" max="11711" width="14.85546875" style="3" customWidth="1"/>
    <col min="11712" max="11712" width="20.7109375" style="3" customWidth="1"/>
    <col min="11713" max="11713" width="12.5703125" style="3" customWidth="1"/>
    <col min="11714" max="11714" width="13" style="3" customWidth="1"/>
    <col min="11715" max="11715" width="16" style="3" customWidth="1"/>
    <col min="11716" max="11716" width="6.42578125" style="3" customWidth="1"/>
    <col min="11717" max="11717" width="16" style="3" customWidth="1"/>
    <col min="11718" max="11718" width="2.85546875" style="3" customWidth="1"/>
    <col min="11719" max="11719" width="0.85546875" style="3" customWidth="1"/>
    <col min="11720" max="11720" width="11" style="3"/>
    <col min="11721" max="11721" width="15.42578125" style="3" customWidth="1"/>
    <col min="11722" max="11724" width="14.85546875" style="3" customWidth="1"/>
    <col min="11725" max="11725" width="0.7109375" style="3" customWidth="1"/>
    <col min="11726" max="11726" width="11" style="3"/>
    <col min="11727" max="11727" width="15.7109375" style="3" customWidth="1"/>
    <col min="11728" max="11729" width="14.85546875" style="3" customWidth="1"/>
    <col min="11730" max="11730" width="3.28515625" style="3" customWidth="1"/>
    <col min="11731" max="11731" width="20.140625" style="3" customWidth="1"/>
    <col min="11732" max="11732" width="3.28515625" style="3" customWidth="1"/>
    <col min="11733" max="11737" width="11" style="3"/>
    <col min="11738" max="11750" width="4.7109375" style="3" customWidth="1"/>
    <col min="11751" max="11960" width="11" style="3"/>
    <col min="11961" max="11961" width="0.7109375" style="3" customWidth="1"/>
    <col min="11962" max="11962" width="6.5703125" style="3" customWidth="1"/>
    <col min="11963" max="11963" width="13.5703125" style="3" customWidth="1"/>
    <col min="11964" max="11964" width="13.42578125" style="3" customWidth="1"/>
    <col min="11965" max="11966" width="12.5703125" style="3" customWidth="1"/>
    <col min="11967" max="11967" width="14.85546875" style="3" customWidth="1"/>
    <col min="11968" max="11968" width="20.7109375" style="3" customWidth="1"/>
    <col min="11969" max="11969" width="12.5703125" style="3" customWidth="1"/>
    <col min="11970" max="11970" width="13" style="3" customWidth="1"/>
    <col min="11971" max="11971" width="16" style="3" customWidth="1"/>
    <col min="11972" max="11972" width="6.42578125" style="3" customWidth="1"/>
    <col min="11973" max="11973" width="16" style="3" customWidth="1"/>
    <col min="11974" max="11974" width="2.85546875" style="3" customWidth="1"/>
    <col min="11975" max="11975" width="0.85546875" style="3" customWidth="1"/>
    <col min="11976" max="11976" width="11" style="3"/>
    <col min="11977" max="11977" width="15.42578125" style="3" customWidth="1"/>
    <col min="11978" max="11980" width="14.85546875" style="3" customWidth="1"/>
    <col min="11981" max="11981" width="0.7109375" style="3" customWidth="1"/>
    <col min="11982" max="11982" width="11" style="3"/>
    <col min="11983" max="11983" width="15.7109375" style="3" customWidth="1"/>
    <col min="11984" max="11985" width="14.85546875" style="3" customWidth="1"/>
    <col min="11986" max="11986" width="3.28515625" style="3" customWidth="1"/>
    <col min="11987" max="11987" width="20.140625" style="3" customWidth="1"/>
    <col min="11988" max="11988" width="3.28515625" style="3" customWidth="1"/>
    <col min="11989" max="11993" width="11" style="3"/>
    <col min="11994" max="12006" width="4.7109375" style="3" customWidth="1"/>
    <col min="12007" max="12216" width="11" style="3"/>
    <col min="12217" max="12217" width="0.7109375" style="3" customWidth="1"/>
    <col min="12218" max="12218" width="6.5703125" style="3" customWidth="1"/>
    <col min="12219" max="12219" width="13.5703125" style="3" customWidth="1"/>
    <col min="12220" max="12220" width="13.42578125" style="3" customWidth="1"/>
    <col min="12221" max="12222" width="12.5703125" style="3" customWidth="1"/>
    <col min="12223" max="12223" width="14.85546875" style="3" customWidth="1"/>
    <col min="12224" max="12224" width="20.7109375" style="3" customWidth="1"/>
    <col min="12225" max="12225" width="12.5703125" style="3" customWidth="1"/>
    <col min="12226" max="12226" width="13" style="3" customWidth="1"/>
    <col min="12227" max="12227" width="16" style="3" customWidth="1"/>
    <col min="12228" max="12228" width="6.42578125" style="3" customWidth="1"/>
    <col min="12229" max="12229" width="16" style="3" customWidth="1"/>
    <col min="12230" max="12230" width="2.85546875" style="3" customWidth="1"/>
    <col min="12231" max="12231" width="0.85546875" style="3" customWidth="1"/>
    <col min="12232" max="12232" width="11" style="3"/>
    <col min="12233" max="12233" width="15.42578125" style="3" customWidth="1"/>
    <col min="12234" max="12236" width="14.85546875" style="3" customWidth="1"/>
    <col min="12237" max="12237" width="0.7109375" style="3" customWidth="1"/>
    <col min="12238" max="12238" width="11" style="3"/>
    <col min="12239" max="12239" width="15.7109375" style="3" customWidth="1"/>
    <col min="12240" max="12241" width="14.85546875" style="3" customWidth="1"/>
    <col min="12242" max="12242" width="3.28515625" style="3" customWidth="1"/>
    <col min="12243" max="12243" width="20.140625" style="3" customWidth="1"/>
    <col min="12244" max="12244" width="3.28515625" style="3" customWidth="1"/>
    <col min="12245" max="12249" width="11" style="3"/>
    <col min="12250" max="12262" width="4.7109375" style="3" customWidth="1"/>
    <col min="12263" max="12472" width="11" style="3"/>
    <col min="12473" max="12473" width="0.7109375" style="3" customWidth="1"/>
    <col min="12474" max="12474" width="6.5703125" style="3" customWidth="1"/>
    <col min="12475" max="12475" width="13.5703125" style="3" customWidth="1"/>
    <col min="12476" max="12476" width="13.42578125" style="3" customWidth="1"/>
    <col min="12477" max="12478" width="12.5703125" style="3" customWidth="1"/>
    <col min="12479" max="12479" width="14.85546875" style="3" customWidth="1"/>
    <col min="12480" max="12480" width="20.7109375" style="3" customWidth="1"/>
    <col min="12481" max="12481" width="12.5703125" style="3" customWidth="1"/>
    <col min="12482" max="12482" width="13" style="3" customWidth="1"/>
    <col min="12483" max="12483" width="16" style="3" customWidth="1"/>
    <col min="12484" max="12484" width="6.42578125" style="3" customWidth="1"/>
    <col min="12485" max="12485" width="16" style="3" customWidth="1"/>
    <col min="12486" max="12486" width="2.85546875" style="3" customWidth="1"/>
    <col min="12487" max="12487" width="0.85546875" style="3" customWidth="1"/>
    <col min="12488" max="12488" width="11" style="3"/>
    <col min="12489" max="12489" width="15.42578125" style="3" customWidth="1"/>
    <col min="12490" max="12492" width="14.85546875" style="3" customWidth="1"/>
    <col min="12493" max="12493" width="0.7109375" style="3" customWidth="1"/>
    <col min="12494" max="12494" width="11" style="3"/>
    <col min="12495" max="12495" width="15.7109375" style="3" customWidth="1"/>
    <col min="12496" max="12497" width="14.85546875" style="3" customWidth="1"/>
    <col min="12498" max="12498" width="3.28515625" style="3" customWidth="1"/>
    <col min="12499" max="12499" width="20.140625" style="3" customWidth="1"/>
    <col min="12500" max="12500" width="3.28515625" style="3" customWidth="1"/>
    <col min="12501" max="12505" width="11" style="3"/>
    <col min="12506" max="12518" width="4.7109375" style="3" customWidth="1"/>
    <col min="12519" max="12728" width="11" style="3"/>
    <col min="12729" max="12729" width="0.7109375" style="3" customWidth="1"/>
    <col min="12730" max="12730" width="6.5703125" style="3" customWidth="1"/>
    <col min="12731" max="12731" width="13.5703125" style="3" customWidth="1"/>
    <col min="12732" max="12732" width="13.42578125" style="3" customWidth="1"/>
    <col min="12733" max="12734" width="12.5703125" style="3" customWidth="1"/>
    <col min="12735" max="12735" width="14.85546875" style="3" customWidth="1"/>
    <col min="12736" max="12736" width="20.7109375" style="3" customWidth="1"/>
    <col min="12737" max="12737" width="12.5703125" style="3" customWidth="1"/>
    <col min="12738" max="12738" width="13" style="3" customWidth="1"/>
    <col min="12739" max="12739" width="16" style="3" customWidth="1"/>
    <col min="12740" max="12740" width="6.42578125" style="3" customWidth="1"/>
    <col min="12741" max="12741" width="16" style="3" customWidth="1"/>
    <col min="12742" max="12742" width="2.85546875" style="3" customWidth="1"/>
    <col min="12743" max="12743" width="0.85546875" style="3" customWidth="1"/>
    <col min="12744" max="12744" width="11" style="3"/>
    <col min="12745" max="12745" width="15.42578125" style="3" customWidth="1"/>
    <col min="12746" max="12748" width="14.85546875" style="3" customWidth="1"/>
    <col min="12749" max="12749" width="0.7109375" style="3" customWidth="1"/>
    <col min="12750" max="12750" width="11" style="3"/>
    <col min="12751" max="12751" width="15.7109375" style="3" customWidth="1"/>
    <col min="12752" max="12753" width="14.85546875" style="3" customWidth="1"/>
    <col min="12754" max="12754" width="3.28515625" style="3" customWidth="1"/>
    <col min="12755" max="12755" width="20.140625" style="3" customWidth="1"/>
    <col min="12756" max="12756" width="3.28515625" style="3" customWidth="1"/>
    <col min="12757" max="12761" width="11" style="3"/>
    <col min="12762" max="12774" width="4.7109375" style="3" customWidth="1"/>
    <col min="12775" max="12984" width="11" style="3"/>
    <col min="12985" max="12985" width="0.7109375" style="3" customWidth="1"/>
    <col min="12986" max="12986" width="6.5703125" style="3" customWidth="1"/>
    <col min="12987" max="12987" width="13.5703125" style="3" customWidth="1"/>
    <col min="12988" max="12988" width="13.42578125" style="3" customWidth="1"/>
    <col min="12989" max="12990" width="12.5703125" style="3" customWidth="1"/>
    <col min="12991" max="12991" width="14.85546875" style="3" customWidth="1"/>
    <col min="12992" max="12992" width="20.7109375" style="3" customWidth="1"/>
    <col min="12993" max="12993" width="12.5703125" style="3" customWidth="1"/>
    <col min="12994" max="12994" width="13" style="3" customWidth="1"/>
    <col min="12995" max="12995" width="16" style="3" customWidth="1"/>
    <col min="12996" max="12996" width="6.42578125" style="3" customWidth="1"/>
    <col min="12997" max="12997" width="16" style="3" customWidth="1"/>
    <col min="12998" max="12998" width="2.85546875" style="3" customWidth="1"/>
    <col min="12999" max="12999" width="0.85546875" style="3" customWidth="1"/>
    <col min="13000" max="13000" width="11" style="3"/>
    <col min="13001" max="13001" width="15.42578125" style="3" customWidth="1"/>
    <col min="13002" max="13004" width="14.85546875" style="3" customWidth="1"/>
    <col min="13005" max="13005" width="0.7109375" style="3" customWidth="1"/>
    <col min="13006" max="13006" width="11" style="3"/>
    <col min="13007" max="13007" width="15.7109375" style="3" customWidth="1"/>
    <col min="13008" max="13009" width="14.85546875" style="3" customWidth="1"/>
    <col min="13010" max="13010" width="3.28515625" style="3" customWidth="1"/>
    <col min="13011" max="13011" width="20.140625" style="3" customWidth="1"/>
    <col min="13012" max="13012" width="3.28515625" style="3" customWidth="1"/>
    <col min="13013" max="13017" width="11" style="3"/>
    <col min="13018" max="13030" width="4.7109375" style="3" customWidth="1"/>
    <col min="13031" max="13240" width="11" style="3"/>
    <col min="13241" max="13241" width="0.7109375" style="3" customWidth="1"/>
    <col min="13242" max="13242" width="6.5703125" style="3" customWidth="1"/>
    <col min="13243" max="13243" width="13.5703125" style="3" customWidth="1"/>
    <col min="13244" max="13244" width="13.42578125" style="3" customWidth="1"/>
    <col min="13245" max="13246" width="12.5703125" style="3" customWidth="1"/>
    <col min="13247" max="13247" width="14.85546875" style="3" customWidth="1"/>
    <col min="13248" max="13248" width="20.7109375" style="3" customWidth="1"/>
    <col min="13249" max="13249" width="12.5703125" style="3" customWidth="1"/>
    <col min="13250" max="13250" width="13" style="3" customWidth="1"/>
    <col min="13251" max="13251" width="16" style="3" customWidth="1"/>
    <col min="13252" max="13252" width="6.42578125" style="3" customWidth="1"/>
    <col min="13253" max="13253" width="16" style="3" customWidth="1"/>
    <col min="13254" max="13254" width="2.85546875" style="3" customWidth="1"/>
    <col min="13255" max="13255" width="0.85546875" style="3" customWidth="1"/>
    <col min="13256" max="13256" width="11" style="3"/>
    <col min="13257" max="13257" width="15.42578125" style="3" customWidth="1"/>
    <col min="13258" max="13260" width="14.85546875" style="3" customWidth="1"/>
    <col min="13261" max="13261" width="0.7109375" style="3" customWidth="1"/>
    <col min="13262" max="13262" width="11" style="3"/>
    <col min="13263" max="13263" width="15.7109375" style="3" customWidth="1"/>
    <col min="13264" max="13265" width="14.85546875" style="3" customWidth="1"/>
    <col min="13266" max="13266" width="3.28515625" style="3" customWidth="1"/>
    <col min="13267" max="13267" width="20.140625" style="3" customWidth="1"/>
    <col min="13268" max="13268" width="3.28515625" style="3" customWidth="1"/>
    <col min="13269" max="13273" width="11" style="3"/>
    <col min="13274" max="13286" width="4.7109375" style="3" customWidth="1"/>
    <col min="13287" max="13496" width="11" style="3"/>
    <col min="13497" max="13497" width="0.7109375" style="3" customWidth="1"/>
    <col min="13498" max="13498" width="6.5703125" style="3" customWidth="1"/>
    <col min="13499" max="13499" width="13.5703125" style="3" customWidth="1"/>
    <col min="13500" max="13500" width="13.42578125" style="3" customWidth="1"/>
    <col min="13501" max="13502" width="12.5703125" style="3" customWidth="1"/>
    <col min="13503" max="13503" width="14.85546875" style="3" customWidth="1"/>
    <col min="13504" max="13504" width="20.7109375" style="3" customWidth="1"/>
    <col min="13505" max="13505" width="12.5703125" style="3" customWidth="1"/>
    <col min="13506" max="13506" width="13" style="3" customWidth="1"/>
    <col min="13507" max="13507" width="16" style="3" customWidth="1"/>
    <col min="13508" max="13508" width="6.42578125" style="3" customWidth="1"/>
    <col min="13509" max="13509" width="16" style="3" customWidth="1"/>
    <col min="13510" max="13510" width="2.85546875" style="3" customWidth="1"/>
    <col min="13511" max="13511" width="0.85546875" style="3" customWidth="1"/>
    <col min="13512" max="13512" width="11" style="3"/>
    <col min="13513" max="13513" width="15.42578125" style="3" customWidth="1"/>
    <col min="13514" max="13516" width="14.85546875" style="3" customWidth="1"/>
    <col min="13517" max="13517" width="0.7109375" style="3" customWidth="1"/>
    <col min="13518" max="13518" width="11" style="3"/>
    <col min="13519" max="13519" width="15.7109375" style="3" customWidth="1"/>
    <col min="13520" max="13521" width="14.85546875" style="3" customWidth="1"/>
    <col min="13522" max="13522" width="3.28515625" style="3" customWidth="1"/>
    <col min="13523" max="13523" width="20.140625" style="3" customWidth="1"/>
    <col min="13524" max="13524" width="3.28515625" style="3" customWidth="1"/>
    <col min="13525" max="13529" width="11" style="3"/>
    <col min="13530" max="13542" width="4.7109375" style="3" customWidth="1"/>
    <col min="13543" max="13752" width="11" style="3"/>
    <col min="13753" max="13753" width="0.7109375" style="3" customWidth="1"/>
    <col min="13754" max="13754" width="6.5703125" style="3" customWidth="1"/>
    <col min="13755" max="13755" width="13.5703125" style="3" customWidth="1"/>
    <col min="13756" max="13756" width="13.42578125" style="3" customWidth="1"/>
    <col min="13757" max="13758" width="12.5703125" style="3" customWidth="1"/>
    <col min="13759" max="13759" width="14.85546875" style="3" customWidth="1"/>
    <col min="13760" max="13760" width="20.7109375" style="3" customWidth="1"/>
    <col min="13761" max="13761" width="12.5703125" style="3" customWidth="1"/>
    <col min="13762" max="13762" width="13" style="3" customWidth="1"/>
    <col min="13763" max="13763" width="16" style="3" customWidth="1"/>
    <col min="13764" max="13764" width="6.42578125" style="3" customWidth="1"/>
    <col min="13765" max="13765" width="16" style="3" customWidth="1"/>
    <col min="13766" max="13766" width="2.85546875" style="3" customWidth="1"/>
    <col min="13767" max="13767" width="0.85546875" style="3" customWidth="1"/>
    <col min="13768" max="13768" width="11" style="3"/>
    <col min="13769" max="13769" width="15.42578125" style="3" customWidth="1"/>
    <col min="13770" max="13772" width="14.85546875" style="3" customWidth="1"/>
    <col min="13773" max="13773" width="0.7109375" style="3" customWidth="1"/>
    <col min="13774" max="13774" width="11" style="3"/>
    <col min="13775" max="13775" width="15.7109375" style="3" customWidth="1"/>
    <col min="13776" max="13777" width="14.85546875" style="3" customWidth="1"/>
    <col min="13778" max="13778" width="3.28515625" style="3" customWidth="1"/>
    <col min="13779" max="13779" width="20.140625" style="3" customWidth="1"/>
    <col min="13780" max="13780" width="3.28515625" style="3" customWidth="1"/>
    <col min="13781" max="13785" width="11" style="3"/>
    <col min="13786" max="13798" width="4.7109375" style="3" customWidth="1"/>
    <col min="13799" max="14008" width="11" style="3"/>
    <col min="14009" max="14009" width="0.7109375" style="3" customWidth="1"/>
    <col min="14010" max="14010" width="6.5703125" style="3" customWidth="1"/>
    <col min="14011" max="14011" width="13.5703125" style="3" customWidth="1"/>
    <col min="14012" max="14012" width="13.42578125" style="3" customWidth="1"/>
    <col min="14013" max="14014" width="12.5703125" style="3" customWidth="1"/>
    <col min="14015" max="14015" width="14.85546875" style="3" customWidth="1"/>
    <col min="14016" max="14016" width="20.7109375" style="3" customWidth="1"/>
    <col min="14017" max="14017" width="12.5703125" style="3" customWidth="1"/>
    <col min="14018" max="14018" width="13" style="3" customWidth="1"/>
    <col min="14019" max="14019" width="16" style="3" customWidth="1"/>
    <col min="14020" max="14020" width="6.42578125" style="3" customWidth="1"/>
    <col min="14021" max="14021" width="16" style="3" customWidth="1"/>
    <col min="14022" max="14022" width="2.85546875" style="3" customWidth="1"/>
    <col min="14023" max="14023" width="0.85546875" style="3" customWidth="1"/>
    <col min="14024" max="14024" width="11" style="3"/>
    <col min="14025" max="14025" width="15.42578125" style="3" customWidth="1"/>
    <col min="14026" max="14028" width="14.85546875" style="3" customWidth="1"/>
    <col min="14029" max="14029" width="0.7109375" style="3" customWidth="1"/>
    <col min="14030" max="14030" width="11" style="3"/>
    <col min="14031" max="14031" width="15.7109375" style="3" customWidth="1"/>
    <col min="14032" max="14033" width="14.85546875" style="3" customWidth="1"/>
    <col min="14034" max="14034" width="3.28515625" style="3" customWidth="1"/>
    <col min="14035" max="14035" width="20.140625" style="3" customWidth="1"/>
    <col min="14036" max="14036" width="3.28515625" style="3" customWidth="1"/>
    <col min="14037" max="14041" width="11" style="3"/>
    <col min="14042" max="14054" width="4.7109375" style="3" customWidth="1"/>
    <col min="14055" max="14264" width="11" style="3"/>
    <col min="14265" max="14265" width="0.7109375" style="3" customWidth="1"/>
    <col min="14266" max="14266" width="6.5703125" style="3" customWidth="1"/>
    <col min="14267" max="14267" width="13.5703125" style="3" customWidth="1"/>
    <col min="14268" max="14268" width="13.42578125" style="3" customWidth="1"/>
    <col min="14269" max="14270" width="12.5703125" style="3" customWidth="1"/>
    <col min="14271" max="14271" width="14.85546875" style="3" customWidth="1"/>
    <col min="14272" max="14272" width="20.7109375" style="3" customWidth="1"/>
    <col min="14273" max="14273" width="12.5703125" style="3" customWidth="1"/>
    <col min="14274" max="14274" width="13" style="3" customWidth="1"/>
    <col min="14275" max="14275" width="16" style="3" customWidth="1"/>
    <col min="14276" max="14276" width="6.42578125" style="3" customWidth="1"/>
    <col min="14277" max="14277" width="16" style="3" customWidth="1"/>
    <col min="14278" max="14278" width="2.85546875" style="3" customWidth="1"/>
    <col min="14279" max="14279" width="0.85546875" style="3" customWidth="1"/>
    <col min="14280" max="14280" width="11" style="3"/>
    <col min="14281" max="14281" width="15.42578125" style="3" customWidth="1"/>
    <col min="14282" max="14284" width="14.85546875" style="3" customWidth="1"/>
    <col min="14285" max="14285" width="0.7109375" style="3" customWidth="1"/>
    <col min="14286" max="14286" width="11" style="3"/>
    <col min="14287" max="14287" width="15.7109375" style="3" customWidth="1"/>
    <col min="14288" max="14289" width="14.85546875" style="3" customWidth="1"/>
    <col min="14290" max="14290" width="3.28515625" style="3" customWidth="1"/>
    <col min="14291" max="14291" width="20.140625" style="3" customWidth="1"/>
    <col min="14292" max="14292" width="3.28515625" style="3" customWidth="1"/>
    <col min="14293" max="14297" width="11" style="3"/>
    <col min="14298" max="14310" width="4.7109375" style="3" customWidth="1"/>
    <col min="14311" max="14520" width="11" style="3"/>
    <col min="14521" max="14521" width="0.7109375" style="3" customWidth="1"/>
    <col min="14522" max="14522" width="6.5703125" style="3" customWidth="1"/>
    <col min="14523" max="14523" width="13.5703125" style="3" customWidth="1"/>
    <col min="14524" max="14524" width="13.42578125" style="3" customWidth="1"/>
    <col min="14525" max="14526" width="12.5703125" style="3" customWidth="1"/>
    <col min="14527" max="14527" width="14.85546875" style="3" customWidth="1"/>
    <col min="14528" max="14528" width="20.7109375" style="3" customWidth="1"/>
    <col min="14529" max="14529" width="12.5703125" style="3" customWidth="1"/>
    <col min="14530" max="14530" width="13" style="3" customWidth="1"/>
    <col min="14531" max="14531" width="16" style="3" customWidth="1"/>
    <col min="14532" max="14532" width="6.42578125" style="3" customWidth="1"/>
    <col min="14533" max="14533" width="16" style="3" customWidth="1"/>
    <col min="14534" max="14534" width="2.85546875" style="3" customWidth="1"/>
    <col min="14535" max="14535" width="0.85546875" style="3" customWidth="1"/>
    <col min="14536" max="14536" width="11" style="3"/>
    <col min="14537" max="14537" width="15.42578125" style="3" customWidth="1"/>
    <col min="14538" max="14540" width="14.85546875" style="3" customWidth="1"/>
    <col min="14541" max="14541" width="0.7109375" style="3" customWidth="1"/>
    <col min="14542" max="14542" width="11" style="3"/>
    <col min="14543" max="14543" width="15.7109375" style="3" customWidth="1"/>
    <col min="14544" max="14545" width="14.85546875" style="3" customWidth="1"/>
    <col min="14546" max="14546" width="3.28515625" style="3" customWidth="1"/>
    <col min="14547" max="14547" width="20.140625" style="3" customWidth="1"/>
    <col min="14548" max="14548" width="3.28515625" style="3" customWidth="1"/>
    <col min="14549" max="14553" width="11" style="3"/>
    <col min="14554" max="14566" width="4.7109375" style="3" customWidth="1"/>
    <col min="14567" max="14776" width="11" style="3"/>
    <col min="14777" max="14777" width="0.7109375" style="3" customWidth="1"/>
    <col min="14778" max="14778" width="6.5703125" style="3" customWidth="1"/>
    <col min="14779" max="14779" width="13.5703125" style="3" customWidth="1"/>
    <col min="14780" max="14780" width="13.42578125" style="3" customWidth="1"/>
    <col min="14781" max="14782" width="12.5703125" style="3" customWidth="1"/>
    <col min="14783" max="14783" width="14.85546875" style="3" customWidth="1"/>
    <col min="14784" max="14784" width="20.7109375" style="3" customWidth="1"/>
    <col min="14785" max="14785" width="12.5703125" style="3" customWidth="1"/>
    <col min="14786" max="14786" width="13" style="3" customWidth="1"/>
    <col min="14787" max="14787" width="16" style="3" customWidth="1"/>
    <col min="14788" max="14788" width="6.42578125" style="3" customWidth="1"/>
    <col min="14789" max="14789" width="16" style="3" customWidth="1"/>
    <col min="14790" max="14790" width="2.85546875" style="3" customWidth="1"/>
    <col min="14791" max="14791" width="0.85546875" style="3" customWidth="1"/>
    <col min="14792" max="14792" width="11" style="3"/>
    <col min="14793" max="14793" width="15.42578125" style="3" customWidth="1"/>
    <col min="14794" max="14796" width="14.85546875" style="3" customWidth="1"/>
    <col min="14797" max="14797" width="0.7109375" style="3" customWidth="1"/>
    <col min="14798" max="14798" width="11" style="3"/>
    <col min="14799" max="14799" width="15.7109375" style="3" customWidth="1"/>
    <col min="14800" max="14801" width="14.85546875" style="3" customWidth="1"/>
    <col min="14802" max="14802" width="3.28515625" style="3" customWidth="1"/>
    <col min="14803" max="14803" width="20.140625" style="3" customWidth="1"/>
    <col min="14804" max="14804" width="3.28515625" style="3" customWidth="1"/>
    <col min="14805" max="14809" width="11" style="3"/>
    <col min="14810" max="14822" width="4.7109375" style="3" customWidth="1"/>
    <col min="14823" max="15032" width="11" style="3"/>
    <col min="15033" max="15033" width="0.7109375" style="3" customWidth="1"/>
    <col min="15034" max="15034" width="6.5703125" style="3" customWidth="1"/>
    <col min="15035" max="15035" width="13.5703125" style="3" customWidth="1"/>
    <col min="15036" max="15036" width="13.42578125" style="3" customWidth="1"/>
    <col min="15037" max="15038" width="12.5703125" style="3" customWidth="1"/>
    <col min="15039" max="15039" width="14.85546875" style="3" customWidth="1"/>
    <col min="15040" max="15040" width="20.7109375" style="3" customWidth="1"/>
    <col min="15041" max="15041" width="12.5703125" style="3" customWidth="1"/>
    <col min="15042" max="15042" width="13" style="3" customWidth="1"/>
    <col min="15043" max="15043" width="16" style="3" customWidth="1"/>
    <col min="15044" max="15044" width="6.42578125" style="3" customWidth="1"/>
    <col min="15045" max="15045" width="16" style="3" customWidth="1"/>
    <col min="15046" max="15046" width="2.85546875" style="3" customWidth="1"/>
    <col min="15047" max="15047" width="0.85546875" style="3" customWidth="1"/>
    <col min="15048" max="15048" width="11" style="3"/>
    <col min="15049" max="15049" width="15.42578125" style="3" customWidth="1"/>
    <col min="15050" max="15052" width="14.85546875" style="3" customWidth="1"/>
    <col min="15053" max="15053" width="0.7109375" style="3" customWidth="1"/>
    <col min="15054" max="15054" width="11" style="3"/>
    <col min="15055" max="15055" width="15.7109375" style="3" customWidth="1"/>
    <col min="15056" max="15057" width="14.85546875" style="3" customWidth="1"/>
    <col min="15058" max="15058" width="3.28515625" style="3" customWidth="1"/>
    <col min="15059" max="15059" width="20.140625" style="3" customWidth="1"/>
    <col min="15060" max="15060" width="3.28515625" style="3" customWidth="1"/>
    <col min="15061" max="15065" width="11" style="3"/>
    <col min="15066" max="15078" width="4.7109375" style="3" customWidth="1"/>
    <col min="15079" max="15288" width="11" style="3"/>
    <col min="15289" max="15289" width="0.7109375" style="3" customWidth="1"/>
    <col min="15290" max="15290" width="6.5703125" style="3" customWidth="1"/>
    <col min="15291" max="15291" width="13.5703125" style="3" customWidth="1"/>
    <col min="15292" max="15292" width="13.42578125" style="3" customWidth="1"/>
    <col min="15293" max="15294" width="12.5703125" style="3" customWidth="1"/>
    <col min="15295" max="15295" width="14.85546875" style="3" customWidth="1"/>
    <col min="15296" max="15296" width="20.7109375" style="3" customWidth="1"/>
    <col min="15297" max="15297" width="12.5703125" style="3" customWidth="1"/>
    <col min="15298" max="15298" width="13" style="3" customWidth="1"/>
    <col min="15299" max="15299" width="16" style="3" customWidth="1"/>
    <col min="15300" max="15300" width="6.42578125" style="3" customWidth="1"/>
    <col min="15301" max="15301" width="16" style="3" customWidth="1"/>
    <col min="15302" max="15302" width="2.85546875" style="3" customWidth="1"/>
    <col min="15303" max="15303" width="0.85546875" style="3" customWidth="1"/>
    <col min="15304" max="15304" width="11" style="3"/>
    <col min="15305" max="15305" width="15.42578125" style="3" customWidth="1"/>
    <col min="15306" max="15308" width="14.85546875" style="3" customWidth="1"/>
    <col min="15309" max="15309" width="0.7109375" style="3" customWidth="1"/>
    <col min="15310" max="15310" width="11" style="3"/>
    <col min="15311" max="15311" width="15.7109375" style="3" customWidth="1"/>
    <col min="15312" max="15313" width="14.85546875" style="3" customWidth="1"/>
    <col min="15314" max="15314" width="3.28515625" style="3" customWidth="1"/>
    <col min="15315" max="15315" width="20.140625" style="3" customWidth="1"/>
    <col min="15316" max="15316" width="3.28515625" style="3" customWidth="1"/>
    <col min="15317" max="15321" width="11" style="3"/>
    <col min="15322" max="15334" width="4.7109375" style="3" customWidth="1"/>
    <col min="15335" max="15544" width="11" style="3"/>
    <col min="15545" max="15545" width="0.7109375" style="3" customWidth="1"/>
    <col min="15546" max="15546" width="6.5703125" style="3" customWidth="1"/>
    <col min="15547" max="15547" width="13.5703125" style="3" customWidth="1"/>
    <col min="15548" max="15548" width="13.42578125" style="3" customWidth="1"/>
    <col min="15549" max="15550" width="12.5703125" style="3" customWidth="1"/>
    <col min="15551" max="15551" width="14.85546875" style="3" customWidth="1"/>
    <col min="15552" max="15552" width="20.7109375" style="3" customWidth="1"/>
    <col min="15553" max="15553" width="12.5703125" style="3" customWidth="1"/>
    <col min="15554" max="15554" width="13" style="3" customWidth="1"/>
    <col min="15555" max="15555" width="16" style="3" customWidth="1"/>
    <col min="15556" max="15556" width="6.42578125" style="3" customWidth="1"/>
    <col min="15557" max="15557" width="16" style="3" customWidth="1"/>
    <col min="15558" max="15558" width="2.85546875" style="3" customWidth="1"/>
    <col min="15559" max="15559" width="0.85546875" style="3" customWidth="1"/>
    <col min="15560" max="15560" width="11" style="3"/>
    <col min="15561" max="15561" width="15.42578125" style="3" customWidth="1"/>
    <col min="15562" max="15564" width="14.85546875" style="3" customWidth="1"/>
    <col min="15565" max="15565" width="0.7109375" style="3" customWidth="1"/>
    <col min="15566" max="15566" width="11" style="3"/>
    <col min="15567" max="15567" width="15.7109375" style="3" customWidth="1"/>
    <col min="15568" max="15569" width="14.85546875" style="3" customWidth="1"/>
    <col min="15570" max="15570" width="3.28515625" style="3" customWidth="1"/>
    <col min="15571" max="15571" width="20.140625" style="3" customWidth="1"/>
    <col min="15572" max="15572" width="3.28515625" style="3" customWidth="1"/>
    <col min="15573" max="15577" width="11" style="3"/>
    <col min="15578" max="15590" width="4.7109375" style="3" customWidth="1"/>
    <col min="15591" max="15800" width="11" style="3"/>
    <col min="15801" max="15801" width="0.7109375" style="3" customWidth="1"/>
    <col min="15802" max="15802" width="6.5703125" style="3" customWidth="1"/>
    <col min="15803" max="15803" width="13.5703125" style="3" customWidth="1"/>
    <col min="15804" max="15804" width="13.42578125" style="3" customWidth="1"/>
    <col min="15805" max="15806" width="12.5703125" style="3" customWidth="1"/>
    <col min="15807" max="15807" width="14.85546875" style="3" customWidth="1"/>
    <col min="15808" max="15808" width="20.7109375" style="3" customWidth="1"/>
    <col min="15809" max="15809" width="12.5703125" style="3" customWidth="1"/>
    <col min="15810" max="15810" width="13" style="3" customWidth="1"/>
    <col min="15811" max="15811" width="16" style="3" customWidth="1"/>
    <col min="15812" max="15812" width="6.42578125" style="3" customWidth="1"/>
    <col min="15813" max="15813" width="16" style="3" customWidth="1"/>
    <col min="15814" max="15814" width="2.85546875" style="3" customWidth="1"/>
    <col min="15815" max="15815" width="0.85546875" style="3" customWidth="1"/>
    <col min="15816" max="15816" width="11" style="3"/>
    <col min="15817" max="15817" width="15.42578125" style="3" customWidth="1"/>
    <col min="15818" max="15820" width="14.85546875" style="3" customWidth="1"/>
    <col min="15821" max="15821" width="0.7109375" style="3" customWidth="1"/>
    <col min="15822" max="15822" width="11" style="3"/>
    <col min="15823" max="15823" width="15.7109375" style="3" customWidth="1"/>
    <col min="15824" max="15825" width="14.85546875" style="3" customWidth="1"/>
    <col min="15826" max="15826" width="3.28515625" style="3" customWidth="1"/>
    <col min="15827" max="15827" width="20.140625" style="3" customWidth="1"/>
    <col min="15828" max="15828" width="3.28515625" style="3" customWidth="1"/>
    <col min="15829" max="15833" width="11" style="3"/>
    <col min="15834" max="15846" width="4.7109375" style="3" customWidth="1"/>
    <col min="15847" max="16056" width="11" style="3"/>
    <col min="16057" max="16057" width="0.7109375" style="3" customWidth="1"/>
    <col min="16058" max="16058" width="6.5703125" style="3" customWidth="1"/>
    <col min="16059" max="16059" width="13.5703125" style="3" customWidth="1"/>
    <col min="16060" max="16060" width="13.42578125" style="3" customWidth="1"/>
    <col min="16061" max="16062" width="12.5703125" style="3" customWidth="1"/>
    <col min="16063" max="16063" width="14.85546875" style="3" customWidth="1"/>
    <col min="16064" max="16064" width="20.7109375" style="3" customWidth="1"/>
    <col min="16065" max="16065" width="12.5703125" style="3" customWidth="1"/>
    <col min="16066" max="16066" width="13" style="3" customWidth="1"/>
    <col min="16067" max="16067" width="16" style="3" customWidth="1"/>
    <col min="16068" max="16068" width="6.42578125" style="3" customWidth="1"/>
    <col min="16069" max="16069" width="16" style="3" customWidth="1"/>
    <col min="16070" max="16070" width="2.85546875" style="3" customWidth="1"/>
    <col min="16071" max="16071" width="0.85546875" style="3" customWidth="1"/>
    <col min="16072" max="16072" width="11" style="3"/>
    <col min="16073" max="16073" width="15.42578125" style="3" customWidth="1"/>
    <col min="16074" max="16076" width="14.85546875" style="3" customWidth="1"/>
    <col min="16077" max="16077" width="0.7109375" style="3" customWidth="1"/>
    <col min="16078" max="16078" width="11" style="3"/>
    <col min="16079" max="16079" width="15.7109375" style="3" customWidth="1"/>
    <col min="16080" max="16081" width="14.85546875" style="3" customWidth="1"/>
    <col min="16082" max="16082" width="3.28515625" style="3" customWidth="1"/>
    <col min="16083" max="16083" width="20.140625" style="3" customWidth="1"/>
    <col min="16084" max="16084" width="3.28515625" style="3" customWidth="1"/>
    <col min="16085" max="16089" width="11" style="3"/>
    <col min="16090" max="16102" width="4.7109375" style="3" customWidth="1"/>
    <col min="16103" max="16384" width="11" style="3"/>
  </cols>
  <sheetData>
    <row r="1" spans="1:28" s="1" customFormat="1" ht="19.5" customHeight="1">
      <c r="A1" s="236"/>
      <c r="B1" s="237"/>
      <c r="C1" s="179" t="s">
        <v>0</v>
      </c>
      <c r="D1" s="179"/>
      <c r="E1" s="179"/>
      <c r="F1" s="179"/>
      <c r="G1" s="179"/>
      <c r="H1" s="179"/>
      <c r="I1" s="179"/>
      <c r="J1" s="179"/>
      <c r="K1" s="180" t="s">
        <v>1</v>
      </c>
      <c r="L1" s="181"/>
      <c r="O1" s="80"/>
      <c r="P1" s="80"/>
      <c r="Q1" s="80"/>
      <c r="R1" s="80"/>
      <c r="S1" s="80"/>
      <c r="T1" s="80"/>
      <c r="U1" s="80"/>
      <c r="V1" s="80"/>
      <c r="W1" s="80"/>
      <c r="X1" s="80"/>
      <c r="Y1" s="80"/>
      <c r="Z1" s="80"/>
      <c r="AA1" s="80"/>
    </row>
    <row r="2" spans="1:28" s="1" customFormat="1" ht="19.5" customHeight="1">
      <c r="A2" s="238"/>
      <c r="B2" s="186"/>
      <c r="C2" s="241" t="s">
        <v>2</v>
      </c>
      <c r="D2" s="241"/>
      <c r="E2" s="241"/>
      <c r="F2" s="241"/>
      <c r="G2" s="241"/>
      <c r="H2" s="241"/>
      <c r="I2" s="241"/>
      <c r="J2" s="241"/>
      <c r="K2" s="182" t="s">
        <v>89</v>
      </c>
      <c r="L2" s="183"/>
      <c r="O2" s="80"/>
      <c r="P2" s="80"/>
      <c r="Q2" s="80"/>
      <c r="R2" s="80"/>
      <c r="S2" s="80"/>
      <c r="T2" s="80"/>
      <c r="U2" s="80"/>
      <c r="V2" s="80"/>
      <c r="W2" s="80"/>
      <c r="X2" s="80"/>
      <c r="Y2" s="80"/>
      <c r="Z2" s="80"/>
      <c r="AA2" s="80"/>
    </row>
    <row r="3" spans="1:28" s="1" customFormat="1" ht="19.5" customHeight="1">
      <c r="A3" s="238"/>
      <c r="B3" s="186"/>
      <c r="C3" s="241"/>
      <c r="D3" s="241"/>
      <c r="E3" s="241"/>
      <c r="F3" s="241"/>
      <c r="G3" s="241"/>
      <c r="H3" s="241"/>
      <c r="I3" s="241"/>
      <c r="J3" s="241"/>
      <c r="K3" s="182" t="s">
        <v>3</v>
      </c>
      <c r="L3" s="183"/>
      <c r="Q3" s="132"/>
      <c r="R3" s="80"/>
      <c r="T3" s="132" t="s">
        <v>4</v>
      </c>
      <c r="U3" s="132"/>
      <c r="V3" s="80"/>
      <c r="W3" s="80"/>
      <c r="X3" s="80"/>
      <c r="Y3" s="80"/>
      <c r="Z3" s="80"/>
      <c r="AA3" s="80"/>
    </row>
    <row r="4" spans="1:28" s="1" customFormat="1" ht="19.5" customHeight="1" thickBot="1">
      <c r="A4" s="239"/>
      <c r="B4" s="240"/>
      <c r="C4" s="242"/>
      <c r="D4" s="242"/>
      <c r="E4" s="242"/>
      <c r="F4" s="242"/>
      <c r="G4" s="242"/>
      <c r="H4" s="242"/>
      <c r="I4" s="242"/>
      <c r="J4" s="242"/>
      <c r="K4" s="184" t="s">
        <v>88</v>
      </c>
      <c r="L4" s="185"/>
      <c r="Q4" s="132"/>
      <c r="R4" s="80"/>
      <c r="S4" s="132"/>
      <c r="T4" s="132"/>
      <c r="U4" s="132"/>
      <c r="V4" s="80"/>
      <c r="W4" s="80"/>
      <c r="X4" s="80"/>
      <c r="Y4" s="80"/>
      <c r="Z4" s="80"/>
      <c r="AA4" s="80"/>
    </row>
    <row r="5" spans="1:28" s="1" customFormat="1" ht="3.95" customHeight="1" thickBot="1">
      <c r="A5" s="5"/>
      <c r="B5" s="186"/>
      <c r="C5" s="186"/>
      <c r="D5" s="186"/>
      <c r="E5" s="186"/>
      <c r="F5" s="186"/>
      <c r="G5" s="186"/>
      <c r="H5" s="186"/>
      <c r="I5" s="186"/>
      <c r="J5" s="186"/>
      <c r="K5" s="186"/>
      <c r="L5" s="81"/>
      <c r="Q5" s="132"/>
      <c r="R5" s="132"/>
      <c r="T5" s="132"/>
      <c r="U5" s="132"/>
      <c r="V5" s="80"/>
      <c r="W5" s="80"/>
      <c r="X5" s="80"/>
      <c r="Y5" s="80"/>
      <c r="Z5" s="80"/>
      <c r="AA5" s="80"/>
      <c r="AB5" s="80"/>
    </row>
    <row r="6" spans="1:28" s="1" customFormat="1" ht="22.5" customHeight="1">
      <c r="A6" s="6"/>
      <c r="B6" s="7" t="s">
        <v>5</v>
      </c>
      <c r="C6" s="273" t="s">
        <v>91</v>
      </c>
      <c r="D6" s="273"/>
      <c r="E6" s="273"/>
      <c r="F6" s="273"/>
      <c r="G6" s="273"/>
      <c r="H6" s="188" t="s">
        <v>6</v>
      </c>
      <c r="I6" s="188"/>
      <c r="J6" s="189">
        <v>45884</v>
      </c>
      <c r="K6" s="189"/>
      <c r="L6" s="190"/>
      <c r="Q6" s="80"/>
      <c r="R6" s="80"/>
      <c r="T6" s="133" t="s">
        <v>7</v>
      </c>
      <c r="U6" s="80"/>
      <c r="V6" s="80"/>
      <c r="W6" s="80"/>
      <c r="X6" s="80"/>
      <c r="Y6" s="80"/>
      <c r="Z6" s="80"/>
      <c r="AA6" s="80"/>
      <c r="AB6" s="80"/>
    </row>
    <row r="7" spans="1:28" s="1" customFormat="1" ht="24.75" customHeight="1">
      <c r="A7" s="5"/>
      <c r="B7" s="9" t="s">
        <v>8</v>
      </c>
      <c r="C7" s="274" t="s">
        <v>92</v>
      </c>
      <c r="D7" s="274"/>
      <c r="E7" s="274"/>
      <c r="F7" s="274"/>
      <c r="G7" s="274"/>
      <c r="H7" s="192" t="s">
        <v>9</v>
      </c>
      <c r="I7" s="192"/>
      <c r="J7" s="193">
        <v>45922</v>
      </c>
      <c r="K7" s="193"/>
      <c r="L7" s="194"/>
      <c r="Q7" s="80"/>
      <c r="R7" s="80"/>
      <c r="T7" s="133" t="s">
        <v>10</v>
      </c>
      <c r="U7" s="80"/>
      <c r="V7" s="80"/>
      <c r="W7" s="80"/>
      <c r="X7" s="80"/>
      <c r="Y7" s="80"/>
      <c r="Z7" s="80"/>
      <c r="AA7" s="80"/>
      <c r="AB7" s="80"/>
    </row>
    <row r="8" spans="1:28" s="1" customFormat="1" ht="22.5" customHeight="1">
      <c r="A8" s="5"/>
      <c r="B8" s="9" t="s">
        <v>11</v>
      </c>
      <c r="C8" s="271" t="s">
        <v>12</v>
      </c>
      <c r="D8" s="272"/>
      <c r="E8" s="272"/>
      <c r="F8" s="272"/>
      <c r="G8" s="272"/>
      <c r="H8" s="192" t="s">
        <v>13</v>
      </c>
      <c r="I8" s="192"/>
      <c r="J8" s="193">
        <v>45932</v>
      </c>
      <c r="K8" s="193"/>
      <c r="L8" s="194"/>
      <c r="Q8" s="80"/>
      <c r="R8" s="80"/>
      <c r="S8" s="1">
        <f>17-2.57</f>
        <v>14.43</v>
      </c>
      <c r="T8" s="133" t="s">
        <v>14</v>
      </c>
      <c r="U8" s="80"/>
      <c r="V8" s="80"/>
      <c r="W8" s="80"/>
      <c r="X8" s="80"/>
      <c r="Y8" s="80"/>
      <c r="Z8" s="80"/>
      <c r="AA8" s="80"/>
      <c r="AB8" s="80"/>
    </row>
    <row r="9" spans="1:28" s="1" customFormat="1" ht="22.5" customHeight="1">
      <c r="A9" s="5"/>
      <c r="B9" s="9" t="s">
        <v>15</v>
      </c>
      <c r="C9" s="202" t="s">
        <v>93</v>
      </c>
      <c r="D9" s="202"/>
      <c r="E9" s="202"/>
      <c r="F9" s="202"/>
      <c r="G9" s="202"/>
      <c r="H9" s="192" t="s">
        <v>16</v>
      </c>
      <c r="I9" s="192"/>
      <c r="J9" s="82" t="s">
        <v>17</v>
      </c>
      <c r="K9" s="83" t="s">
        <v>90</v>
      </c>
      <c r="L9" s="84" t="s">
        <v>85</v>
      </c>
      <c r="Q9" s="80"/>
      <c r="R9" s="80"/>
      <c r="T9" s="133" t="s">
        <v>18</v>
      </c>
      <c r="U9" s="80"/>
      <c r="V9" s="80"/>
      <c r="W9" s="80"/>
      <c r="X9" s="80"/>
      <c r="Y9" s="80"/>
      <c r="Z9" s="80"/>
      <c r="AA9" s="80"/>
      <c r="AB9" s="80"/>
    </row>
    <row r="10" spans="1:28" s="1" customFormat="1" ht="22.5" customHeight="1">
      <c r="A10" s="5"/>
      <c r="B10" s="10" t="s">
        <v>19</v>
      </c>
      <c r="C10" s="202" t="s">
        <v>20</v>
      </c>
      <c r="D10" s="202"/>
      <c r="E10" s="202"/>
      <c r="F10" s="202"/>
      <c r="G10" s="202"/>
      <c r="H10" s="196" t="s">
        <v>21</v>
      </c>
      <c r="I10" s="196"/>
      <c r="J10" s="197" t="str">
        <f>CONCATENATE(K9,," ",L9,"-",D12,"-",F12)</f>
        <v>056 25-:ESTAMBUL AP1-3</v>
      </c>
      <c r="K10" s="197"/>
      <c r="L10" s="198"/>
      <c r="Q10" s="80"/>
      <c r="R10" s="80"/>
      <c r="T10" s="133" t="s">
        <v>22</v>
      </c>
      <c r="U10" s="80"/>
      <c r="V10" s="80"/>
      <c r="W10" s="80"/>
      <c r="X10" s="80"/>
      <c r="Y10" s="80"/>
      <c r="Z10" s="80"/>
      <c r="AA10" s="80"/>
      <c r="AB10" s="80"/>
    </row>
    <row r="11" spans="1:28" s="1" customFormat="1" ht="3.95" customHeight="1" thickBot="1">
      <c r="A11" s="11"/>
      <c r="B11" s="199"/>
      <c r="C11" s="199"/>
      <c r="D11" s="199"/>
      <c r="E11" s="199"/>
      <c r="F11" s="199"/>
      <c r="G11" s="199"/>
      <c r="H11" s="199"/>
      <c r="I11" s="199"/>
      <c r="J11" s="199"/>
      <c r="K11" s="199"/>
      <c r="L11" s="85"/>
      <c r="Q11" s="80"/>
      <c r="R11" s="80"/>
      <c r="T11" s="133"/>
      <c r="U11" s="80"/>
      <c r="V11" s="80"/>
      <c r="W11" s="80"/>
      <c r="X11" s="80"/>
      <c r="Y11" s="80"/>
      <c r="Z11" s="80"/>
      <c r="AA11" s="80"/>
      <c r="AB11" s="80"/>
    </row>
    <row r="12" spans="1:28" s="1" customFormat="1" ht="22.5" customHeight="1">
      <c r="A12" s="6"/>
      <c r="B12" s="7" t="s">
        <v>23</v>
      </c>
      <c r="C12" s="12" t="s">
        <v>10</v>
      </c>
      <c r="D12" s="13" t="s">
        <v>100</v>
      </c>
      <c r="E12" s="14" t="s">
        <v>24</v>
      </c>
      <c r="F12" s="200">
        <v>3</v>
      </c>
      <c r="G12" s="200"/>
      <c r="H12" s="201" t="s">
        <v>25</v>
      </c>
      <c r="I12" s="201"/>
      <c r="J12" s="86">
        <v>1.2</v>
      </c>
      <c r="K12" s="87" t="s">
        <v>26</v>
      </c>
      <c r="L12" s="88">
        <v>1.5</v>
      </c>
      <c r="Q12" s="80"/>
      <c r="R12" s="80"/>
      <c r="T12" s="133"/>
      <c r="U12" s="80"/>
      <c r="V12" s="80"/>
      <c r="W12" s="80"/>
      <c r="X12" s="80"/>
      <c r="Y12" s="80"/>
      <c r="Z12" s="80"/>
      <c r="AA12" s="80"/>
      <c r="AB12" s="80"/>
    </row>
    <row r="13" spans="1:28" s="1" customFormat="1" ht="22.5" customHeight="1">
      <c r="A13" s="5"/>
      <c r="B13" s="9" t="s">
        <v>27</v>
      </c>
      <c r="C13" s="202" t="s">
        <v>111</v>
      </c>
      <c r="D13" s="202"/>
      <c r="E13" s="202"/>
      <c r="F13" s="202"/>
      <c r="G13" s="202"/>
      <c r="H13" s="202"/>
      <c r="I13" s="202"/>
      <c r="J13" s="202"/>
      <c r="K13" s="202"/>
      <c r="L13" s="203"/>
      <c r="O13" s="1">
        <f>-MOD1</f>
        <v>0</v>
      </c>
      <c r="Q13" s="80"/>
      <c r="R13" s="80"/>
      <c r="T13" s="133"/>
      <c r="U13" s="80"/>
      <c r="V13" s="80"/>
      <c r="W13" s="80"/>
      <c r="X13" s="80"/>
      <c r="Y13" s="80"/>
      <c r="Z13" s="80"/>
      <c r="AA13" s="80"/>
      <c r="AB13" s="80"/>
    </row>
    <row r="14" spans="1:28" s="1" customFormat="1" ht="6.95" customHeight="1" thickBot="1">
      <c r="A14" s="11"/>
      <c r="B14" s="15"/>
      <c r="C14" s="16"/>
      <c r="D14" s="16"/>
      <c r="E14" s="16"/>
      <c r="F14" s="16"/>
      <c r="G14" s="16"/>
      <c r="H14" s="16"/>
      <c r="I14" s="16"/>
      <c r="J14" s="16"/>
      <c r="K14" s="16"/>
      <c r="L14" s="89"/>
      <c r="P14" s="80"/>
      <c r="Q14" s="80"/>
      <c r="R14" s="80"/>
      <c r="S14" s="80"/>
      <c r="T14" s="80"/>
      <c r="U14" s="80"/>
      <c r="V14" s="80"/>
      <c r="W14" s="80"/>
      <c r="X14" s="80"/>
      <c r="Y14" s="80"/>
      <c r="Z14" s="80"/>
      <c r="AA14" s="80"/>
      <c r="AB14" s="80"/>
    </row>
    <row r="15" spans="1:28" ht="14.25" customHeight="1" thickBot="1">
      <c r="A15" s="17"/>
      <c r="B15" s="18"/>
      <c r="C15" s="18"/>
      <c r="D15" s="18"/>
      <c r="E15" s="18"/>
      <c r="F15" s="18"/>
      <c r="G15" s="18"/>
      <c r="H15" s="18"/>
      <c r="I15" s="18"/>
      <c r="J15" s="18"/>
      <c r="K15" s="18"/>
      <c r="L15" s="90"/>
    </row>
    <row r="16" spans="1:28" ht="22.5" customHeight="1" thickBot="1">
      <c r="A16" s="204"/>
      <c r="B16" s="205"/>
      <c r="C16" s="205"/>
      <c r="D16" s="205"/>
      <c r="E16" s="205"/>
      <c r="F16" s="205"/>
      <c r="G16" s="205"/>
      <c r="H16" s="205"/>
      <c r="I16" s="205"/>
      <c r="J16" s="205"/>
      <c r="K16" s="205"/>
      <c r="L16" s="206"/>
    </row>
    <row r="17" spans="1:19" ht="22.5" customHeight="1" thickBot="1">
      <c r="A17" s="17"/>
      <c r="B17" s="18"/>
      <c r="C17" s="18"/>
      <c r="D17" s="18"/>
      <c r="E17" s="18"/>
      <c r="F17" s="18"/>
      <c r="G17" s="19"/>
      <c r="H17" s="19"/>
      <c r="I17" s="19"/>
      <c r="J17" s="19"/>
      <c r="K17" s="19"/>
      <c r="L17" s="91"/>
    </row>
    <row r="18" spans="1:19" s="2" customFormat="1" ht="22.5" customHeight="1" thickBot="1">
      <c r="A18" s="207" t="s">
        <v>28</v>
      </c>
      <c r="B18" s="208"/>
      <c r="C18" s="208"/>
      <c r="D18" s="208"/>
      <c r="E18" s="209"/>
      <c r="F18" s="20"/>
      <c r="G18" s="207" t="s">
        <v>28</v>
      </c>
      <c r="H18" s="208"/>
      <c r="I18" s="208"/>
      <c r="J18" s="208"/>
      <c r="K18" s="208"/>
      <c r="L18" s="209"/>
      <c r="O18" s="92"/>
    </row>
    <row r="19" spans="1:19" s="2" customFormat="1" ht="27.75" customHeight="1" thickBot="1">
      <c r="A19" s="210"/>
      <c r="B19" s="211"/>
      <c r="C19" s="211"/>
      <c r="D19" s="22" t="s">
        <v>29</v>
      </c>
      <c r="E19" s="23" t="s">
        <v>30</v>
      </c>
      <c r="F19" s="24"/>
      <c r="G19" s="243" t="s">
        <v>31</v>
      </c>
      <c r="H19" s="244"/>
      <c r="I19" s="212" t="s">
        <v>32</v>
      </c>
      <c r="J19" s="213"/>
      <c r="K19" s="214" t="s">
        <v>33</v>
      </c>
      <c r="L19" s="215"/>
    </row>
    <row r="20" spans="1:19" s="2" customFormat="1" ht="22.5" customHeight="1">
      <c r="A20" s="216" t="s">
        <v>34</v>
      </c>
      <c r="B20" s="217"/>
      <c r="C20" s="25"/>
      <c r="D20" s="26">
        <v>700</v>
      </c>
      <c r="E20" s="27">
        <v>700</v>
      </c>
      <c r="F20" s="28"/>
      <c r="G20" s="245"/>
      <c r="H20" s="246"/>
      <c r="I20" s="93" t="s">
        <v>35</v>
      </c>
      <c r="J20" s="168" t="s">
        <v>36</v>
      </c>
      <c r="K20" s="95" t="s">
        <v>37</v>
      </c>
      <c r="L20" s="150" t="s">
        <v>36</v>
      </c>
      <c r="N20" s="92"/>
    </row>
    <row r="21" spans="1:19" s="2" customFormat="1" ht="22.5" customHeight="1">
      <c r="A21" s="216" t="s">
        <v>38</v>
      </c>
      <c r="B21" s="217"/>
      <c r="C21" s="25" t="s">
        <v>39</v>
      </c>
      <c r="D21" s="160">
        <v>15.2</v>
      </c>
      <c r="E21" s="161">
        <f>D21</f>
        <v>15.2</v>
      </c>
      <c r="F21" s="31"/>
      <c r="G21" s="96" t="s">
        <v>40</v>
      </c>
      <c r="H21" s="32" t="s">
        <v>41</v>
      </c>
      <c r="I21" s="96" t="s">
        <v>42</v>
      </c>
      <c r="J21" s="151" t="s">
        <v>43</v>
      </c>
      <c r="K21" s="96" t="s">
        <v>42</v>
      </c>
      <c r="L21" s="151" t="s">
        <v>43</v>
      </c>
      <c r="N21" s="97"/>
    </row>
    <row r="22" spans="1:19" s="2" customFormat="1" ht="22.5" customHeight="1">
      <c r="A22" s="216" t="s">
        <v>44</v>
      </c>
      <c r="B22" s="217"/>
      <c r="C22" s="25" t="s">
        <v>39</v>
      </c>
      <c r="D22" s="160">
        <v>16.21</v>
      </c>
      <c r="E22" s="161">
        <f>D22+E39</f>
        <v>16.21</v>
      </c>
      <c r="F22" s="31"/>
      <c r="G22" s="145">
        <v>0</v>
      </c>
      <c r="H22" s="33">
        <v>0</v>
      </c>
      <c r="I22" s="144">
        <v>0</v>
      </c>
      <c r="J22" s="152">
        <v>0</v>
      </c>
      <c r="K22" s="144">
        <v>0</v>
      </c>
      <c r="L22" s="152">
        <v>0</v>
      </c>
      <c r="N22" s="97"/>
      <c r="O22" s="2">
        <v>5.2999999999999999E-2</v>
      </c>
      <c r="S22" s="2">
        <v>2.1000000000000001E-2</v>
      </c>
    </row>
    <row r="23" spans="1:19" s="2" customFormat="1" ht="22.5" customHeight="1">
      <c r="A23" s="216" t="s">
        <v>45</v>
      </c>
      <c r="B23" s="217"/>
      <c r="C23" s="34" t="s">
        <v>46</v>
      </c>
      <c r="D23" s="35">
        <v>9678</v>
      </c>
      <c r="E23" s="36">
        <v>9708</v>
      </c>
      <c r="F23" s="31"/>
      <c r="G23" s="145">
        <v>5.0000000000000001E-3</v>
      </c>
      <c r="H23" s="33">
        <v>0.127</v>
      </c>
      <c r="I23" s="144">
        <v>5.2999999999999999E-2</v>
      </c>
      <c r="J23" s="153">
        <f t="shared" ref="J23:J34" si="0">((I23/19.32)*10)</f>
        <v>2.7432712215320912E-2</v>
      </c>
      <c r="K23" s="98">
        <v>2.1000000000000001E-2</v>
      </c>
      <c r="L23" s="153">
        <f t="shared" ref="L23:L34" si="1">((K23/19.32)*10)</f>
        <v>1.0869565217391304E-2</v>
      </c>
      <c r="N23" s="97"/>
      <c r="O23" s="2">
        <v>0.26600000000000001</v>
      </c>
      <c r="S23" s="2">
        <v>7.5999999999999998E-2</v>
      </c>
    </row>
    <row r="24" spans="1:19" s="2" customFormat="1" ht="22.5" customHeight="1">
      <c r="A24" s="216" t="s">
        <v>47</v>
      </c>
      <c r="B24" s="217"/>
      <c r="C24" s="34" t="s">
        <v>46</v>
      </c>
      <c r="D24" s="35">
        <v>3986</v>
      </c>
      <c r="E24" s="37">
        <f>D24</f>
        <v>3986</v>
      </c>
      <c r="F24" s="38"/>
      <c r="G24" s="145">
        <v>2.5000000000000001E-2</v>
      </c>
      <c r="H24" s="33">
        <v>0.63500000000000001</v>
      </c>
      <c r="I24" s="144">
        <v>0.26600000000000001</v>
      </c>
      <c r="J24" s="153">
        <f t="shared" si="0"/>
        <v>0.13768115942028986</v>
      </c>
      <c r="K24" s="98">
        <v>7.5999999999999998E-2</v>
      </c>
      <c r="L24" s="153">
        <f t="shared" si="1"/>
        <v>3.9337474120082816E-2</v>
      </c>
      <c r="N24" s="97"/>
      <c r="O24" s="2">
        <v>0.41</v>
      </c>
      <c r="S24" s="2">
        <v>0.16</v>
      </c>
    </row>
    <row r="25" spans="1:19" s="2" customFormat="1" ht="22.5" customHeight="1">
      <c r="A25" s="216" t="s">
        <v>48</v>
      </c>
      <c r="B25" s="217"/>
      <c r="C25" s="34" t="s">
        <v>46</v>
      </c>
      <c r="D25" s="39">
        <f>+D23-D24</f>
        <v>5692</v>
      </c>
      <c r="E25" s="40">
        <f>E23-E24</f>
        <v>5722</v>
      </c>
      <c r="F25" s="41"/>
      <c r="G25" s="145">
        <v>0.05</v>
      </c>
      <c r="H25" s="33">
        <v>1.27</v>
      </c>
      <c r="I25" s="144">
        <v>0.41</v>
      </c>
      <c r="J25" s="153">
        <f t="shared" si="0"/>
        <v>0.21221532091097309</v>
      </c>
      <c r="K25" s="98">
        <v>0.16</v>
      </c>
      <c r="L25" s="153">
        <f t="shared" si="1"/>
        <v>8.2815734989648032E-2</v>
      </c>
      <c r="N25" s="97"/>
      <c r="O25" s="2">
        <v>0.51800000000000002</v>
      </c>
      <c r="S25" s="2">
        <v>0.27200000000000002</v>
      </c>
    </row>
    <row r="26" spans="1:19" s="2" customFormat="1" ht="22.5" customHeight="1">
      <c r="A26" s="216" t="s">
        <v>49</v>
      </c>
      <c r="B26" s="217"/>
      <c r="C26" s="34" t="s">
        <v>50</v>
      </c>
      <c r="D26" s="39">
        <f>((PI()*(D21*D21))/4)*D22</f>
        <v>2941.4405289925262</v>
      </c>
      <c r="E26" s="40">
        <f>((PI()*(E21*E21))/4)*E22</f>
        <v>2941.4405289925262</v>
      </c>
      <c r="F26" s="41"/>
      <c r="G26" s="145">
        <v>7.4999999999999997E-2</v>
      </c>
      <c r="H26" s="33">
        <v>1.905</v>
      </c>
      <c r="I26" s="144">
        <v>0.51800000000000002</v>
      </c>
      <c r="J26" s="153">
        <f t="shared" si="0"/>
        <v>0.26811594202898548</v>
      </c>
      <c r="K26" s="98">
        <v>0.27200000000000002</v>
      </c>
      <c r="L26" s="153">
        <f t="shared" si="1"/>
        <v>0.14078674948240166</v>
      </c>
      <c r="N26" s="97"/>
      <c r="O26" s="2">
        <v>0.67400000000000004</v>
      </c>
      <c r="S26" s="2">
        <v>0.40500000000000003</v>
      </c>
    </row>
    <row r="27" spans="1:19" s="2" customFormat="1" ht="22.5" customHeight="1">
      <c r="A27" s="216" t="s">
        <v>51</v>
      </c>
      <c r="B27" s="217"/>
      <c r="C27" s="34" t="s">
        <v>52</v>
      </c>
      <c r="D27" s="42">
        <f>D25/D26</f>
        <v>1.9351062664352316</v>
      </c>
      <c r="E27" s="43">
        <f>E25/E26</f>
        <v>1.9453053507628943</v>
      </c>
      <c r="F27" s="44"/>
      <c r="G27" s="146">
        <v>0.1</v>
      </c>
      <c r="H27" s="45">
        <v>2.54</v>
      </c>
      <c r="I27" s="154">
        <v>0.67400000000000004</v>
      </c>
      <c r="J27" s="155">
        <f t="shared" si="0"/>
        <v>0.34886128364389235</v>
      </c>
      <c r="K27" s="158">
        <v>0.40500000000000003</v>
      </c>
      <c r="L27" s="155">
        <f t="shared" si="1"/>
        <v>0.20962732919254659</v>
      </c>
      <c r="N27" s="97"/>
      <c r="O27" s="2">
        <v>0.83899999999999997</v>
      </c>
      <c r="S27" s="2">
        <v>0.58099999999999996</v>
      </c>
    </row>
    <row r="28" spans="1:19" s="2" customFormat="1" ht="22.5" customHeight="1" thickBot="1">
      <c r="A28" s="218" t="s">
        <v>53</v>
      </c>
      <c r="B28" s="219"/>
      <c r="C28" s="46" t="s">
        <v>52</v>
      </c>
      <c r="D28" s="47">
        <f>D27/(1+D34/100)</f>
        <v>1.639752331545268</v>
      </c>
      <c r="E28" s="48">
        <f>E27/(1+E34/100)</f>
        <v>1.6000282943032604</v>
      </c>
      <c r="F28" s="49"/>
      <c r="G28" s="145">
        <v>0.125</v>
      </c>
      <c r="H28" s="33">
        <v>3.1749999999999998</v>
      </c>
      <c r="I28" s="144">
        <v>0.83899999999999997</v>
      </c>
      <c r="J28" s="153">
        <f t="shared" si="0"/>
        <v>0.43426501035196685</v>
      </c>
      <c r="K28" s="98">
        <v>0.58099999999999996</v>
      </c>
      <c r="L28" s="153">
        <f t="shared" si="1"/>
        <v>0.30072463768115942</v>
      </c>
      <c r="N28" s="97"/>
      <c r="O28" s="2">
        <v>0.999</v>
      </c>
      <c r="S28" s="2">
        <v>0.78</v>
      </c>
    </row>
    <row r="29" spans="1:19" s="2" customFormat="1" ht="22.5" customHeight="1" thickBot="1">
      <c r="A29" s="207" t="s">
        <v>54</v>
      </c>
      <c r="B29" s="208" t="s">
        <v>54</v>
      </c>
      <c r="C29" s="208"/>
      <c r="D29" s="208"/>
      <c r="E29" s="209"/>
      <c r="F29" s="49"/>
      <c r="G29" s="147">
        <v>0.15</v>
      </c>
      <c r="H29" s="33">
        <v>3.81</v>
      </c>
      <c r="I29" s="144">
        <v>0.999</v>
      </c>
      <c r="J29" s="153">
        <f t="shared" si="0"/>
        <v>0.51708074534161497</v>
      </c>
      <c r="K29" s="98">
        <v>0.78</v>
      </c>
      <c r="L29" s="153">
        <f>((K29/19.32)*10)</f>
        <v>0.40372670807453415</v>
      </c>
      <c r="N29" s="97"/>
      <c r="O29" s="2">
        <v>1.133</v>
      </c>
      <c r="S29" s="2">
        <v>0.98499999999999999</v>
      </c>
    </row>
    <row r="30" spans="1:19" s="2" customFormat="1" ht="22.5" customHeight="1">
      <c r="A30" s="258" t="s">
        <v>55</v>
      </c>
      <c r="B30" s="259"/>
      <c r="C30" s="50"/>
      <c r="D30" s="51">
        <v>616</v>
      </c>
      <c r="E30" s="52">
        <v>369</v>
      </c>
      <c r="F30" s="44"/>
      <c r="G30" s="145">
        <v>0.17499999999999999</v>
      </c>
      <c r="H30" s="33">
        <v>4.4450000000000003</v>
      </c>
      <c r="I30" s="144">
        <v>1.133</v>
      </c>
      <c r="J30" s="153">
        <f t="shared" si="0"/>
        <v>0.58643892339544512</v>
      </c>
      <c r="K30" s="98">
        <v>0.96499999999999997</v>
      </c>
      <c r="L30" s="153">
        <f t="shared" si="1"/>
        <v>0.49948240165631463</v>
      </c>
      <c r="N30" s="97"/>
      <c r="O30" s="2">
        <v>1.2829999999999999</v>
      </c>
      <c r="S30" s="2">
        <v>1.1599999999999999</v>
      </c>
    </row>
    <row r="31" spans="1:19" s="2" customFormat="1" ht="22.5" customHeight="1">
      <c r="A31" s="216" t="s">
        <v>56</v>
      </c>
      <c r="B31" s="217"/>
      <c r="C31" s="25" t="s">
        <v>46</v>
      </c>
      <c r="D31" s="53">
        <v>276.87</v>
      </c>
      <c r="E31" s="54">
        <v>994.21</v>
      </c>
      <c r="F31" s="41"/>
      <c r="G31" s="146">
        <v>0.2</v>
      </c>
      <c r="H31" s="45">
        <v>5.08</v>
      </c>
      <c r="I31" s="154">
        <v>1.2829999999999999</v>
      </c>
      <c r="J31" s="155">
        <f t="shared" si="0"/>
        <v>0.66407867494824013</v>
      </c>
      <c r="K31" s="158">
        <v>1.0669999999999999</v>
      </c>
      <c r="L31" s="155">
        <f t="shared" si="1"/>
        <v>0.5522774327122153</v>
      </c>
      <c r="N31" s="97"/>
      <c r="O31" s="2">
        <v>1.99</v>
      </c>
      <c r="S31" s="2">
        <v>1.2969999999999999</v>
      </c>
    </row>
    <row r="32" spans="1:19" s="2" customFormat="1" ht="22.5" customHeight="1">
      <c r="A32" s="216" t="s">
        <v>57</v>
      </c>
      <c r="B32" s="217"/>
      <c r="C32" s="25" t="s">
        <v>46</v>
      </c>
      <c r="D32" s="53">
        <v>241.46</v>
      </c>
      <c r="E32" s="54">
        <v>835.64</v>
      </c>
      <c r="F32" s="49"/>
      <c r="G32" s="145">
        <v>0.3</v>
      </c>
      <c r="H32" s="33">
        <v>7.62</v>
      </c>
      <c r="I32" s="144">
        <v>1.99</v>
      </c>
      <c r="J32" s="153">
        <f t="shared" si="0"/>
        <v>1.0300207039337475</v>
      </c>
      <c r="K32" s="98">
        <v>1.4239999999999999</v>
      </c>
      <c r="L32" s="153">
        <f t="shared" si="1"/>
        <v>0.73706004140786752</v>
      </c>
      <c r="N32" s="97"/>
      <c r="O32" s="2">
        <v>2.831</v>
      </c>
      <c r="S32" s="2">
        <v>1.2529999999999999</v>
      </c>
    </row>
    <row r="33" spans="1:19" s="2" customFormat="1" ht="22.5" customHeight="1">
      <c r="A33" s="216" t="s">
        <v>58</v>
      </c>
      <c r="B33" s="217"/>
      <c r="C33" s="25" t="s">
        <v>46</v>
      </c>
      <c r="D33" s="53">
        <v>44.87</v>
      </c>
      <c r="E33" s="54">
        <v>100.82</v>
      </c>
      <c r="F33" s="49"/>
      <c r="G33" s="145">
        <v>0.4</v>
      </c>
      <c r="H33" s="33">
        <v>10.16</v>
      </c>
      <c r="I33" s="144">
        <v>2.831</v>
      </c>
      <c r="J33" s="153">
        <f t="shared" si="0"/>
        <v>1.4653209109730849</v>
      </c>
      <c r="K33" s="98">
        <v>1.7010000000000001</v>
      </c>
      <c r="L33" s="153">
        <f t="shared" si="1"/>
        <v>0.88043478260869568</v>
      </c>
      <c r="N33" s="97"/>
      <c r="O33" s="2">
        <v>3.5659999999999998</v>
      </c>
      <c r="S33" s="2">
        <v>1.2529999999999999</v>
      </c>
    </row>
    <row r="34" spans="1:19" s="2" customFormat="1" ht="22.5" customHeight="1" thickBot="1">
      <c r="A34" s="218" t="s">
        <v>59</v>
      </c>
      <c r="B34" s="219"/>
      <c r="C34" s="46" t="s">
        <v>60</v>
      </c>
      <c r="D34" s="47">
        <f>((D31-D32)/(D32-D33))*100</f>
        <v>18.012106414364919</v>
      </c>
      <c r="E34" s="48">
        <f>((E31-E32)/(E32-E33))*100</f>
        <v>21.579434419313582</v>
      </c>
      <c r="F34" s="49"/>
      <c r="G34" s="148">
        <v>0.5</v>
      </c>
      <c r="H34" s="149">
        <v>12.7</v>
      </c>
      <c r="I34" s="156">
        <v>3.5659999999999998</v>
      </c>
      <c r="J34" s="157">
        <f t="shared" si="0"/>
        <v>1.8457556935817805</v>
      </c>
      <c r="K34" s="159">
        <v>1.9119999999999999</v>
      </c>
      <c r="L34" s="157">
        <f t="shared" si="1"/>
        <v>0.98964803312629401</v>
      </c>
      <c r="N34" s="97"/>
    </row>
    <row r="35" spans="1:19" s="2" customFormat="1" ht="11.25" customHeight="1" thickBot="1">
      <c r="A35" s="55"/>
      <c r="B35" s="56"/>
      <c r="C35" s="57"/>
      <c r="D35" s="58"/>
      <c r="E35" s="58"/>
      <c r="F35" s="59"/>
      <c r="G35" s="58"/>
      <c r="H35" s="58"/>
      <c r="I35" s="58"/>
      <c r="J35" s="58"/>
      <c r="K35" s="58"/>
      <c r="L35" s="99"/>
      <c r="N35" s="97"/>
    </row>
    <row r="36" spans="1:19" s="2" customFormat="1" ht="22.5" customHeight="1" thickBot="1">
      <c r="A36" s="247" t="s">
        <v>61</v>
      </c>
      <c r="B36" s="248"/>
      <c r="C36" s="248"/>
      <c r="D36" s="248"/>
      <c r="E36" s="249"/>
      <c r="F36" s="60"/>
      <c r="G36" s="60"/>
      <c r="H36" s="207" t="s">
        <v>62</v>
      </c>
      <c r="I36" s="208"/>
      <c r="J36" s="208"/>
      <c r="K36" s="209"/>
      <c r="L36" s="100"/>
    </row>
    <row r="37" spans="1:19" s="2" customFormat="1" ht="22.5" customHeight="1" thickBot="1">
      <c r="A37" s="250" t="s">
        <v>63</v>
      </c>
      <c r="B37" s="251"/>
      <c r="C37" s="61" t="s">
        <v>64</v>
      </c>
      <c r="D37" s="277">
        <v>0.98299999999999998</v>
      </c>
      <c r="E37" s="278"/>
      <c r="F37" s="62"/>
      <c r="G37" s="62"/>
      <c r="H37" s="63" t="s">
        <v>65</v>
      </c>
      <c r="I37" s="101" t="s">
        <v>86</v>
      </c>
      <c r="J37" s="63" t="s">
        <v>66</v>
      </c>
      <c r="K37" s="102" t="s">
        <v>67</v>
      </c>
      <c r="L37" s="99"/>
    </row>
    <row r="38" spans="1:19" s="2" customFormat="1" ht="22.5" customHeight="1" thickBot="1">
      <c r="A38" s="224" t="s">
        <v>68</v>
      </c>
      <c r="B38" s="225"/>
      <c r="C38" s="64" t="s">
        <v>64</v>
      </c>
      <c r="D38" s="254">
        <v>0.98409999999999997</v>
      </c>
      <c r="E38" s="255"/>
      <c r="F38" s="62"/>
      <c r="G38" s="62"/>
      <c r="H38" s="256" t="s">
        <v>69</v>
      </c>
      <c r="I38" s="257"/>
      <c r="J38" s="256" t="s">
        <v>70</v>
      </c>
      <c r="K38" s="257"/>
      <c r="L38" s="99"/>
    </row>
    <row r="39" spans="1:19" s="2" customFormat="1" ht="22.5" customHeight="1" thickBot="1">
      <c r="A39" s="224" t="s">
        <v>71</v>
      </c>
      <c r="B39" s="225"/>
      <c r="C39" s="65" t="s">
        <v>39</v>
      </c>
      <c r="D39" s="226">
        <f>(D38-D37)*2.54</f>
        <v>2.7939999999999745E-3</v>
      </c>
      <c r="E39" s="227"/>
      <c r="F39" s="31"/>
      <c r="G39" s="31"/>
      <c r="H39" s="163" t="s">
        <v>72</v>
      </c>
      <c r="I39" s="164">
        <v>4555</v>
      </c>
      <c r="J39" s="275">
        <v>4</v>
      </c>
      <c r="K39" s="229"/>
      <c r="L39" s="99"/>
    </row>
    <row r="40" spans="1:19" s="2" customFormat="1" ht="22.5" customHeight="1" thickBot="1">
      <c r="A40" s="230" t="s">
        <v>73</v>
      </c>
      <c r="B40" s="231"/>
      <c r="C40" s="67" t="s">
        <v>60</v>
      </c>
      <c r="D40" s="232">
        <f>IF(D39&lt;&gt;"",IF(D22&lt;&gt;"",D39/D22*100,""),"")</f>
        <v>1.7236273904996754E-2</v>
      </c>
      <c r="E40" s="233"/>
      <c r="F40" s="68"/>
      <c r="G40" s="68"/>
      <c r="H40" s="165" t="s">
        <v>33</v>
      </c>
      <c r="I40" s="166">
        <v>4555</v>
      </c>
      <c r="J40" s="276">
        <v>4</v>
      </c>
      <c r="K40" s="235"/>
      <c r="L40" s="99"/>
      <c r="P40" s="105"/>
      <c r="Q40" s="105"/>
      <c r="R40" s="134"/>
    </row>
    <row r="41" spans="1:19" s="2" customFormat="1" ht="33" customHeight="1" thickBot="1">
      <c r="A41" s="70"/>
      <c r="B41" s="58"/>
      <c r="C41" s="58"/>
      <c r="D41" s="58"/>
      <c r="E41" s="58"/>
      <c r="F41" s="71"/>
      <c r="G41" s="58"/>
      <c r="H41" s="70"/>
      <c r="I41" s="58"/>
      <c r="J41" s="107" t="str">
        <f>I19</f>
        <v>ANTES DE INMERSIÓN</v>
      </c>
      <c r="K41" s="107" t="str">
        <f>K19</f>
        <v xml:space="preserve">DESPUÉS DE INMERSIÓN </v>
      </c>
      <c r="L41" s="108"/>
      <c r="M41" s="20"/>
      <c r="P41" s="109"/>
      <c r="Q41" s="135"/>
      <c r="R41" s="136"/>
    </row>
    <row r="42" spans="1:19" s="2" customFormat="1" ht="22.5" customHeight="1">
      <c r="A42" s="70"/>
      <c r="B42" s="58"/>
      <c r="C42" s="58"/>
      <c r="D42" s="58"/>
      <c r="E42" s="58"/>
      <c r="F42" s="58"/>
      <c r="G42" s="58"/>
      <c r="H42" s="21" t="s">
        <v>74</v>
      </c>
      <c r="I42" s="110" t="s">
        <v>60</v>
      </c>
      <c r="J42" s="111">
        <f>(J27/6.9)*100</f>
        <v>5.0559606325201791</v>
      </c>
      <c r="K42" s="112">
        <f>(L27/6.9)*100</f>
        <v>3.0380772346745881</v>
      </c>
      <c r="L42" s="99"/>
      <c r="P42" s="113"/>
      <c r="Q42" s="137"/>
      <c r="R42" s="136"/>
    </row>
    <row r="43" spans="1:19" s="2" customFormat="1" ht="22.5" customHeight="1" thickBot="1">
      <c r="A43" s="70"/>
      <c r="B43" s="73"/>
      <c r="C43" s="58"/>
      <c r="D43" s="58"/>
      <c r="E43" s="58"/>
      <c r="F43" s="58"/>
      <c r="G43" s="58"/>
      <c r="H43" s="74" t="s">
        <v>75</v>
      </c>
      <c r="I43" s="114" t="s">
        <v>60</v>
      </c>
      <c r="J43" s="115">
        <f>(J31/10.3)*100</f>
        <v>6.4473657761965049</v>
      </c>
      <c r="K43" s="116">
        <f>(L31/10.3)*100</f>
        <v>5.3619168224486913</v>
      </c>
      <c r="L43" s="99"/>
      <c r="P43" s="117"/>
      <c r="Q43" s="138"/>
      <c r="R43" s="139"/>
    </row>
    <row r="44" spans="1:19" s="2" customFormat="1" ht="22.5" customHeight="1" thickBot="1">
      <c r="A44" s="70"/>
      <c r="B44" s="73"/>
      <c r="C44" s="73"/>
      <c r="D44" s="73"/>
      <c r="E44" s="58"/>
      <c r="F44" s="58"/>
      <c r="G44" s="58"/>
      <c r="H44" s="74" t="s">
        <v>76</v>
      </c>
      <c r="I44" s="114"/>
      <c r="J44" s="118">
        <f>IF(J42&lt;J43,J42,J43)</f>
        <v>5.0559606325201791</v>
      </c>
      <c r="K44" s="119">
        <f>IF(K42&lt;K43,K42,K43)</f>
        <v>3.0380772346745881</v>
      </c>
      <c r="L44" s="120"/>
      <c r="M44" s="121"/>
    </row>
    <row r="45" spans="1:19" s="2" customFormat="1" ht="22.5" customHeight="1">
      <c r="A45" s="70"/>
      <c r="B45" s="58"/>
      <c r="C45" s="58"/>
      <c r="D45" s="59"/>
      <c r="E45" s="59"/>
      <c r="F45" s="59"/>
      <c r="G45" s="58"/>
      <c r="H45" s="4"/>
      <c r="I45" s="122"/>
      <c r="J45" s="122"/>
      <c r="K45" s="122"/>
      <c r="L45" s="99"/>
    </row>
    <row r="46" spans="1:19" s="2" customFormat="1" ht="22.5" customHeight="1">
      <c r="A46" s="70"/>
      <c r="B46" s="58"/>
      <c r="C46" s="58"/>
      <c r="D46" s="59"/>
      <c r="E46" s="59"/>
      <c r="F46" s="59"/>
      <c r="G46" s="58"/>
      <c r="H46" s="222" t="s">
        <v>77</v>
      </c>
      <c r="I46" s="222"/>
      <c r="J46" s="222" t="s">
        <v>78</v>
      </c>
      <c r="K46" s="222"/>
      <c r="L46" s="223"/>
    </row>
    <row r="47" spans="1:19" s="2" customFormat="1" ht="22.5" customHeight="1">
      <c r="A47" s="70"/>
      <c r="B47" s="56"/>
      <c r="C47" s="75"/>
      <c r="D47" s="76"/>
      <c r="E47" s="59"/>
      <c r="F47" s="59"/>
      <c r="G47" s="59"/>
      <c r="H47" s="77"/>
      <c r="I47" s="123"/>
      <c r="J47" s="77"/>
      <c r="K47" s="123"/>
      <c r="L47" s="124"/>
    </row>
    <row r="48" spans="1:19" s="2" customFormat="1" ht="22.5" customHeight="1">
      <c r="A48" s="70"/>
      <c r="B48" s="56"/>
      <c r="C48" s="75"/>
      <c r="D48" s="76"/>
      <c r="E48" s="59"/>
      <c r="F48" s="59"/>
      <c r="G48" s="59"/>
      <c r="H48" s="77"/>
      <c r="I48" s="123"/>
      <c r="J48" s="77"/>
      <c r="K48" s="123"/>
      <c r="L48" s="124"/>
    </row>
    <row r="49" spans="1:15" s="2" customFormat="1" ht="22.5" customHeight="1">
      <c r="A49" s="70"/>
      <c r="B49" s="56"/>
      <c r="C49" s="75"/>
      <c r="D49" s="76"/>
      <c r="E49" s="59"/>
      <c r="F49" s="59"/>
      <c r="G49" s="59"/>
      <c r="H49" s="77"/>
      <c r="I49" s="123"/>
      <c r="J49" s="77"/>
      <c r="K49"/>
      <c r="L49" s="124"/>
    </row>
    <row r="50" spans="1:15" s="2" customFormat="1" ht="22.5" customHeight="1">
      <c r="A50" s="70"/>
      <c r="B50" s="56"/>
      <c r="C50" s="75"/>
      <c r="D50" s="76"/>
      <c r="E50" s="59"/>
      <c r="F50" s="59"/>
      <c r="G50" s="59"/>
      <c r="H50" s="78"/>
      <c r="I50" s="78"/>
      <c r="J50" s="77"/>
      <c r="K50" s="123"/>
      <c r="L50" s="124"/>
    </row>
    <row r="51" spans="1:15" s="2" customFormat="1" ht="22.5" customHeight="1">
      <c r="A51" s="70"/>
      <c r="B51" s="56"/>
      <c r="C51" s="75"/>
      <c r="D51" s="76"/>
      <c r="E51" s="59"/>
      <c r="F51" s="59"/>
      <c r="G51" s="59"/>
      <c r="H51" s="220" t="s">
        <v>79</v>
      </c>
      <c r="I51" s="220"/>
      <c r="J51" s="220" t="s">
        <v>87</v>
      </c>
      <c r="K51" s="220"/>
      <c r="L51" s="221"/>
    </row>
    <row r="52" spans="1:15" s="2" customFormat="1" ht="22.5" customHeight="1">
      <c r="A52" s="70"/>
      <c r="B52" s="56"/>
      <c r="C52" s="75"/>
      <c r="D52" s="76"/>
      <c r="E52" s="59"/>
      <c r="F52" s="59"/>
      <c r="G52" s="59"/>
      <c r="H52" s="222" t="s">
        <v>80</v>
      </c>
      <c r="I52" s="222"/>
      <c r="J52" s="222" t="s">
        <v>81</v>
      </c>
      <c r="K52" s="222"/>
      <c r="L52" s="223"/>
    </row>
    <row r="53" spans="1:15" s="2" customFormat="1" ht="22.5" customHeight="1">
      <c r="A53" s="70"/>
      <c r="B53" s="56"/>
      <c r="C53" s="75"/>
      <c r="D53" s="76"/>
      <c r="E53" s="59"/>
      <c r="F53" s="59"/>
      <c r="G53" s="59"/>
      <c r="H53" s="186"/>
      <c r="I53" s="186"/>
      <c r="J53" s="186"/>
      <c r="K53" s="186"/>
      <c r="L53" s="99"/>
    </row>
    <row r="54" spans="1:15" s="2" customFormat="1" ht="22.5" customHeight="1">
      <c r="A54" s="70"/>
      <c r="B54" s="56"/>
      <c r="C54" s="75"/>
      <c r="D54" s="76"/>
      <c r="E54" s="59"/>
      <c r="F54" s="59"/>
      <c r="G54" s="59"/>
      <c r="H54" s="58"/>
      <c r="I54" s="58"/>
      <c r="J54" s="125"/>
      <c r="K54" s="58"/>
      <c r="L54" s="99"/>
      <c r="M54" s="126"/>
      <c r="N54" s="3"/>
    </row>
    <row r="55" spans="1:15" s="2" customFormat="1" ht="22.5" customHeight="1">
      <c r="A55" s="70"/>
      <c r="B55" s="56"/>
      <c r="C55" s="75"/>
      <c r="D55" s="76"/>
      <c r="E55" s="59"/>
      <c r="F55" s="59"/>
      <c r="G55" s="59"/>
      <c r="H55" s="58"/>
      <c r="I55" s="58"/>
      <c r="J55" s="127"/>
      <c r="K55" s="125"/>
      <c r="L55" s="128"/>
      <c r="M55" s="129"/>
      <c r="N55" s="3"/>
    </row>
    <row r="56" spans="1:15" s="2" customFormat="1" ht="22.5" customHeight="1">
      <c r="A56" s="264" t="s">
        <v>82</v>
      </c>
      <c r="B56" s="265"/>
      <c r="C56" s="265"/>
      <c r="D56" s="265"/>
      <c r="E56" s="265"/>
      <c r="F56" s="265"/>
      <c r="G56" s="265"/>
      <c r="H56" s="265"/>
      <c r="I56" s="265"/>
      <c r="J56" s="265"/>
      <c r="K56" s="265"/>
      <c r="L56" s="266"/>
      <c r="M56" s="130"/>
      <c r="N56" s="3"/>
      <c r="O56" s="3"/>
    </row>
    <row r="57" spans="1:15" s="2" customFormat="1" ht="22.5" customHeight="1">
      <c r="A57" s="261" t="s">
        <v>83</v>
      </c>
      <c r="B57" s="262"/>
      <c r="C57" s="262"/>
      <c r="D57" s="262"/>
      <c r="E57" s="262"/>
      <c r="F57" s="262"/>
      <c r="G57" s="262"/>
      <c r="H57" s="262"/>
      <c r="I57" s="262"/>
      <c r="J57" s="262"/>
      <c r="K57" s="262"/>
      <c r="L57" s="263"/>
      <c r="M57" s="3"/>
      <c r="N57" s="3"/>
      <c r="O57" s="3"/>
    </row>
    <row r="58" spans="1:15" s="2" customFormat="1" ht="22.5" customHeight="1">
      <c r="A58" s="261"/>
      <c r="B58" s="262"/>
      <c r="C58" s="262"/>
      <c r="D58" s="262"/>
      <c r="E58" s="262"/>
      <c r="F58" s="262"/>
      <c r="G58" s="262"/>
      <c r="H58" s="262"/>
      <c r="I58" s="262"/>
      <c r="J58" s="262"/>
      <c r="K58" s="262"/>
      <c r="L58" s="263"/>
      <c r="M58" s="3"/>
      <c r="N58" s="3"/>
      <c r="O58" s="3"/>
    </row>
    <row r="59" spans="1:15" ht="15" thickBot="1">
      <c r="A59" s="267" t="s">
        <v>84</v>
      </c>
      <c r="B59" s="268"/>
      <c r="C59" s="268"/>
      <c r="D59" s="268"/>
      <c r="E59" s="268"/>
      <c r="F59" s="268"/>
      <c r="G59" s="268"/>
      <c r="H59" s="268"/>
      <c r="I59" s="268"/>
      <c r="J59" s="268"/>
      <c r="K59" s="268"/>
      <c r="L59" s="269"/>
    </row>
    <row r="63" spans="1:15">
      <c r="I63" s="79"/>
      <c r="J63" s="79"/>
      <c r="K63" s="79"/>
      <c r="L63" s="79"/>
      <c r="M63" s="79"/>
      <c r="N63" s="79"/>
    </row>
    <row r="64" spans="1:15" ht="15" customHeight="1">
      <c r="E64" s="79"/>
      <c r="F64" s="79"/>
      <c r="G64" s="79"/>
      <c r="H64" s="79"/>
      <c r="I64" s="131"/>
      <c r="J64" s="131"/>
      <c r="K64" s="131"/>
      <c r="L64" s="131"/>
      <c r="M64" s="131"/>
      <c r="N64" s="131"/>
    </row>
    <row r="65" spans="2:18" ht="15" customHeight="1">
      <c r="E65" s="131"/>
      <c r="F65" s="131"/>
      <c r="G65" s="131"/>
      <c r="H65" s="131"/>
      <c r="I65" s="131"/>
      <c r="J65" s="131"/>
      <c r="K65" s="131"/>
      <c r="L65" s="131"/>
      <c r="M65" s="131"/>
      <c r="N65" s="131"/>
    </row>
    <row r="66" spans="2:18" ht="15" customHeight="1">
      <c r="E66" s="131"/>
      <c r="F66" s="131"/>
      <c r="G66" s="131"/>
      <c r="H66" s="131"/>
      <c r="I66" s="131"/>
      <c r="J66" s="131"/>
      <c r="K66" s="131"/>
      <c r="L66" s="131"/>
      <c r="M66" s="131"/>
      <c r="N66" s="131"/>
    </row>
    <row r="67" spans="2:18" ht="30.75" customHeight="1">
      <c r="E67" s="131"/>
      <c r="F67" s="131"/>
      <c r="G67" s="131"/>
      <c r="H67" s="131"/>
      <c r="I67" s="140"/>
      <c r="J67" s="140"/>
      <c r="K67" s="140"/>
      <c r="L67" s="140"/>
      <c r="M67" s="140"/>
      <c r="N67" s="140"/>
    </row>
    <row r="68" spans="2:18" ht="15" customHeight="1">
      <c r="E68" s="140"/>
      <c r="F68" s="140"/>
      <c r="G68" s="140"/>
      <c r="H68" s="140"/>
      <c r="I68" s="140"/>
      <c r="J68" s="140"/>
      <c r="K68" s="140"/>
      <c r="L68" s="140"/>
      <c r="M68" s="140"/>
      <c r="N68" s="140"/>
    </row>
    <row r="69" spans="2:18" ht="15" customHeight="1">
      <c r="E69" s="140"/>
      <c r="F69" s="140"/>
      <c r="G69" s="140"/>
      <c r="H69" s="140"/>
    </row>
    <row r="70" spans="2:18" ht="31.5" customHeight="1">
      <c r="E70" s="270"/>
      <c r="F70" s="270"/>
      <c r="G70" s="270"/>
      <c r="H70" s="270"/>
      <c r="I70" s="270"/>
      <c r="J70" s="270"/>
      <c r="K70" s="270"/>
      <c r="L70" s="270"/>
      <c r="M70" s="270"/>
      <c r="N70" s="270"/>
      <c r="O70" s="270"/>
      <c r="P70" s="270"/>
    </row>
    <row r="71" spans="2:18" ht="24" customHeight="1">
      <c r="B71" s="141"/>
      <c r="C71" s="142"/>
      <c r="D71" s="142"/>
      <c r="E71" s="142"/>
      <c r="F71" s="142"/>
      <c r="G71" s="142"/>
      <c r="H71" s="142"/>
      <c r="I71" s="142"/>
      <c r="J71" s="142"/>
      <c r="K71" s="142"/>
      <c r="L71" s="142"/>
      <c r="M71" s="142"/>
      <c r="N71" s="142"/>
      <c r="O71" s="142"/>
      <c r="P71" s="142"/>
      <c r="Q71" s="142"/>
      <c r="R71" s="142"/>
    </row>
    <row r="72" spans="2:18" ht="15" customHeight="1">
      <c r="B72" s="142"/>
      <c r="C72" s="142"/>
      <c r="D72" s="260"/>
      <c r="E72" s="260"/>
      <c r="F72" s="260"/>
      <c r="G72" s="260"/>
      <c r="H72" s="260"/>
      <c r="I72" s="260"/>
      <c r="J72" s="260"/>
      <c r="K72" s="260"/>
      <c r="L72" s="260"/>
      <c r="M72" s="260"/>
      <c r="N72" s="260"/>
      <c r="O72" s="260"/>
      <c r="P72" s="142"/>
      <c r="Q72" s="142"/>
      <c r="R72" s="142"/>
    </row>
    <row r="73" spans="2:18">
      <c r="D73" s="260"/>
      <c r="E73" s="260"/>
      <c r="F73" s="260"/>
      <c r="G73" s="260"/>
      <c r="H73" s="260"/>
      <c r="I73" s="260"/>
      <c r="J73" s="260"/>
      <c r="K73" s="260"/>
      <c r="L73" s="260"/>
      <c r="M73" s="260"/>
      <c r="N73" s="260"/>
      <c r="O73" s="260"/>
    </row>
  </sheetData>
  <sheetProtection formatCells="0" formatColumns="0" insertColumns="0" insertRows="0" deleteColumns="0" deleteRows="0"/>
  <mergeCells count="74">
    <mergeCell ref="A1:B4"/>
    <mergeCell ref="C1:J1"/>
    <mergeCell ref="K1:L1"/>
    <mergeCell ref="C2:J4"/>
    <mergeCell ref="K2:L2"/>
    <mergeCell ref="K3:L3"/>
    <mergeCell ref="K4:L4"/>
    <mergeCell ref="B5:K5"/>
    <mergeCell ref="C6:G6"/>
    <mergeCell ref="H6:I6"/>
    <mergeCell ref="J6:L6"/>
    <mergeCell ref="C7:G7"/>
    <mergeCell ref="H7:I7"/>
    <mergeCell ref="J7:L7"/>
    <mergeCell ref="A18:E18"/>
    <mergeCell ref="G18:L18"/>
    <mergeCell ref="C8:G8"/>
    <mergeCell ref="H8:I8"/>
    <mergeCell ref="J8:L8"/>
    <mergeCell ref="C9:G9"/>
    <mergeCell ref="H9:I9"/>
    <mergeCell ref="C10:G10"/>
    <mergeCell ref="H10:I10"/>
    <mergeCell ref="J10:L10"/>
    <mergeCell ref="B11:K11"/>
    <mergeCell ref="F12:G12"/>
    <mergeCell ref="H12:I12"/>
    <mergeCell ref="C13:L13"/>
    <mergeCell ref="A16:L16"/>
    <mergeCell ref="A27:B27"/>
    <mergeCell ref="A19:C19"/>
    <mergeCell ref="G19:H20"/>
    <mergeCell ref="I19:J19"/>
    <mergeCell ref="K19:L19"/>
    <mergeCell ref="A20:B20"/>
    <mergeCell ref="A21:B21"/>
    <mergeCell ref="A22:B22"/>
    <mergeCell ref="A23:B23"/>
    <mergeCell ref="A24:B24"/>
    <mergeCell ref="A25:B25"/>
    <mergeCell ref="A26:B26"/>
    <mergeCell ref="A38:B38"/>
    <mergeCell ref="D38:E38"/>
    <mergeCell ref="H38:I38"/>
    <mergeCell ref="J38:K38"/>
    <mergeCell ref="A28:B28"/>
    <mergeCell ref="A29:E29"/>
    <mergeCell ref="A30:B30"/>
    <mergeCell ref="A31:B31"/>
    <mergeCell ref="A32:B32"/>
    <mergeCell ref="A33:B33"/>
    <mergeCell ref="A34:B34"/>
    <mergeCell ref="A36:E36"/>
    <mergeCell ref="H36:K36"/>
    <mergeCell ref="A37:B37"/>
    <mergeCell ref="D37:E37"/>
    <mergeCell ref="A39:B39"/>
    <mergeCell ref="D39:E39"/>
    <mergeCell ref="J39:K39"/>
    <mergeCell ref="A40:B40"/>
    <mergeCell ref="D40:E40"/>
    <mergeCell ref="J40:K40"/>
    <mergeCell ref="D72:O73"/>
    <mergeCell ref="H46:I46"/>
    <mergeCell ref="J46:L46"/>
    <mergeCell ref="H51:I51"/>
    <mergeCell ref="J51:L51"/>
    <mergeCell ref="H52:I52"/>
    <mergeCell ref="J52:L52"/>
    <mergeCell ref="H53:K53"/>
    <mergeCell ref="A56:L56"/>
    <mergeCell ref="A57:L58"/>
    <mergeCell ref="A59:L59"/>
    <mergeCell ref="E70:P70"/>
  </mergeCells>
  <conditionalFormatting sqref="C6:G10">
    <cfRule type="containsBlanks" dxfId="159" priority="10">
      <formula>LEN(TRIM(C6))=0</formula>
    </cfRule>
  </conditionalFormatting>
  <conditionalFormatting sqref="C13:L13">
    <cfRule type="containsBlanks" dxfId="158" priority="9">
      <formula>LEN(TRIM(C13))=0</formula>
    </cfRule>
  </conditionalFormatting>
  <conditionalFormatting sqref="D20:D24">
    <cfRule type="containsBlanks" dxfId="157" priority="4">
      <formula>LEN(TRIM(D20))=0</formula>
    </cfRule>
  </conditionalFormatting>
  <conditionalFormatting sqref="D37:D38">
    <cfRule type="containsBlanks" dxfId="156" priority="3">
      <formula>LEN(TRIM(D37))=0</formula>
    </cfRule>
  </conditionalFormatting>
  <conditionalFormatting sqref="D30:E33">
    <cfRule type="containsBlanks" dxfId="155" priority="1">
      <formula>LEN(TRIM(D30))=0</formula>
    </cfRule>
  </conditionalFormatting>
  <conditionalFormatting sqref="E23">
    <cfRule type="containsBlanks" dxfId="154" priority="5">
      <formula>LEN(TRIM(E23))=0</formula>
    </cfRule>
  </conditionalFormatting>
  <conditionalFormatting sqref="F12:G12">
    <cfRule type="containsBlanks" dxfId="153" priority="8">
      <formula>LEN(TRIM(F12))=0</formula>
    </cfRule>
  </conditionalFormatting>
  <conditionalFormatting sqref="I22:I34">
    <cfRule type="containsBlanks" dxfId="152" priority="7">
      <formula>LEN(TRIM(I22))=0</formula>
    </cfRule>
  </conditionalFormatting>
  <conditionalFormatting sqref="I37">
    <cfRule type="containsBlanks" dxfId="151" priority="2">
      <formula>LEN(TRIM(I37))=0</formula>
    </cfRule>
  </conditionalFormatting>
  <conditionalFormatting sqref="K22:K34">
    <cfRule type="containsBlanks" dxfId="150" priority="6">
      <formula>LEN(TRIM(K22))=0</formula>
    </cfRule>
  </conditionalFormatting>
  <dataValidations count="2">
    <dataValidation type="list" allowBlank="1" showInputMessage="1" showErrorMessage="1" sqref="C12" xr:uid="{00000000-0002-0000-0700-000000000000}">
      <formula1>$T$6:$T$13</formula1>
    </dataValidation>
    <dataValidation type="list" allowBlank="1" showInputMessage="1" showErrorMessage="1" sqref="I37" xr:uid="{00000000-0002-0000-0700-000001000000}">
      <formula1>"5 kN, 50 kN"</formula1>
    </dataValidation>
  </dataValidations>
  <printOptions horizontalCentered="1" verticalCentered="1"/>
  <pageMargins left="0.31496062992126" right="0.31496062992126" top="0.15748031496063" bottom="0.55118110236220497" header="0" footer="0.118110236220472"/>
  <pageSetup scale="42" fitToWidth="0" fitToHeight="0" orientation="landscape" r:id="rId1"/>
  <headerFooter>
    <oddFooter>&amp;C&amp;"Arial,Normal"&amp;10GEODELTA S.A.S. Calle 68 B bis No 70 C 95, Móvil: 318 7902368 Bogotá DC - Colombia
e-mail: laboratoriogeodelta@gmail.com</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8" tint="-0.499984740745262"/>
  </sheetPr>
  <dimension ref="A1:AB73"/>
  <sheetViews>
    <sheetView showGridLines="0" view="pageBreakPreview" topLeftCell="A24" zoomScale="85" zoomScaleNormal="50" zoomScalePageLayoutView="50" workbookViewId="0">
      <selection activeCell="G38" sqref="G38"/>
    </sheetView>
  </sheetViews>
  <sheetFormatPr baseColWidth="10" defaultColWidth="11" defaultRowHeight="14.25"/>
  <cols>
    <col min="1" max="1" width="10.5703125" style="3" customWidth="1"/>
    <col min="2" max="2" width="35.42578125" style="3" customWidth="1"/>
    <col min="3" max="3" width="20.85546875" style="3" customWidth="1"/>
    <col min="4" max="5" width="26.7109375" style="3" customWidth="1"/>
    <col min="6" max="6" width="3.7109375" style="3" customWidth="1"/>
    <col min="7" max="7" width="29.140625" style="3" customWidth="1"/>
    <col min="8" max="8" width="27.140625" style="3" customWidth="1"/>
    <col min="9" max="10" width="24.28515625" style="3" customWidth="1"/>
    <col min="11" max="12" width="22.42578125" style="3" customWidth="1"/>
    <col min="13" max="13" width="1.85546875" style="3" customWidth="1"/>
    <col min="14" max="16" width="12.85546875" style="3" customWidth="1"/>
    <col min="17" max="17" width="6.5703125" style="3" customWidth="1"/>
    <col min="18" max="18" width="6.28515625" style="3" customWidth="1"/>
    <col min="19" max="184" width="11" style="3"/>
    <col min="185" max="185" width="0.7109375" style="3" customWidth="1"/>
    <col min="186" max="186" width="6.5703125" style="3" customWidth="1"/>
    <col min="187" max="187" width="13.5703125" style="3" customWidth="1"/>
    <col min="188" max="188" width="13.42578125" style="3" customWidth="1"/>
    <col min="189" max="190" width="12.5703125" style="3" customWidth="1"/>
    <col min="191" max="191" width="14.85546875" style="3" customWidth="1"/>
    <col min="192" max="192" width="20.7109375" style="3" customWidth="1"/>
    <col min="193" max="193" width="12.5703125" style="3" customWidth="1"/>
    <col min="194" max="194" width="13" style="3" customWidth="1"/>
    <col min="195" max="195" width="16" style="3" customWidth="1"/>
    <col min="196" max="196" width="6.42578125" style="3" customWidth="1"/>
    <col min="197" max="197" width="16" style="3" customWidth="1"/>
    <col min="198" max="198" width="2.85546875" style="3" customWidth="1"/>
    <col min="199" max="199" width="0.85546875" style="3" customWidth="1"/>
    <col min="200" max="200" width="11" style="3"/>
    <col min="201" max="201" width="15.42578125" style="3" customWidth="1"/>
    <col min="202" max="204" width="14.85546875" style="3" customWidth="1"/>
    <col min="205" max="205" width="0.7109375" style="3" customWidth="1"/>
    <col min="206" max="206" width="11" style="3"/>
    <col min="207" max="207" width="15.7109375" style="3" customWidth="1"/>
    <col min="208" max="209" width="14.85546875" style="3" customWidth="1"/>
    <col min="210" max="210" width="3.28515625" style="3" customWidth="1"/>
    <col min="211" max="211" width="20.140625" style="3" customWidth="1"/>
    <col min="212" max="212" width="3.28515625" style="3" customWidth="1"/>
    <col min="213" max="217" width="11" style="3"/>
    <col min="218" max="230" width="4.7109375" style="3" customWidth="1"/>
    <col min="231" max="440" width="11" style="3"/>
    <col min="441" max="441" width="0.7109375" style="3" customWidth="1"/>
    <col min="442" max="442" width="6.5703125" style="3" customWidth="1"/>
    <col min="443" max="443" width="13.5703125" style="3" customWidth="1"/>
    <col min="444" max="444" width="13.42578125" style="3" customWidth="1"/>
    <col min="445" max="446" width="12.5703125" style="3" customWidth="1"/>
    <col min="447" max="447" width="14.85546875" style="3" customWidth="1"/>
    <col min="448" max="448" width="20.7109375" style="3" customWidth="1"/>
    <col min="449" max="449" width="12.5703125" style="3" customWidth="1"/>
    <col min="450" max="450" width="13" style="3" customWidth="1"/>
    <col min="451" max="451" width="16" style="3" customWidth="1"/>
    <col min="452" max="452" width="6.42578125" style="3" customWidth="1"/>
    <col min="453" max="453" width="16" style="3" customWidth="1"/>
    <col min="454" max="454" width="2.85546875" style="3" customWidth="1"/>
    <col min="455" max="455" width="0.85546875" style="3" customWidth="1"/>
    <col min="456" max="456" width="11" style="3"/>
    <col min="457" max="457" width="15.42578125" style="3" customWidth="1"/>
    <col min="458" max="460" width="14.85546875" style="3" customWidth="1"/>
    <col min="461" max="461" width="0.7109375" style="3" customWidth="1"/>
    <col min="462" max="462" width="11" style="3"/>
    <col min="463" max="463" width="15.7109375" style="3" customWidth="1"/>
    <col min="464" max="465" width="14.85546875" style="3" customWidth="1"/>
    <col min="466" max="466" width="3.28515625" style="3" customWidth="1"/>
    <col min="467" max="467" width="20.140625" style="3" customWidth="1"/>
    <col min="468" max="468" width="3.28515625" style="3" customWidth="1"/>
    <col min="469" max="473" width="11" style="3"/>
    <col min="474" max="486" width="4.7109375" style="3" customWidth="1"/>
    <col min="487" max="696" width="11" style="3"/>
    <col min="697" max="697" width="0.7109375" style="3" customWidth="1"/>
    <col min="698" max="698" width="6.5703125" style="3" customWidth="1"/>
    <col min="699" max="699" width="13.5703125" style="3" customWidth="1"/>
    <col min="700" max="700" width="13.42578125" style="3" customWidth="1"/>
    <col min="701" max="702" width="12.5703125" style="3" customWidth="1"/>
    <col min="703" max="703" width="14.85546875" style="3" customWidth="1"/>
    <col min="704" max="704" width="20.7109375" style="3" customWidth="1"/>
    <col min="705" max="705" width="12.5703125" style="3" customWidth="1"/>
    <col min="706" max="706" width="13" style="3" customWidth="1"/>
    <col min="707" max="707" width="16" style="3" customWidth="1"/>
    <col min="708" max="708" width="6.42578125" style="3" customWidth="1"/>
    <col min="709" max="709" width="16" style="3" customWidth="1"/>
    <col min="710" max="710" width="2.85546875" style="3" customWidth="1"/>
    <col min="711" max="711" width="0.85546875" style="3" customWidth="1"/>
    <col min="712" max="712" width="11" style="3"/>
    <col min="713" max="713" width="15.42578125" style="3" customWidth="1"/>
    <col min="714" max="716" width="14.85546875" style="3" customWidth="1"/>
    <col min="717" max="717" width="0.7109375" style="3" customWidth="1"/>
    <col min="718" max="718" width="11" style="3"/>
    <col min="719" max="719" width="15.7109375" style="3" customWidth="1"/>
    <col min="720" max="721" width="14.85546875" style="3" customWidth="1"/>
    <col min="722" max="722" width="3.28515625" style="3" customWidth="1"/>
    <col min="723" max="723" width="20.140625" style="3" customWidth="1"/>
    <col min="724" max="724" width="3.28515625" style="3" customWidth="1"/>
    <col min="725" max="729" width="11" style="3"/>
    <col min="730" max="742" width="4.7109375" style="3" customWidth="1"/>
    <col min="743" max="952" width="11" style="3"/>
    <col min="953" max="953" width="0.7109375" style="3" customWidth="1"/>
    <col min="954" max="954" width="6.5703125" style="3" customWidth="1"/>
    <col min="955" max="955" width="13.5703125" style="3" customWidth="1"/>
    <col min="956" max="956" width="13.42578125" style="3" customWidth="1"/>
    <col min="957" max="958" width="12.5703125" style="3" customWidth="1"/>
    <col min="959" max="959" width="14.85546875" style="3" customWidth="1"/>
    <col min="960" max="960" width="20.7109375" style="3" customWidth="1"/>
    <col min="961" max="961" width="12.5703125" style="3" customWidth="1"/>
    <col min="962" max="962" width="13" style="3" customWidth="1"/>
    <col min="963" max="963" width="16" style="3" customWidth="1"/>
    <col min="964" max="964" width="6.42578125" style="3" customWidth="1"/>
    <col min="965" max="965" width="16" style="3" customWidth="1"/>
    <col min="966" max="966" width="2.85546875" style="3" customWidth="1"/>
    <col min="967" max="967" width="0.85546875" style="3" customWidth="1"/>
    <col min="968" max="968" width="11" style="3"/>
    <col min="969" max="969" width="15.42578125" style="3" customWidth="1"/>
    <col min="970" max="972" width="14.85546875" style="3" customWidth="1"/>
    <col min="973" max="973" width="0.7109375" style="3" customWidth="1"/>
    <col min="974" max="974" width="11" style="3"/>
    <col min="975" max="975" width="15.7109375" style="3" customWidth="1"/>
    <col min="976" max="977" width="14.85546875" style="3" customWidth="1"/>
    <col min="978" max="978" width="3.28515625" style="3" customWidth="1"/>
    <col min="979" max="979" width="20.140625" style="3" customWidth="1"/>
    <col min="980" max="980" width="3.28515625" style="3" customWidth="1"/>
    <col min="981" max="985" width="11" style="3"/>
    <col min="986" max="998" width="4.7109375" style="3" customWidth="1"/>
    <col min="999" max="1208" width="11" style="3"/>
    <col min="1209" max="1209" width="0.7109375" style="3" customWidth="1"/>
    <col min="1210" max="1210" width="6.5703125" style="3" customWidth="1"/>
    <col min="1211" max="1211" width="13.5703125" style="3" customWidth="1"/>
    <col min="1212" max="1212" width="13.42578125" style="3" customWidth="1"/>
    <col min="1213" max="1214" width="12.5703125" style="3" customWidth="1"/>
    <col min="1215" max="1215" width="14.85546875" style="3" customWidth="1"/>
    <col min="1216" max="1216" width="20.7109375" style="3" customWidth="1"/>
    <col min="1217" max="1217" width="12.5703125" style="3" customWidth="1"/>
    <col min="1218" max="1218" width="13" style="3" customWidth="1"/>
    <col min="1219" max="1219" width="16" style="3" customWidth="1"/>
    <col min="1220" max="1220" width="6.42578125" style="3" customWidth="1"/>
    <col min="1221" max="1221" width="16" style="3" customWidth="1"/>
    <col min="1222" max="1222" width="2.85546875" style="3" customWidth="1"/>
    <col min="1223" max="1223" width="0.85546875" style="3" customWidth="1"/>
    <col min="1224" max="1224" width="11" style="3"/>
    <col min="1225" max="1225" width="15.42578125" style="3" customWidth="1"/>
    <col min="1226" max="1228" width="14.85546875" style="3" customWidth="1"/>
    <col min="1229" max="1229" width="0.7109375" style="3" customWidth="1"/>
    <col min="1230" max="1230" width="11" style="3"/>
    <col min="1231" max="1231" width="15.7109375" style="3" customWidth="1"/>
    <col min="1232" max="1233" width="14.85546875" style="3" customWidth="1"/>
    <col min="1234" max="1234" width="3.28515625" style="3" customWidth="1"/>
    <col min="1235" max="1235" width="20.140625" style="3" customWidth="1"/>
    <col min="1236" max="1236" width="3.28515625" style="3" customWidth="1"/>
    <col min="1237" max="1241" width="11" style="3"/>
    <col min="1242" max="1254" width="4.7109375" style="3" customWidth="1"/>
    <col min="1255" max="1464" width="11" style="3"/>
    <col min="1465" max="1465" width="0.7109375" style="3" customWidth="1"/>
    <col min="1466" max="1466" width="6.5703125" style="3" customWidth="1"/>
    <col min="1467" max="1467" width="13.5703125" style="3" customWidth="1"/>
    <col min="1468" max="1468" width="13.42578125" style="3" customWidth="1"/>
    <col min="1469" max="1470" width="12.5703125" style="3" customWidth="1"/>
    <col min="1471" max="1471" width="14.85546875" style="3" customWidth="1"/>
    <col min="1472" max="1472" width="20.7109375" style="3" customWidth="1"/>
    <col min="1473" max="1473" width="12.5703125" style="3" customWidth="1"/>
    <col min="1474" max="1474" width="13" style="3" customWidth="1"/>
    <col min="1475" max="1475" width="16" style="3" customWidth="1"/>
    <col min="1476" max="1476" width="6.42578125" style="3" customWidth="1"/>
    <col min="1477" max="1477" width="16" style="3" customWidth="1"/>
    <col min="1478" max="1478" width="2.85546875" style="3" customWidth="1"/>
    <col min="1479" max="1479" width="0.85546875" style="3" customWidth="1"/>
    <col min="1480" max="1480" width="11" style="3"/>
    <col min="1481" max="1481" width="15.42578125" style="3" customWidth="1"/>
    <col min="1482" max="1484" width="14.85546875" style="3" customWidth="1"/>
    <col min="1485" max="1485" width="0.7109375" style="3" customWidth="1"/>
    <col min="1486" max="1486" width="11" style="3"/>
    <col min="1487" max="1487" width="15.7109375" style="3" customWidth="1"/>
    <col min="1488" max="1489" width="14.85546875" style="3" customWidth="1"/>
    <col min="1490" max="1490" width="3.28515625" style="3" customWidth="1"/>
    <col min="1491" max="1491" width="20.140625" style="3" customWidth="1"/>
    <col min="1492" max="1492" width="3.28515625" style="3" customWidth="1"/>
    <col min="1493" max="1497" width="11" style="3"/>
    <col min="1498" max="1510" width="4.7109375" style="3" customWidth="1"/>
    <col min="1511" max="1720" width="11" style="3"/>
    <col min="1721" max="1721" width="0.7109375" style="3" customWidth="1"/>
    <col min="1722" max="1722" width="6.5703125" style="3" customWidth="1"/>
    <col min="1723" max="1723" width="13.5703125" style="3" customWidth="1"/>
    <col min="1724" max="1724" width="13.42578125" style="3" customWidth="1"/>
    <col min="1725" max="1726" width="12.5703125" style="3" customWidth="1"/>
    <col min="1727" max="1727" width="14.85546875" style="3" customWidth="1"/>
    <col min="1728" max="1728" width="20.7109375" style="3" customWidth="1"/>
    <col min="1729" max="1729" width="12.5703125" style="3" customWidth="1"/>
    <col min="1730" max="1730" width="13" style="3" customWidth="1"/>
    <col min="1731" max="1731" width="16" style="3" customWidth="1"/>
    <col min="1732" max="1732" width="6.42578125" style="3" customWidth="1"/>
    <col min="1733" max="1733" width="16" style="3" customWidth="1"/>
    <col min="1734" max="1734" width="2.85546875" style="3" customWidth="1"/>
    <col min="1735" max="1735" width="0.85546875" style="3" customWidth="1"/>
    <col min="1736" max="1736" width="11" style="3"/>
    <col min="1737" max="1737" width="15.42578125" style="3" customWidth="1"/>
    <col min="1738" max="1740" width="14.85546875" style="3" customWidth="1"/>
    <col min="1741" max="1741" width="0.7109375" style="3" customWidth="1"/>
    <col min="1742" max="1742" width="11" style="3"/>
    <col min="1743" max="1743" width="15.7109375" style="3" customWidth="1"/>
    <col min="1744" max="1745" width="14.85546875" style="3" customWidth="1"/>
    <col min="1746" max="1746" width="3.28515625" style="3" customWidth="1"/>
    <col min="1747" max="1747" width="20.140625" style="3" customWidth="1"/>
    <col min="1748" max="1748" width="3.28515625" style="3" customWidth="1"/>
    <col min="1749" max="1753" width="11" style="3"/>
    <col min="1754" max="1766" width="4.7109375" style="3" customWidth="1"/>
    <col min="1767" max="1976" width="11" style="3"/>
    <col min="1977" max="1977" width="0.7109375" style="3" customWidth="1"/>
    <col min="1978" max="1978" width="6.5703125" style="3" customWidth="1"/>
    <col min="1979" max="1979" width="13.5703125" style="3" customWidth="1"/>
    <col min="1980" max="1980" width="13.42578125" style="3" customWidth="1"/>
    <col min="1981" max="1982" width="12.5703125" style="3" customWidth="1"/>
    <col min="1983" max="1983" width="14.85546875" style="3" customWidth="1"/>
    <col min="1984" max="1984" width="20.7109375" style="3" customWidth="1"/>
    <col min="1985" max="1985" width="12.5703125" style="3" customWidth="1"/>
    <col min="1986" max="1986" width="13" style="3" customWidth="1"/>
    <col min="1987" max="1987" width="16" style="3" customWidth="1"/>
    <col min="1988" max="1988" width="6.42578125" style="3" customWidth="1"/>
    <col min="1989" max="1989" width="16" style="3" customWidth="1"/>
    <col min="1990" max="1990" width="2.85546875" style="3" customWidth="1"/>
    <col min="1991" max="1991" width="0.85546875" style="3" customWidth="1"/>
    <col min="1992" max="1992" width="11" style="3"/>
    <col min="1993" max="1993" width="15.42578125" style="3" customWidth="1"/>
    <col min="1994" max="1996" width="14.85546875" style="3" customWidth="1"/>
    <col min="1997" max="1997" width="0.7109375" style="3" customWidth="1"/>
    <col min="1998" max="1998" width="11" style="3"/>
    <col min="1999" max="1999" width="15.7109375" style="3" customWidth="1"/>
    <col min="2000" max="2001" width="14.85546875" style="3" customWidth="1"/>
    <col min="2002" max="2002" width="3.28515625" style="3" customWidth="1"/>
    <col min="2003" max="2003" width="20.140625" style="3" customWidth="1"/>
    <col min="2004" max="2004" width="3.28515625" style="3" customWidth="1"/>
    <col min="2005" max="2009" width="11" style="3"/>
    <col min="2010" max="2022" width="4.7109375" style="3" customWidth="1"/>
    <col min="2023" max="2232" width="11" style="3"/>
    <col min="2233" max="2233" width="0.7109375" style="3" customWidth="1"/>
    <col min="2234" max="2234" width="6.5703125" style="3" customWidth="1"/>
    <col min="2235" max="2235" width="13.5703125" style="3" customWidth="1"/>
    <col min="2236" max="2236" width="13.42578125" style="3" customWidth="1"/>
    <col min="2237" max="2238" width="12.5703125" style="3" customWidth="1"/>
    <col min="2239" max="2239" width="14.85546875" style="3" customWidth="1"/>
    <col min="2240" max="2240" width="20.7109375" style="3" customWidth="1"/>
    <col min="2241" max="2241" width="12.5703125" style="3" customWidth="1"/>
    <col min="2242" max="2242" width="13" style="3" customWidth="1"/>
    <col min="2243" max="2243" width="16" style="3" customWidth="1"/>
    <col min="2244" max="2244" width="6.42578125" style="3" customWidth="1"/>
    <col min="2245" max="2245" width="16" style="3" customWidth="1"/>
    <col min="2246" max="2246" width="2.85546875" style="3" customWidth="1"/>
    <col min="2247" max="2247" width="0.85546875" style="3" customWidth="1"/>
    <col min="2248" max="2248" width="11" style="3"/>
    <col min="2249" max="2249" width="15.42578125" style="3" customWidth="1"/>
    <col min="2250" max="2252" width="14.85546875" style="3" customWidth="1"/>
    <col min="2253" max="2253" width="0.7109375" style="3" customWidth="1"/>
    <col min="2254" max="2254" width="11" style="3"/>
    <col min="2255" max="2255" width="15.7109375" style="3" customWidth="1"/>
    <col min="2256" max="2257" width="14.85546875" style="3" customWidth="1"/>
    <col min="2258" max="2258" width="3.28515625" style="3" customWidth="1"/>
    <col min="2259" max="2259" width="20.140625" style="3" customWidth="1"/>
    <col min="2260" max="2260" width="3.28515625" style="3" customWidth="1"/>
    <col min="2261" max="2265" width="11" style="3"/>
    <col min="2266" max="2278" width="4.7109375" style="3" customWidth="1"/>
    <col min="2279" max="2488" width="11" style="3"/>
    <col min="2489" max="2489" width="0.7109375" style="3" customWidth="1"/>
    <col min="2490" max="2490" width="6.5703125" style="3" customWidth="1"/>
    <col min="2491" max="2491" width="13.5703125" style="3" customWidth="1"/>
    <col min="2492" max="2492" width="13.42578125" style="3" customWidth="1"/>
    <col min="2493" max="2494" width="12.5703125" style="3" customWidth="1"/>
    <col min="2495" max="2495" width="14.85546875" style="3" customWidth="1"/>
    <col min="2496" max="2496" width="20.7109375" style="3" customWidth="1"/>
    <col min="2497" max="2497" width="12.5703125" style="3" customWidth="1"/>
    <col min="2498" max="2498" width="13" style="3" customWidth="1"/>
    <col min="2499" max="2499" width="16" style="3" customWidth="1"/>
    <col min="2500" max="2500" width="6.42578125" style="3" customWidth="1"/>
    <col min="2501" max="2501" width="16" style="3" customWidth="1"/>
    <col min="2502" max="2502" width="2.85546875" style="3" customWidth="1"/>
    <col min="2503" max="2503" width="0.85546875" style="3" customWidth="1"/>
    <col min="2504" max="2504" width="11" style="3"/>
    <col min="2505" max="2505" width="15.42578125" style="3" customWidth="1"/>
    <col min="2506" max="2508" width="14.85546875" style="3" customWidth="1"/>
    <col min="2509" max="2509" width="0.7109375" style="3" customWidth="1"/>
    <col min="2510" max="2510" width="11" style="3"/>
    <col min="2511" max="2511" width="15.7109375" style="3" customWidth="1"/>
    <col min="2512" max="2513" width="14.85546875" style="3" customWidth="1"/>
    <col min="2514" max="2514" width="3.28515625" style="3" customWidth="1"/>
    <col min="2515" max="2515" width="20.140625" style="3" customWidth="1"/>
    <col min="2516" max="2516" width="3.28515625" style="3" customWidth="1"/>
    <col min="2517" max="2521" width="11" style="3"/>
    <col min="2522" max="2534" width="4.7109375" style="3" customWidth="1"/>
    <col min="2535" max="2744" width="11" style="3"/>
    <col min="2745" max="2745" width="0.7109375" style="3" customWidth="1"/>
    <col min="2746" max="2746" width="6.5703125" style="3" customWidth="1"/>
    <col min="2747" max="2747" width="13.5703125" style="3" customWidth="1"/>
    <col min="2748" max="2748" width="13.42578125" style="3" customWidth="1"/>
    <col min="2749" max="2750" width="12.5703125" style="3" customWidth="1"/>
    <col min="2751" max="2751" width="14.85546875" style="3" customWidth="1"/>
    <col min="2752" max="2752" width="20.7109375" style="3" customWidth="1"/>
    <col min="2753" max="2753" width="12.5703125" style="3" customWidth="1"/>
    <col min="2754" max="2754" width="13" style="3" customWidth="1"/>
    <col min="2755" max="2755" width="16" style="3" customWidth="1"/>
    <col min="2756" max="2756" width="6.42578125" style="3" customWidth="1"/>
    <col min="2757" max="2757" width="16" style="3" customWidth="1"/>
    <col min="2758" max="2758" width="2.85546875" style="3" customWidth="1"/>
    <col min="2759" max="2759" width="0.85546875" style="3" customWidth="1"/>
    <col min="2760" max="2760" width="11" style="3"/>
    <col min="2761" max="2761" width="15.42578125" style="3" customWidth="1"/>
    <col min="2762" max="2764" width="14.85546875" style="3" customWidth="1"/>
    <col min="2765" max="2765" width="0.7109375" style="3" customWidth="1"/>
    <col min="2766" max="2766" width="11" style="3"/>
    <col min="2767" max="2767" width="15.7109375" style="3" customWidth="1"/>
    <col min="2768" max="2769" width="14.85546875" style="3" customWidth="1"/>
    <col min="2770" max="2770" width="3.28515625" style="3" customWidth="1"/>
    <col min="2771" max="2771" width="20.140625" style="3" customWidth="1"/>
    <col min="2772" max="2772" width="3.28515625" style="3" customWidth="1"/>
    <col min="2773" max="2777" width="11" style="3"/>
    <col min="2778" max="2790" width="4.7109375" style="3" customWidth="1"/>
    <col min="2791" max="3000" width="11" style="3"/>
    <col min="3001" max="3001" width="0.7109375" style="3" customWidth="1"/>
    <col min="3002" max="3002" width="6.5703125" style="3" customWidth="1"/>
    <col min="3003" max="3003" width="13.5703125" style="3" customWidth="1"/>
    <col min="3004" max="3004" width="13.42578125" style="3" customWidth="1"/>
    <col min="3005" max="3006" width="12.5703125" style="3" customWidth="1"/>
    <col min="3007" max="3007" width="14.85546875" style="3" customWidth="1"/>
    <col min="3008" max="3008" width="20.7109375" style="3" customWidth="1"/>
    <col min="3009" max="3009" width="12.5703125" style="3" customWidth="1"/>
    <col min="3010" max="3010" width="13" style="3" customWidth="1"/>
    <col min="3011" max="3011" width="16" style="3" customWidth="1"/>
    <col min="3012" max="3012" width="6.42578125" style="3" customWidth="1"/>
    <col min="3013" max="3013" width="16" style="3" customWidth="1"/>
    <col min="3014" max="3014" width="2.85546875" style="3" customWidth="1"/>
    <col min="3015" max="3015" width="0.85546875" style="3" customWidth="1"/>
    <col min="3016" max="3016" width="11" style="3"/>
    <col min="3017" max="3017" width="15.42578125" style="3" customWidth="1"/>
    <col min="3018" max="3020" width="14.85546875" style="3" customWidth="1"/>
    <col min="3021" max="3021" width="0.7109375" style="3" customWidth="1"/>
    <col min="3022" max="3022" width="11" style="3"/>
    <col min="3023" max="3023" width="15.7109375" style="3" customWidth="1"/>
    <col min="3024" max="3025" width="14.85546875" style="3" customWidth="1"/>
    <col min="3026" max="3026" width="3.28515625" style="3" customWidth="1"/>
    <col min="3027" max="3027" width="20.140625" style="3" customWidth="1"/>
    <col min="3028" max="3028" width="3.28515625" style="3" customWidth="1"/>
    <col min="3029" max="3033" width="11" style="3"/>
    <col min="3034" max="3046" width="4.7109375" style="3" customWidth="1"/>
    <col min="3047" max="3256" width="11" style="3"/>
    <col min="3257" max="3257" width="0.7109375" style="3" customWidth="1"/>
    <col min="3258" max="3258" width="6.5703125" style="3" customWidth="1"/>
    <col min="3259" max="3259" width="13.5703125" style="3" customWidth="1"/>
    <col min="3260" max="3260" width="13.42578125" style="3" customWidth="1"/>
    <col min="3261" max="3262" width="12.5703125" style="3" customWidth="1"/>
    <col min="3263" max="3263" width="14.85546875" style="3" customWidth="1"/>
    <col min="3264" max="3264" width="20.7109375" style="3" customWidth="1"/>
    <col min="3265" max="3265" width="12.5703125" style="3" customWidth="1"/>
    <col min="3266" max="3266" width="13" style="3" customWidth="1"/>
    <col min="3267" max="3267" width="16" style="3" customWidth="1"/>
    <col min="3268" max="3268" width="6.42578125" style="3" customWidth="1"/>
    <col min="3269" max="3269" width="16" style="3" customWidth="1"/>
    <col min="3270" max="3270" width="2.85546875" style="3" customWidth="1"/>
    <col min="3271" max="3271" width="0.85546875" style="3" customWidth="1"/>
    <col min="3272" max="3272" width="11" style="3"/>
    <col min="3273" max="3273" width="15.42578125" style="3" customWidth="1"/>
    <col min="3274" max="3276" width="14.85546875" style="3" customWidth="1"/>
    <col min="3277" max="3277" width="0.7109375" style="3" customWidth="1"/>
    <col min="3278" max="3278" width="11" style="3"/>
    <col min="3279" max="3279" width="15.7109375" style="3" customWidth="1"/>
    <col min="3280" max="3281" width="14.85546875" style="3" customWidth="1"/>
    <col min="3282" max="3282" width="3.28515625" style="3" customWidth="1"/>
    <col min="3283" max="3283" width="20.140625" style="3" customWidth="1"/>
    <col min="3284" max="3284" width="3.28515625" style="3" customWidth="1"/>
    <col min="3285" max="3289" width="11" style="3"/>
    <col min="3290" max="3302" width="4.7109375" style="3" customWidth="1"/>
    <col min="3303" max="3512" width="11" style="3"/>
    <col min="3513" max="3513" width="0.7109375" style="3" customWidth="1"/>
    <col min="3514" max="3514" width="6.5703125" style="3" customWidth="1"/>
    <col min="3515" max="3515" width="13.5703125" style="3" customWidth="1"/>
    <col min="3516" max="3516" width="13.42578125" style="3" customWidth="1"/>
    <col min="3517" max="3518" width="12.5703125" style="3" customWidth="1"/>
    <col min="3519" max="3519" width="14.85546875" style="3" customWidth="1"/>
    <col min="3520" max="3520" width="20.7109375" style="3" customWidth="1"/>
    <col min="3521" max="3521" width="12.5703125" style="3" customWidth="1"/>
    <col min="3522" max="3522" width="13" style="3" customWidth="1"/>
    <col min="3523" max="3523" width="16" style="3" customWidth="1"/>
    <col min="3524" max="3524" width="6.42578125" style="3" customWidth="1"/>
    <col min="3525" max="3525" width="16" style="3" customWidth="1"/>
    <col min="3526" max="3526" width="2.85546875" style="3" customWidth="1"/>
    <col min="3527" max="3527" width="0.85546875" style="3" customWidth="1"/>
    <col min="3528" max="3528" width="11" style="3"/>
    <col min="3529" max="3529" width="15.42578125" style="3" customWidth="1"/>
    <col min="3530" max="3532" width="14.85546875" style="3" customWidth="1"/>
    <col min="3533" max="3533" width="0.7109375" style="3" customWidth="1"/>
    <col min="3534" max="3534" width="11" style="3"/>
    <col min="3535" max="3535" width="15.7109375" style="3" customWidth="1"/>
    <col min="3536" max="3537" width="14.85546875" style="3" customWidth="1"/>
    <col min="3538" max="3538" width="3.28515625" style="3" customWidth="1"/>
    <col min="3539" max="3539" width="20.140625" style="3" customWidth="1"/>
    <col min="3540" max="3540" width="3.28515625" style="3" customWidth="1"/>
    <col min="3541" max="3545" width="11" style="3"/>
    <col min="3546" max="3558" width="4.7109375" style="3" customWidth="1"/>
    <col min="3559" max="3768" width="11" style="3"/>
    <col min="3769" max="3769" width="0.7109375" style="3" customWidth="1"/>
    <col min="3770" max="3770" width="6.5703125" style="3" customWidth="1"/>
    <col min="3771" max="3771" width="13.5703125" style="3" customWidth="1"/>
    <col min="3772" max="3772" width="13.42578125" style="3" customWidth="1"/>
    <col min="3773" max="3774" width="12.5703125" style="3" customWidth="1"/>
    <col min="3775" max="3775" width="14.85546875" style="3" customWidth="1"/>
    <col min="3776" max="3776" width="20.7109375" style="3" customWidth="1"/>
    <col min="3777" max="3777" width="12.5703125" style="3" customWidth="1"/>
    <col min="3778" max="3778" width="13" style="3" customWidth="1"/>
    <col min="3779" max="3779" width="16" style="3" customWidth="1"/>
    <col min="3780" max="3780" width="6.42578125" style="3" customWidth="1"/>
    <col min="3781" max="3781" width="16" style="3" customWidth="1"/>
    <col min="3782" max="3782" width="2.85546875" style="3" customWidth="1"/>
    <col min="3783" max="3783" width="0.85546875" style="3" customWidth="1"/>
    <col min="3784" max="3784" width="11" style="3"/>
    <col min="3785" max="3785" width="15.42578125" style="3" customWidth="1"/>
    <col min="3786" max="3788" width="14.85546875" style="3" customWidth="1"/>
    <col min="3789" max="3789" width="0.7109375" style="3" customWidth="1"/>
    <col min="3790" max="3790" width="11" style="3"/>
    <col min="3791" max="3791" width="15.7109375" style="3" customWidth="1"/>
    <col min="3792" max="3793" width="14.85546875" style="3" customWidth="1"/>
    <col min="3794" max="3794" width="3.28515625" style="3" customWidth="1"/>
    <col min="3795" max="3795" width="20.140625" style="3" customWidth="1"/>
    <col min="3796" max="3796" width="3.28515625" style="3" customWidth="1"/>
    <col min="3797" max="3801" width="11" style="3"/>
    <col min="3802" max="3814" width="4.7109375" style="3" customWidth="1"/>
    <col min="3815" max="4024" width="11" style="3"/>
    <col min="4025" max="4025" width="0.7109375" style="3" customWidth="1"/>
    <col min="4026" max="4026" width="6.5703125" style="3" customWidth="1"/>
    <col min="4027" max="4027" width="13.5703125" style="3" customWidth="1"/>
    <col min="4028" max="4028" width="13.42578125" style="3" customWidth="1"/>
    <col min="4029" max="4030" width="12.5703125" style="3" customWidth="1"/>
    <col min="4031" max="4031" width="14.85546875" style="3" customWidth="1"/>
    <col min="4032" max="4032" width="20.7109375" style="3" customWidth="1"/>
    <col min="4033" max="4033" width="12.5703125" style="3" customWidth="1"/>
    <col min="4034" max="4034" width="13" style="3" customWidth="1"/>
    <col min="4035" max="4035" width="16" style="3" customWidth="1"/>
    <col min="4036" max="4036" width="6.42578125" style="3" customWidth="1"/>
    <col min="4037" max="4037" width="16" style="3" customWidth="1"/>
    <col min="4038" max="4038" width="2.85546875" style="3" customWidth="1"/>
    <col min="4039" max="4039" width="0.85546875" style="3" customWidth="1"/>
    <col min="4040" max="4040" width="11" style="3"/>
    <col min="4041" max="4041" width="15.42578125" style="3" customWidth="1"/>
    <col min="4042" max="4044" width="14.85546875" style="3" customWidth="1"/>
    <col min="4045" max="4045" width="0.7109375" style="3" customWidth="1"/>
    <col min="4046" max="4046" width="11" style="3"/>
    <col min="4047" max="4047" width="15.7109375" style="3" customWidth="1"/>
    <col min="4048" max="4049" width="14.85546875" style="3" customWidth="1"/>
    <col min="4050" max="4050" width="3.28515625" style="3" customWidth="1"/>
    <col min="4051" max="4051" width="20.140625" style="3" customWidth="1"/>
    <col min="4052" max="4052" width="3.28515625" style="3" customWidth="1"/>
    <col min="4053" max="4057" width="11" style="3"/>
    <col min="4058" max="4070" width="4.7109375" style="3" customWidth="1"/>
    <col min="4071" max="4280" width="11" style="3"/>
    <col min="4281" max="4281" width="0.7109375" style="3" customWidth="1"/>
    <col min="4282" max="4282" width="6.5703125" style="3" customWidth="1"/>
    <col min="4283" max="4283" width="13.5703125" style="3" customWidth="1"/>
    <col min="4284" max="4284" width="13.42578125" style="3" customWidth="1"/>
    <col min="4285" max="4286" width="12.5703125" style="3" customWidth="1"/>
    <col min="4287" max="4287" width="14.85546875" style="3" customWidth="1"/>
    <col min="4288" max="4288" width="20.7109375" style="3" customWidth="1"/>
    <col min="4289" max="4289" width="12.5703125" style="3" customWidth="1"/>
    <col min="4290" max="4290" width="13" style="3" customWidth="1"/>
    <col min="4291" max="4291" width="16" style="3" customWidth="1"/>
    <col min="4292" max="4292" width="6.42578125" style="3" customWidth="1"/>
    <col min="4293" max="4293" width="16" style="3" customWidth="1"/>
    <col min="4294" max="4294" width="2.85546875" style="3" customWidth="1"/>
    <col min="4295" max="4295" width="0.85546875" style="3" customWidth="1"/>
    <col min="4296" max="4296" width="11" style="3"/>
    <col min="4297" max="4297" width="15.42578125" style="3" customWidth="1"/>
    <col min="4298" max="4300" width="14.85546875" style="3" customWidth="1"/>
    <col min="4301" max="4301" width="0.7109375" style="3" customWidth="1"/>
    <col min="4302" max="4302" width="11" style="3"/>
    <col min="4303" max="4303" width="15.7109375" style="3" customWidth="1"/>
    <col min="4304" max="4305" width="14.85546875" style="3" customWidth="1"/>
    <col min="4306" max="4306" width="3.28515625" style="3" customWidth="1"/>
    <col min="4307" max="4307" width="20.140625" style="3" customWidth="1"/>
    <col min="4308" max="4308" width="3.28515625" style="3" customWidth="1"/>
    <col min="4309" max="4313" width="11" style="3"/>
    <col min="4314" max="4326" width="4.7109375" style="3" customWidth="1"/>
    <col min="4327" max="4536" width="11" style="3"/>
    <col min="4537" max="4537" width="0.7109375" style="3" customWidth="1"/>
    <col min="4538" max="4538" width="6.5703125" style="3" customWidth="1"/>
    <col min="4539" max="4539" width="13.5703125" style="3" customWidth="1"/>
    <col min="4540" max="4540" width="13.42578125" style="3" customWidth="1"/>
    <col min="4541" max="4542" width="12.5703125" style="3" customWidth="1"/>
    <col min="4543" max="4543" width="14.85546875" style="3" customWidth="1"/>
    <col min="4544" max="4544" width="20.7109375" style="3" customWidth="1"/>
    <col min="4545" max="4545" width="12.5703125" style="3" customWidth="1"/>
    <col min="4546" max="4546" width="13" style="3" customWidth="1"/>
    <col min="4547" max="4547" width="16" style="3" customWidth="1"/>
    <col min="4548" max="4548" width="6.42578125" style="3" customWidth="1"/>
    <col min="4549" max="4549" width="16" style="3" customWidth="1"/>
    <col min="4550" max="4550" width="2.85546875" style="3" customWidth="1"/>
    <col min="4551" max="4551" width="0.85546875" style="3" customWidth="1"/>
    <col min="4552" max="4552" width="11" style="3"/>
    <col min="4553" max="4553" width="15.42578125" style="3" customWidth="1"/>
    <col min="4554" max="4556" width="14.85546875" style="3" customWidth="1"/>
    <col min="4557" max="4557" width="0.7109375" style="3" customWidth="1"/>
    <col min="4558" max="4558" width="11" style="3"/>
    <col min="4559" max="4559" width="15.7109375" style="3" customWidth="1"/>
    <col min="4560" max="4561" width="14.85546875" style="3" customWidth="1"/>
    <col min="4562" max="4562" width="3.28515625" style="3" customWidth="1"/>
    <col min="4563" max="4563" width="20.140625" style="3" customWidth="1"/>
    <col min="4564" max="4564" width="3.28515625" style="3" customWidth="1"/>
    <col min="4565" max="4569" width="11" style="3"/>
    <col min="4570" max="4582" width="4.7109375" style="3" customWidth="1"/>
    <col min="4583" max="4792" width="11" style="3"/>
    <col min="4793" max="4793" width="0.7109375" style="3" customWidth="1"/>
    <col min="4794" max="4794" width="6.5703125" style="3" customWidth="1"/>
    <col min="4795" max="4795" width="13.5703125" style="3" customWidth="1"/>
    <col min="4796" max="4796" width="13.42578125" style="3" customWidth="1"/>
    <col min="4797" max="4798" width="12.5703125" style="3" customWidth="1"/>
    <col min="4799" max="4799" width="14.85546875" style="3" customWidth="1"/>
    <col min="4800" max="4800" width="20.7109375" style="3" customWidth="1"/>
    <col min="4801" max="4801" width="12.5703125" style="3" customWidth="1"/>
    <col min="4802" max="4802" width="13" style="3" customWidth="1"/>
    <col min="4803" max="4803" width="16" style="3" customWidth="1"/>
    <col min="4804" max="4804" width="6.42578125" style="3" customWidth="1"/>
    <col min="4805" max="4805" width="16" style="3" customWidth="1"/>
    <col min="4806" max="4806" width="2.85546875" style="3" customWidth="1"/>
    <col min="4807" max="4807" width="0.85546875" style="3" customWidth="1"/>
    <col min="4808" max="4808" width="11" style="3"/>
    <col min="4809" max="4809" width="15.42578125" style="3" customWidth="1"/>
    <col min="4810" max="4812" width="14.85546875" style="3" customWidth="1"/>
    <col min="4813" max="4813" width="0.7109375" style="3" customWidth="1"/>
    <col min="4814" max="4814" width="11" style="3"/>
    <col min="4815" max="4815" width="15.7109375" style="3" customWidth="1"/>
    <col min="4816" max="4817" width="14.85546875" style="3" customWidth="1"/>
    <col min="4818" max="4818" width="3.28515625" style="3" customWidth="1"/>
    <col min="4819" max="4819" width="20.140625" style="3" customWidth="1"/>
    <col min="4820" max="4820" width="3.28515625" style="3" customWidth="1"/>
    <col min="4821" max="4825" width="11" style="3"/>
    <col min="4826" max="4838" width="4.7109375" style="3" customWidth="1"/>
    <col min="4839" max="5048" width="11" style="3"/>
    <col min="5049" max="5049" width="0.7109375" style="3" customWidth="1"/>
    <col min="5050" max="5050" width="6.5703125" style="3" customWidth="1"/>
    <col min="5051" max="5051" width="13.5703125" style="3" customWidth="1"/>
    <col min="5052" max="5052" width="13.42578125" style="3" customWidth="1"/>
    <col min="5053" max="5054" width="12.5703125" style="3" customWidth="1"/>
    <col min="5055" max="5055" width="14.85546875" style="3" customWidth="1"/>
    <col min="5056" max="5056" width="20.7109375" style="3" customWidth="1"/>
    <col min="5057" max="5057" width="12.5703125" style="3" customWidth="1"/>
    <col min="5058" max="5058" width="13" style="3" customWidth="1"/>
    <col min="5059" max="5059" width="16" style="3" customWidth="1"/>
    <col min="5060" max="5060" width="6.42578125" style="3" customWidth="1"/>
    <col min="5061" max="5061" width="16" style="3" customWidth="1"/>
    <col min="5062" max="5062" width="2.85546875" style="3" customWidth="1"/>
    <col min="5063" max="5063" width="0.85546875" style="3" customWidth="1"/>
    <col min="5064" max="5064" width="11" style="3"/>
    <col min="5065" max="5065" width="15.42578125" style="3" customWidth="1"/>
    <col min="5066" max="5068" width="14.85546875" style="3" customWidth="1"/>
    <col min="5069" max="5069" width="0.7109375" style="3" customWidth="1"/>
    <col min="5070" max="5070" width="11" style="3"/>
    <col min="5071" max="5071" width="15.7109375" style="3" customWidth="1"/>
    <col min="5072" max="5073" width="14.85546875" style="3" customWidth="1"/>
    <col min="5074" max="5074" width="3.28515625" style="3" customWidth="1"/>
    <col min="5075" max="5075" width="20.140625" style="3" customWidth="1"/>
    <col min="5076" max="5076" width="3.28515625" style="3" customWidth="1"/>
    <col min="5077" max="5081" width="11" style="3"/>
    <col min="5082" max="5094" width="4.7109375" style="3" customWidth="1"/>
    <col min="5095" max="5304" width="11" style="3"/>
    <col min="5305" max="5305" width="0.7109375" style="3" customWidth="1"/>
    <col min="5306" max="5306" width="6.5703125" style="3" customWidth="1"/>
    <col min="5307" max="5307" width="13.5703125" style="3" customWidth="1"/>
    <col min="5308" max="5308" width="13.42578125" style="3" customWidth="1"/>
    <col min="5309" max="5310" width="12.5703125" style="3" customWidth="1"/>
    <col min="5311" max="5311" width="14.85546875" style="3" customWidth="1"/>
    <col min="5312" max="5312" width="20.7109375" style="3" customWidth="1"/>
    <col min="5313" max="5313" width="12.5703125" style="3" customWidth="1"/>
    <col min="5314" max="5314" width="13" style="3" customWidth="1"/>
    <col min="5315" max="5315" width="16" style="3" customWidth="1"/>
    <col min="5316" max="5316" width="6.42578125" style="3" customWidth="1"/>
    <col min="5317" max="5317" width="16" style="3" customWidth="1"/>
    <col min="5318" max="5318" width="2.85546875" style="3" customWidth="1"/>
    <col min="5319" max="5319" width="0.85546875" style="3" customWidth="1"/>
    <col min="5320" max="5320" width="11" style="3"/>
    <col min="5321" max="5321" width="15.42578125" style="3" customWidth="1"/>
    <col min="5322" max="5324" width="14.85546875" style="3" customWidth="1"/>
    <col min="5325" max="5325" width="0.7109375" style="3" customWidth="1"/>
    <col min="5326" max="5326" width="11" style="3"/>
    <col min="5327" max="5327" width="15.7109375" style="3" customWidth="1"/>
    <col min="5328" max="5329" width="14.85546875" style="3" customWidth="1"/>
    <col min="5330" max="5330" width="3.28515625" style="3" customWidth="1"/>
    <col min="5331" max="5331" width="20.140625" style="3" customWidth="1"/>
    <col min="5332" max="5332" width="3.28515625" style="3" customWidth="1"/>
    <col min="5333" max="5337" width="11" style="3"/>
    <col min="5338" max="5350" width="4.7109375" style="3" customWidth="1"/>
    <col min="5351" max="5560" width="11" style="3"/>
    <col min="5561" max="5561" width="0.7109375" style="3" customWidth="1"/>
    <col min="5562" max="5562" width="6.5703125" style="3" customWidth="1"/>
    <col min="5563" max="5563" width="13.5703125" style="3" customWidth="1"/>
    <col min="5564" max="5564" width="13.42578125" style="3" customWidth="1"/>
    <col min="5565" max="5566" width="12.5703125" style="3" customWidth="1"/>
    <col min="5567" max="5567" width="14.85546875" style="3" customWidth="1"/>
    <col min="5568" max="5568" width="20.7109375" style="3" customWidth="1"/>
    <col min="5569" max="5569" width="12.5703125" style="3" customWidth="1"/>
    <col min="5570" max="5570" width="13" style="3" customWidth="1"/>
    <col min="5571" max="5571" width="16" style="3" customWidth="1"/>
    <col min="5572" max="5572" width="6.42578125" style="3" customWidth="1"/>
    <col min="5573" max="5573" width="16" style="3" customWidth="1"/>
    <col min="5574" max="5574" width="2.85546875" style="3" customWidth="1"/>
    <col min="5575" max="5575" width="0.85546875" style="3" customWidth="1"/>
    <col min="5576" max="5576" width="11" style="3"/>
    <col min="5577" max="5577" width="15.42578125" style="3" customWidth="1"/>
    <col min="5578" max="5580" width="14.85546875" style="3" customWidth="1"/>
    <col min="5581" max="5581" width="0.7109375" style="3" customWidth="1"/>
    <col min="5582" max="5582" width="11" style="3"/>
    <col min="5583" max="5583" width="15.7109375" style="3" customWidth="1"/>
    <col min="5584" max="5585" width="14.85546875" style="3" customWidth="1"/>
    <col min="5586" max="5586" width="3.28515625" style="3" customWidth="1"/>
    <col min="5587" max="5587" width="20.140625" style="3" customWidth="1"/>
    <col min="5588" max="5588" width="3.28515625" style="3" customWidth="1"/>
    <col min="5589" max="5593" width="11" style="3"/>
    <col min="5594" max="5606" width="4.7109375" style="3" customWidth="1"/>
    <col min="5607" max="5816" width="11" style="3"/>
    <col min="5817" max="5817" width="0.7109375" style="3" customWidth="1"/>
    <col min="5818" max="5818" width="6.5703125" style="3" customWidth="1"/>
    <col min="5819" max="5819" width="13.5703125" style="3" customWidth="1"/>
    <col min="5820" max="5820" width="13.42578125" style="3" customWidth="1"/>
    <col min="5821" max="5822" width="12.5703125" style="3" customWidth="1"/>
    <col min="5823" max="5823" width="14.85546875" style="3" customWidth="1"/>
    <col min="5824" max="5824" width="20.7109375" style="3" customWidth="1"/>
    <col min="5825" max="5825" width="12.5703125" style="3" customWidth="1"/>
    <col min="5826" max="5826" width="13" style="3" customWidth="1"/>
    <col min="5827" max="5827" width="16" style="3" customWidth="1"/>
    <col min="5828" max="5828" width="6.42578125" style="3" customWidth="1"/>
    <col min="5829" max="5829" width="16" style="3" customWidth="1"/>
    <col min="5830" max="5830" width="2.85546875" style="3" customWidth="1"/>
    <col min="5831" max="5831" width="0.85546875" style="3" customWidth="1"/>
    <col min="5832" max="5832" width="11" style="3"/>
    <col min="5833" max="5833" width="15.42578125" style="3" customWidth="1"/>
    <col min="5834" max="5836" width="14.85546875" style="3" customWidth="1"/>
    <col min="5837" max="5837" width="0.7109375" style="3" customWidth="1"/>
    <col min="5838" max="5838" width="11" style="3"/>
    <col min="5839" max="5839" width="15.7109375" style="3" customWidth="1"/>
    <col min="5840" max="5841" width="14.85546875" style="3" customWidth="1"/>
    <col min="5842" max="5842" width="3.28515625" style="3" customWidth="1"/>
    <col min="5843" max="5843" width="20.140625" style="3" customWidth="1"/>
    <col min="5844" max="5844" width="3.28515625" style="3" customWidth="1"/>
    <col min="5845" max="5849" width="11" style="3"/>
    <col min="5850" max="5862" width="4.7109375" style="3" customWidth="1"/>
    <col min="5863" max="6072" width="11" style="3"/>
    <col min="6073" max="6073" width="0.7109375" style="3" customWidth="1"/>
    <col min="6074" max="6074" width="6.5703125" style="3" customWidth="1"/>
    <col min="6075" max="6075" width="13.5703125" style="3" customWidth="1"/>
    <col min="6076" max="6076" width="13.42578125" style="3" customWidth="1"/>
    <col min="6077" max="6078" width="12.5703125" style="3" customWidth="1"/>
    <col min="6079" max="6079" width="14.85546875" style="3" customWidth="1"/>
    <col min="6080" max="6080" width="20.7109375" style="3" customWidth="1"/>
    <col min="6081" max="6081" width="12.5703125" style="3" customWidth="1"/>
    <col min="6082" max="6082" width="13" style="3" customWidth="1"/>
    <col min="6083" max="6083" width="16" style="3" customWidth="1"/>
    <col min="6084" max="6084" width="6.42578125" style="3" customWidth="1"/>
    <col min="6085" max="6085" width="16" style="3" customWidth="1"/>
    <col min="6086" max="6086" width="2.85546875" style="3" customWidth="1"/>
    <col min="6087" max="6087" width="0.85546875" style="3" customWidth="1"/>
    <col min="6088" max="6088" width="11" style="3"/>
    <col min="6089" max="6089" width="15.42578125" style="3" customWidth="1"/>
    <col min="6090" max="6092" width="14.85546875" style="3" customWidth="1"/>
    <col min="6093" max="6093" width="0.7109375" style="3" customWidth="1"/>
    <col min="6094" max="6094" width="11" style="3"/>
    <col min="6095" max="6095" width="15.7109375" style="3" customWidth="1"/>
    <col min="6096" max="6097" width="14.85546875" style="3" customWidth="1"/>
    <col min="6098" max="6098" width="3.28515625" style="3" customWidth="1"/>
    <col min="6099" max="6099" width="20.140625" style="3" customWidth="1"/>
    <col min="6100" max="6100" width="3.28515625" style="3" customWidth="1"/>
    <col min="6101" max="6105" width="11" style="3"/>
    <col min="6106" max="6118" width="4.7109375" style="3" customWidth="1"/>
    <col min="6119" max="6328" width="11" style="3"/>
    <col min="6329" max="6329" width="0.7109375" style="3" customWidth="1"/>
    <col min="6330" max="6330" width="6.5703125" style="3" customWidth="1"/>
    <col min="6331" max="6331" width="13.5703125" style="3" customWidth="1"/>
    <col min="6332" max="6332" width="13.42578125" style="3" customWidth="1"/>
    <col min="6333" max="6334" width="12.5703125" style="3" customWidth="1"/>
    <col min="6335" max="6335" width="14.85546875" style="3" customWidth="1"/>
    <col min="6336" max="6336" width="20.7109375" style="3" customWidth="1"/>
    <col min="6337" max="6337" width="12.5703125" style="3" customWidth="1"/>
    <col min="6338" max="6338" width="13" style="3" customWidth="1"/>
    <col min="6339" max="6339" width="16" style="3" customWidth="1"/>
    <col min="6340" max="6340" width="6.42578125" style="3" customWidth="1"/>
    <col min="6341" max="6341" width="16" style="3" customWidth="1"/>
    <col min="6342" max="6342" width="2.85546875" style="3" customWidth="1"/>
    <col min="6343" max="6343" width="0.85546875" style="3" customWidth="1"/>
    <col min="6344" max="6344" width="11" style="3"/>
    <col min="6345" max="6345" width="15.42578125" style="3" customWidth="1"/>
    <col min="6346" max="6348" width="14.85546875" style="3" customWidth="1"/>
    <col min="6349" max="6349" width="0.7109375" style="3" customWidth="1"/>
    <col min="6350" max="6350" width="11" style="3"/>
    <col min="6351" max="6351" width="15.7109375" style="3" customWidth="1"/>
    <col min="6352" max="6353" width="14.85546875" style="3" customWidth="1"/>
    <col min="6354" max="6354" width="3.28515625" style="3" customWidth="1"/>
    <col min="6355" max="6355" width="20.140625" style="3" customWidth="1"/>
    <col min="6356" max="6356" width="3.28515625" style="3" customWidth="1"/>
    <col min="6357" max="6361" width="11" style="3"/>
    <col min="6362" max="6374" width="4.7109375" style="3" customWidth="1"/>
    <col min="6375" max="6584" width="11" style="3"/>
    <col min="6585" max="6585" width="0.7109375" style="3" customWidth="1"/>
    <col min="6586" max="6586" width="6.5703125" style="3" customWidth="1"/>
    <col min="6587" max="6587" width="13.5703125" style="3" customWidth="1"/>
    <col min="6588" max="6588" width="13.42578125" style="3" customWidth="1"/>
    <col min="6589" max="6590" width="12.5703125" style="3" customWidth="1"/>
    <col min="6591" max="6591" width="14.85546875" style="3" customWidth="1"/>
    <col min="6592" max="6592" width="20.7109375" style="3" customWidth="1"/>
    <col min="6593" max="6593" width="12.5703125" style="3" customWidth="1"/>
    <col min="6594" max="6594" width="13" style="3" customWidth="1"/>
    <col min="6595" max="6595" width="16" style="3" customWidth="1"/>
    <col min="6596" max="6596" width="6.42578125" style="3" customWidth="1"/>
    <col min="6597" max="6597" width="16" style="3" customWidth="1"/>
    <col min="6598" max="6598" width="2.85546875" style="3" customWidth="1"/>
    <col min="6599" max="6599" width="0.85546875" style="3" customWidth="1"/>
    <col min="6600" max="6600" width="11" style="3"/>
    <col min="6601" max="6601" width="15.42578125" style="3" customWidth="1"/>
    <col min="6602" max="6604" width="14.85546875" style="3" customWidth="1"/>
    <col min="6605" max="6605" width="0.7109375" style="3" customWidth="1"/>
    <col min="6606" max="6606" width="11" style="3"/>
    <col min="6607" max="6607" width="15.7109375" style="3" customWidth="1"/>
    <col min="6608" max="6609" width="14.85546875" style="3" customWidth="1"/>
    <col min="6610" max="6610" width="3.28515625" style="3" customWidth="1"/>
    <col min="6611" max="6611" width="20.140625" style="3" customWidth="1"/>
    <col min="6612" max="6612" width="3.28515625" style="3" customWidth="1"/>
    <col min="6613" max="6617" width="11" style="3"/>
    <col min="6618" max="6630" width="4.7109375" style="3" customWidth="1"/>
    <col min="6631" max="6840" width="11" style="3"/>
    <col min="6841" max="6841" width="0.7109375" style="3" customWidth="1"/>
    <col min="6842" max="6842" width="6.5703125" style="3" customWidth="1"/>
    <col min="6843" max="6843" width="13.5703125" style="3" customWidth="1"/>
    <col min="6844" max="6844" width="13.42578125" style="3" customWidth="1"/>
    <col min="6845" max="6846" width="12.5703125" style="3" customWidth="1"/>
    <col min="6847" max="6847" width="14.85546875" style="3" customWidth="1"/>
    <col min="6848" max="6848" width="20.7109375" style="3" customWidth="1"/>
    <col min="6849" max="6849" width="12.5703125" style="3" customWidth="1"/>
    <col min="6850" max="6850" width="13" style="3" customWidth="1"/>
    <col min="6851" max="6851" width="16" style="3" customWidth="1"/>
    <col min="6852" max="6852" width="6.42578125" style="3" customWidth="1"/>
    <col min="6853" max="6853" width="16" style="3" customWidth="1"/>
    <col min="6854" max="6854" width="2.85546875" style="3" customWidth="1"/>
    <col min="6855" max="6855" width="0.85546875" style="3" customWidth="1"/>
    <col min="6856" max="6856" width="11" style="3"/>
    <col min="6857" max="6857" width="15.42578125" style="3" customWidth="1"/>
    <col min="6858" max="6860" width="14.85546875" style="3" customWidth="1"/>
    <col min="6861" max="6861" width="0.7109375" style="3" customWidth="1"/>
    <col min="6862" max="6862" width="11" style="3"/>
    <col min="6863" max="6863" width="15.7109375" style="3" customWidth="1"/>
    <col min="6864" max="6865" width="14.85546875" style="3" customWidth="1"/>
    <col min="6866" max="6866" width="3.28515625" style="3" customWidth="1"/>
    <col min="6867" max="6867" width="20.140625" style="3" customWidth="1"/>
    <col min="6868" max="6868" width="3.28515625" style="3" customWidth="1"/>
    <col min="6869" max="6873" width="11" style="3"/>
    <col min="6874" max="6886" width="4.7109375" style="3" customWidth="1"/>
    <col min="6887" max="7096" width="11" style="3"/>
    <col min="7097" max="7097" width="0.7109375" style="3" customWidth="1"/>
    <col min="7098" max="7098" width="6.5703125" style="3" customWidth="1"/>
    <col min="7099" max="7099" width="13.5703125" style="3" customWidth="1"/>
    <col min="7100" max="7100" width="13.42578125" style="3" customWidth="1"/>
    <col min="7101" max="7102" width="12.5703125" style="3" customWidth="1"/>
    <col min="7103" max="7103" width="14.85546875" style="3" customWidth="1"/>
    <col min="7104" max="7104" width="20.7109375" style="3" customWidth="1"/>
    <col min="7105" max="7105" width="12.5703125" style="3" customWidth="1"/>
    <col min="7106" max="7106" width="13" style="3" customWidth="1"/>
    <col min="7107" max="7107" width="16" style="3" customWidth="1"/>
    <col min="7108" max="7108" width="6.42578125" style="3" customWidth="1"/>
    <col min="7109" max="7109" width="16" style="3" customWidth="1"/>
    <col min="7110" max="7110" width="2.85546875" style="3" customWidth="1"/>
    <col min="7111" max="7111" width="0.85546875" style="3" customWidth="1"/>
    <col min="7112" max="7112" width="11" style="3"/>
    <col min="7113" max="7113" width="15.42578125" style="3" customWidth="1"/>
    <col min="7114" max="7116" width="14.85546875" style="3" customWidth="1"/>
    <col min="7117" max="7117" width="0.7109375" style="3" customWidth="1"/>
    <col min="7118" max="7118" width="11" style="3"/>
    <col min="7119" max="7119" width="15.7109375" style="3" customWidth="1"/>
    <col min="7120" max="7121" width="14.85546875" style="3" customWidth="1"/>
    <col min="7122" max="7122" width="3.28515625" style="3" customWidth="1"/>
    <col min="7123" max="7123" width="20.140625" style="3" customWidth="1"/>
    <col min="7124" max="7124" width="3.28515625" style="3" customWidth="1"/>
    <col min="7125" max="7129" width="11" style="3"/>
    <col min="7130" max="7142" width="4.7109375" style="3" customWidth="1"/>
    <col min="7143" max="7352" width="11" style="3"/>
    <col min="7353" max="7353" width="0.7109375" style="3" customWidth="1"/>
    <col min="7354" max="7354" width="6.5703125" style="3" customWidth="1"/>
    <col min="7355" max="7355" width="13.5703125" style="3" customWidth="1"/>
    <col min="7356" max="7356" width="13.42578125" style="3" customWidth="1"/>
    <col min="7357" max="7358" width="12.5703125" style="3" customWidth="1"/>
    <col min="7359" max="7359" width="14.85546875" style="3" customWidth="1"/>
    <col min="7360" max="7360" width="20.7109375" style="3" customWidth="1"/>
    <col min="7361" max="7361" width="12.5703125" style="3" customWidth="1"/>
    <col min="7362" max="7362" width="13" style="3" customWidth="1"/>
    <col min="7363" max="7363" width="16" style="3" customWidth="1"/>
    <col min="7364" max="7364" width="6.42578125" style="3" customWidth="1"/>
    <col min="7365" max="7365" width="16" style="3" customWidth="1"/>
    <col min="7366" max="7366" width="2.85546875" style="3" customWidth="1"/>
    <col min="7367" max="7367" width="0.85546875" style="3" customWidth="1"/>
    <col min="7368" max="7368" width="11" style="3"/>
    <col min="7369" max="7369" width="15.42578125" style="3" customWidth="1"/>
    <col min="7370" max="7372" width="14.85546875" style="3" customWidth="1"/>
    <col min="7373" max="7373" width="0.7109375" style="3" customWidth="1"/>
    <col min="7374" max="7374" width="11" style="3"/>
    <col min="7375" max="7375" width="15.7109375" style="3" customWidth="1"/>
    <col min="7376" max="7377" width="14.85546875" style="3" customWidth="1"/>
    <col min="7378" max="7378" width="3.28515625" style="3" customWidth="1"/>
    <col min="7379" max="7379" width="20.140625" style="3" customWidth="1"/>
    <col min="7380" max="7380" width="3.28515625" style="3" customWidth="1"/>
    <col min="7381" max="7385" width="11" style="3"/>
    <col min="7386" max="7398" width="4.7109375" style="3" customWidth="1"/>
    <col min="7399" max="7608" width="11" style="3"/>
    <col min="7609" max="7609" width="0.7109375" style="3" customWidth="1"/>
    <col min="7610" max="7610" width="6.5703125" style="3" customWidth="1"/>
    <col min="7611" max="7611" width="13.5703125" style="3" customWidth="1"/>
    <col min="7612" max="7612" width="13.42578125" style="3" customWidth="1"/>
    <col min="7613" max="7614" width="12.5703125" style="3" customWidth="1"/>
    <col min="7615" max="7615" width="14.85546875" style="3" customWidth="1"/>
    <col min="7616" max="7616" width="20.7109375" style="3" customWidth="1"/>
    <col min="7617" max="7617" width="12.5703125" style="3" customWidth="1"/>
    <col min="7618" max="7618" width="13" style="3" customWidth="1"/>
    <col min="7619" max="7619" width="16" style="3" customWidth="1"/>
    <col min="7620" max="7620" width="6.42578125" style="3" customWidth="1"/>
    <col min="7621" max="7621" width="16" style="3" customWidth="1"/>
    <col min="7622" max="7622" width="2.85546875" style="3" customWidth="1"/>
    <col min="7623" max="7623" width="0.85546875" style="3" customWidth="1"/>
    <col min="7624" max="7624" width="11" style="3"/>
    <col min="7625" max="7625" width="15.42578125" style="3" customWidth="1"/>
    <col min="7626" max="7628" width="14.85546875" style="3" customWidth="1"/>
    <col min="7629" max="7629" width="0.7109375" style="3" customWidth="1"/>
    <col min="7630" max="7630" width="11" style="3"/>
    <col min="7631" max="7631" width="15.7109375" style="3" customWidth="1"/>
    <col min="7632" max="7633" width="14.85546875" style="3" customWidth="1"/>
    <col min="7634" max="7634" width="3.28515625" style="3" customWidth="1"/>
    <col min="7635" max="7635" width="20.140625" style="3" customWidth="1"/>
    <col min="7636" max="7636" width="3.28515625" style="3" customWidth="1"/>
    <col min="7637" max="7641" width="11" style="3"/>
    <col min="7642" max="7654" width="4.7109375" style="3" customWidth="1"/>
    <col min="7655" max="7864" width="11" style="3"/>
    <col min="7865" max="7865" width="0.7109375" style="3" customWidth="1"/>
    <col min="7866" max="7866" width="6.5703125" style="3" customWidth="1"/>
    <col min="7867" max="7867" width="13.5703125" style="3" customWidth="1"/>
    <col min="7868" max="7868" width="13.42578125" style="3" customWidth="1"/>
    <col min="7869" max="7870" width="12.5703125" style="3" customWidth="1"/>
    <col min="7871" max="7871" width="14.85546875" style="3" customWidth="1"/>
    <col min="7872" max="7872" width="20.7109375" style="3" customWidth="1"/>
    <col min="7873" max="7873" width="12.5703125" style="3" customWidth="1"/>
    <col min="7874" max="7874" width="13" style="3" customWidth="1"/>
    <col min="7875" max="7875" width="16" style="3" customWidth="1"/>
    <col min="7876" max="7876" width="6.42578125" style="3" customWidth="1"/>
    <col min="7877" max="7877" width="16" style="3" customWidth="1"/>
    <col min="7878" max="7878" width="2.85546875" style="3" customWidth="1"/>
    <col min="7879" max="7879" width="0.85546875" style="3" customWidth="1"/>
    <col min="7880" max="7880" width="11" style="3"/>
    <col min="7881" max="7881" width="15.42578125" style="3" customWidth="1"/>
    <col min="7882" max="7884" width="14.85546875" style="3" customWidth="1"/>
    <col min="7885" max="7885" width="0.7109375" style="3" customWidth="1"/>
    <col min="7886" max="7886" width="11" style="3"/>
    <col min="7887" max="7887" width="15.7109375" style="3" customWidth="1"/>
    <col min="7888" max="7889" width="14.85546875" style="3" customWidth="1"/>
    <col min="7890" max="7890" width="3.28515625" style="3" customWidth="1"/>
    <col min="7891" max="7891" width="20.140625" style="3" customWidth="1"/>
    <col min="7892" max="7892" width="3.28515625" style="3" customWidth="1"/>
    <col min="7893" max="7897" width="11" style="3"/>
    <col min="7898" max="7910" width="4.7109375" style="3" customWidth="1"/>
    <col min="7911" max="8120" width="11" style="3"/>
    <col min="8121" max="8121" width="0.7109375" style="3" customWidth="1"/>
    <col min="8122" max="8122" width="6.5703125" style="3" customWidth="1"/>
    <col min="8123" max="8123" width="13.5703125" style="3" customWidth="1"/>
    <col min="8124" max="8124" width="13.42578125" style="3" customWidth="1"/>
    <col min="8125" max="8126" width="12.5703125" style="3" customWidth="1"/>
    <col min="8127" max="8127" width="14.85546875" style="3" customWidth="1"/>
    <col min="8128" max="8128" width="20.7109375" style="3" customWidth="1"/>
    <col min="8129" max="8129" width="12.5703125" style="3" customWidth="1"/>
    <col min="8130" max="8130" width="13" style="3" customWidth="1"/>
    <col min="8131" max="8131" width="16" style="3" customWidth="1"/>
    <col min="8132" max="8132" width="6.42578125" style="3" customWidth="1"/>
    <col min="8133" max="8133" width="16" style="3" customWidth="1"/>
    <col min="8134" max="8134" width="2.85546875" style="3" customWidth="1"/>
    <col min="8135" max="8135" width="0.85546875" style="3" customWidth="1"/>
    <col min="8136" max="8136" width="11" style="3"/>
    <col min="8137" max="8137" width="15.42578125" style="3" customWidth="1"/>
    <col min="8138" max="8140" width="14.85546875" style="3" customWidth="1"/>
    <col min="8141" max="8141" width="0.7109375" style="3" customWidth="1"/>
    <col min="8142" max="8142" width="11" style="3"/>
    <col min="8143" max="8143" width="15.7109375" style="3" customWidth="1"/>
    <col min="8144" max="8145" width="14.85546875" style="3" customWidth="1"/>
    <col min="8146" max="8146" width="3.28515625" style="3" customWidth="1"/>
    <col min="8147" max="8147" width="20.140625" style="3" customWidth="1"/>
    <col min="8148" max="8148" width="3.28515625" style="3" customWidth="1"/>
    <col min="8149" max="8153" width="11" style="3"/>
    <col min="8154" max="8166" width="4.7109375" style="3" customWidth="1"/>
    <col min="8167" max="8376" width="11" style="3"/>
    <col min="8377" max="8377" width="0.7109375" style="3" customWidth="1"/>
    <col min="8378" max="8378" width="6.5703125" style="3" customWidth="1"/>
    <col min="8379" max="8379" width="13.5703125" style="3" customWidth="1"/>
    <col min="8380" max="8380" width="13.42578125" style="3" customWidth="1"/>
    <col min="8381" max="8382" width="12.5703125" style="3" customWidth="1"/>
    <col min="8383" max="8383" width="14.85546875" style="3" customWidth="1"/>
    <col min="8384" max="8384" width="20.7109375" style="3" customWidth="1"/>
    <col min="8385" max="8385" width="12.5703125" style="3" customWidth="1"/>
    <col min="8386" max="8386" width="13" style="3" customWidth="1"/>
    <col min="8387" max="8387" width="16" style="3" customWidth="1"/>
    <col min="8388" max="8388" width="6.42578125" style="3" customWidth="1"/>
    <col min="8389" max="8389" width="16" style="3" customWidth="1"/>
    <col min="8390" max="8390" width="2.85546875" style="3" customWidth="1"/>
    <col min="8391" max="8391" width="0.85546875" style="3" customWidth="1"/>
    <col min="8392" max="8392" width="11" style="3"/>
    <col min="8393" max="8393" width="15.42578125" style="3" customWidth="1"/>
    <col min="8394" max="8396" width="14.85546875" style="3" customWidth="1"/>
    <col min="8397" max="8397" width="0.7109375" style="3" customWidth="1"/>
    <col min="8398" max="8398" width="11" style="3"/>
    <col min="8399" max="8399" width="15.7109375" style="3" customWidth="1"/>
    <col min="8400" max="8401" width="14.85546875" style="3" customWidth="1"/>
    <col min="8402" max="8402" width="3.28515625" style="3" customWidth="1"/>
    <col min="8403" max="8403" width="20.140625" style="3" customWidth="1"/>
    <col min="8404" max="8404" width="3.28515625" style="3" customWidth="1"/>
    <col min="8405" max="8409" width="11" style="3"/>
    <col min="8410" max="8422" width="4.7109375" style="3" customWidth="1"/>
    <col min="8423" max="8632" width="11" style="3"/>
    <col min="8633" max="8633" width="0.7109375" style="3" customWidth="1"/>
    <col min="8634" max="8634" width="6.5703125" style="3" customWidth="1"/>
    <col min="8635" max="8635" width="13.5703125" style="3" customWidth="1"/>
    <col min="8636" max="8636" width="13.42578125" style="3" customWidth="1"/>
    <col min="8637" max="8638" width="12.5703125" style="3" customWidth="1"/>
    <col min="8639" max="8639" width="14.85546875" style="3" customWidth="1"/>
    <col min="8640" max="8640" width="20.7109375" style="3" customWidth="1"/>
    <col min="8641" max="8641" width="12.5703125" style="3" customWidth="1"/>
    <col min="8642" max="8642" width="13" style="3" customWidth="1"/>
    <col min="8643" max="8643" width="16" style="3" customWidth="1"/>
    <col min="8644" max="8644" width="6.42578125" style="3" customWidth="1"/>
    <col min="8645" max="8645" width="16" style="3" customWidth="1"/>
    <col min="8646" max="8646" width="2.85546875" style="3" customWidth="1"/>
    <col min="8647" max="8647" width="0.85546875" style="3" customWidth="1"/>
    <col min="8648" max="8648" width="11" style="3"/>
    <col min="8649" max="8649" width="15.42578125" style="3" customWidth="1"/>
    <col min="8650" max="8652" width="14.85546875" style="3" customWidth="1"/>
    <col min="8653" max="8653" width="0.7109375" style="3" customWidth="1"/>
    <col min="8654" max="8654" width="11" style="3"/>
    <col min="8655" max="8655" width="15.7109375" style="3" customWidth="1"/>
    <col min="8656" max="8657" width="14.85546875" style="3" customWidth="1"/>
    <col min="8658" max="8658" width="3.28515625" style="3" customWidth="1"/>
    <col min="8659" max="8659" width="20.140625" style="3" customWidth="1"/>
    <col min="8660" max="8660" width="3.28515625" style="3" customWidth="1"/>
    <col min="8661" max="8665" width="11" style="3"/>
    <col min="8666" max="8678" width="4.7109375" style="3" customWidth="1"/>
    <col min="8679" max="8888" width="11" style="3"/>
    <col min="8889" max="8889" width="0.7109375" style="3" customWidth="1"/>
    <col min="8890" max="8890" width="6.5703125" style="3" customWidth="1"/>
    <col min="8891" max="8891" width="13.5703125" style="3" customWidth="1"/>
    <col min="8892" max="8892" width="13.42578125" style="3" customWidth="1"/>
    <col min="8893" max="8894" width="12.5703125" style="3" customWidth="1"/>
    <col min="8895" max="8895" width="14.85546875" style="3" customWidth="1"/>
    <col min="8896" max="8896" width="20.7109375" style="3" customWidth="1"/>
    <col min="8897" max="8897" width="12.5703125" style="3" customWidth="1"/>
    <col min="8898" max="8898" width="13" style="3" customWidth="1"/>
    <col min="8899" max="8899" width="16" style="3" customWidth="1"/>
    <col min="8900" max="8900" width="6.42578125" style="3" customWidth="1"/>
    <col min="8901" max="8901" width="16" style="3" customWidth="1"/>
    <col min="8902" max="8902" width="2.85546875" style="3" customWidth="1"/>
    <col min="8903" max="8903" width="0.85546875" style="3" customWidth="1"/>
    <col min="8904" max="8904" width="11" style="3"/>
    <col min="8905" max="8905" width="15.42578125" style="3" customWidth="1"/>
    <col min="8906" max="8908" width="14.85546875" style="3" customWidth="1"/>
    <col min="8909" max="8909" width="0.7109375" style="3" customWidth="1"/>
    <col min="8910" max="8910" width="11" style="3"/>
    <col min="8911" max="8911" width="15.7109375" style="3" customWidth="1"/>
    <col min="8912" max="8913" width="14.85546875" style="3" customWidth="1"/>
    <col min="8914" max="8914" width="3.28515625" style="3" customWidth="1"/>
    <col min="8915" max="8915" width="20.140625" style="3" customWidth="1"/>
    <col min="8916" max="8916" width="3.28515625" style="3" customWidth="1"/>
    <col min="8917" max="8921" width="11" style="3"/>
    <col min="8922" max="8934" width="4.7109375" style="3" customWidth="1"/>
    <col min="8935" max="9144" width="11" style="3"/>
    <col min="9145" max="9145" width="0.7109375" style="3" customWidth="1"/>
    <col min="9146" max="9146" width="6.5703125" style="3" customWidth="1"/>
    <col min="9147" max="9147" width="13.5703125" style="3" customWidth="1"/>
    <col min="9148" max="9148" width="13.42578125" style="3" customWidth="1"/>
    <col min="9149" max="9150" width="12.5703125" style="3" customWidth="1"/>
    <col min="9151" max="9151" width="14.85546875" style="3" customWidth="1"/>
    <col min="9152" max="9152" width="20.7109375" style="3" customWidth="1"/>
    <col min="9153" max="9153" width="12.5703125" style="3" customWidth="1"/>
    <col min="9154" max="9154" width="13" style="3" customWidth="1"/>
    <col min="9155" max="9155" width="16" style="3" customWidth="1"/>
    <col min="9156" max="9156" width="6.42578125" style="3" customWidth="1"/>
    <col min="9157" max="9157" width="16" style="3" customWidth="1"/>
    <col min="9158" max="9158" width="2.85546875" style="3" customWidth="1"/>
    <col min="9159" max="9159" width="0.85546875" style="3" customWidth="1"/>
    <col min="9160" max="9160" width="11" style="3"/>
    <col min="9161" max="9161" width="15.42578125" style="3" customWidth="1"/>
    <col min="9162" max="9164" width="14.85546875" style="3" customWidth="1"/>
    <col min="9165" max="9165" width="0.7109375" style="3" customWidth="1"/>
    <col min="9166" max="9166" width="11" style="3"/>
    <col min="9167" max="9167" width="15.7109375" style="3" customWidth="1"/>
    <col min="9168" max="9169" width="14.85546875" style="3" customWidth="1"/>
    <col min="9170" max="9170" width="3.28515625" style="3" customWidth="1"/>
    <col min="9171" max="9171" width="20.140625" style="3" customWidth="1"/>
    <col min="9172" max="9172" width="3.28515625" style="3" customWidth="1"/>
    <col min="9173" max="9177" width="11" style="3"/>
    <col min="9178" max="9190" width="4.7109375" style="3" customWidth="1"/>
    <col min="9191" max="9400" width="11" style="3"/>
    <col min="9401" max="9401" width="0.7109375" style="3" customWidth="1"/>
    <col min="9402" max="9402" width="6.5703125" style="3" customWidth="1"/>
    <col min="9403" max="9403" width="13.5703125" style="3" customWidth="1"/>
    <col min="9404" max="9404" width="13.42578125" style="3" customWidth="1"/>
    <col min="9405" max="9406" width="12.5703125" style="3" customWidth="1"/>
    <col min="9407" max="9407" width="14.85546875" style="3" customWidth="1"/>
    <col min="9408" max="9408" width="20.7109375" style="3" customWidth="1"/>
    <col min="9409" max="9409" width="12.5703125" style="3" customWidth="1"/>
    <col min="9410" max="9410" width="13" style="3" customWidth="1"/>
    <col min="9411" max="9411" width="16" style="3" customWidth="1"/>
    <col min="9412" max="9412" width="6.42578125" style="3" customWidth="1"/>
    <col min="9413" max="9413" width="16" style="3" customWidth="1"/>
    <col min="9414" max="9414" width="2.85546875" style="3" customWidth="1"/>
    <col min="9415" max="9415" width="0.85546875" style="3" customWidth="1"/>
    <col min="9416" max="9416" width="11" style="3"/>
    <col min="9417" max="9417" width="15.42578125" style="3" customWidth="1"/>
    <col min="9418" max="9420" width="14.85546875" style="3" customWidth="1"/>
    <col min="9421" max="9421" width="0.7109375" style="3" customWidth="1"/>
    <col min="9422" max="9422" width="11" style="3"/>
    <col min="9423" max="9423" width="15.7109375" style="3" customWidth="1"/>
    <col min="9424" max="9425" width="14.85546875" style="3" customWidth="1"/>
    <col min="9426" max="9426" width="3.28515625" style="3" customWidth="1"/>
    <col min="9427" max="9427" width="20.140625" style="3" customWidth="1"/>
    <col min="9428" max="9428" width="3.28515625" style="3" customWidth="1"/>
    <col min="9429" max="9433" width="11" style="3"/>
    <col min="9434" max="9446" width="4.7109375" style="3" customWidth="1"/>
    <col min="9447" max="9656" width="11" style="3"/>
    <col min="9657" max="9657" width="0.7109375" style="3" customWidth="1"/>
    <col min="9658" max="9658" width="6.5703125" style="3" customWidth="1"/>
    <col min="9659" max="9659" width="13.5703125" style="3" customWidth="1"/>
    <col min="9660" max="9660" width="13.42578125" style="3" customWidth="1"/>
    <col min="9661" max="9662" width="12.5703125" style="3" customWidth="1"/>
    <col min="9663" max="9663" width="14.85546875" style="3" customWidth="1"/>
    <col min="9664" max="9664" width="20.7109375" style="3" customWidth="1"/>
    <col min="9665" max="9665" width="12.5703125" style="3" customWidth="1"/>
    <col min="9666" max="9666" width="13" style="3" customWidth="1"/>
    <col min="9667" max="9667" width="16" style="3" customWidth="1"/>
    <col min="9668" max="9668" width="6.42578125" style="3" customWidth="1"/>
    <col min="9669" max="9669" width="16" style="3" customWidth="1"/>
    <col min="9670" max="9670" width="2.85546875" style="3" customWidth="1"/>
    <col min="9671" max="9671" width="0.85546875" style="3" customWidth="1"/>
    <col min="9672" max="9672" width="11" style="3"/>
    <col min="9673" max="9673" width="15.42578125" style="3" customWidth="1"/>
    <col min="9674" max="9676" width="14.85546875" style="3" customWidth="1"/>
    <col min="9677" max="9677" width="0.7109375" style="3" customWidth="1"/>
    <col min="9678" max="9678" width="11" style="3"/>
    <col min="9679" max="9679" width="15.7109375" style="3" customWidth="1"/>
    <col min="9680" max="9681" width="14.85546875" style="3" customWidth="1"/>
    <col min="9682" max="9682" width="3.28515625" style="3" customWidth="1"/>
    <col min="9683" max="9683" width="20.140625" style="3" customWidth="1"/>
    <col min="9684" max="9684" width="3.28515625" style="3" customWidth="1"/>
    <col min="9685" max="9689" width="11" style="3"/>
    <col min="9690" max="9702" width="4.7109375" style="3" customWidth="1"/>
    <col min="9703" max="9912" width="11" style="3"/>
    <col min="9913" max="9913" width="0.7109375" style="3" customWidth="1"/>
    <col min="9914" max="9914" width="6.5703125" style="3" customWidth="1"/>
    <col min="9915" max="9915" width="13.5703125" style="3" customWidth="1"/>
    <col min="9916" max="9916" width="13.42578125" style="3" customWidth="1"/>
    <col min="9917" max="9918" width="12.5703125" style="3" customWidth="1"/>
    <col min="9919" max="9919" width="14.85546875" style="3" customWidth="1"/>
    <col min="9920" max="9920" width="20.7109375" style="3" customWidth="1"/>
    <col min="9921" max="9921" width="12.5703125" style="3" customWidth="1"/>
    <col min="9922" max="9922" width="13" style="3" customWidth="1"/>
    <col min="9923" max="9923" width="16" style="3" customWidth="1"/>
    <col min="9924" max="9924" width="6.42578125" style="3" customWidth="1"/>
    <col min="9925" max="9925" width="16" style="3" customWidth="1"/>
    <col min="9926" max="9926" width="2.85546875" style="3" customWidth="1"/>
    <col min="9927" max="9927" width="0.85546875" style="3" customWidth="1"/>
    <col min="9928" max="9928" width="11" style="3"/>
    <col min="9929" max="9929" width="15.42578125" style="3" customWidth="1"/>
    <col min="9930" max="9932" width="14.85546875" style="3" customWidth="1"/>
    <col min="9933" max="9933" width="0.7109375" style="3" customWidth="1"/>
    <col min="9934" max="9934" width="11" style="3"/>
    <col min="9935" max="9935" width="15.7109375" style="3" customWidth="1"/>
    <col min="9936" max="9937" width="14.85546875" style="3" customWidth="1"/>
    <col min="9938" max="9938" width="3.28515625" style="3" customWidth="1"/>
    <col min="9939" max="9939" width="20.140625" style="3" customWidth="1"/>
    <col min="9940" max="9940" width="3.28515625" style="3" customWidth="1"/>
    <col min="9941" max="9945" width="11" style="3"/>
    <col min="9946" max="9958" width="4.7109375" style="3" customWidth="1"/>
    <col min="9959" max="10168" width="11" style="3"/>
    <col min="10169" max="10169" width="0.7109375" style="3" customWidth="1"/>
    <col min="10170" max="10170" width="6.5703125" style="3" customWidth="1"/>
    <col min="10171" max="10171" width="13.5703125" style="3" customWidth="1"/>
    <col min="10172" max="10172" width="13.42578125" style="3" customWidth="1"/>
    <col min="10173" max="10174" width="12.5703125" style="3" customWidth="1"/>
    <col min="10175" max="10175" width="14.85546875" style="3" customWidth="1"/>
    <col min="10176" max="10176" width="20.7109375" style="3" customWidth="1"/>
    <col min="10177" max="10177" width="12.5703125" style="3" customWidth="1"/>
    <col min="10178" max="10178" width="13" style="3" customWidth="1"/>
    <col min="10179" max="10179" width="16" style="3" customWidth="1"/>
    <col min="10180" max="10180" width="6.42578125" style="3" customWidth="1"/>
    <col min="10181" max="10181" width="16" style="3" customWidth="1"/>
    <col min="10182" max="10182" width="2.85546875" style="3" customWidth="1"/>
    <col min="10183" max="10183" width="0.85546875" style="3" customWidth="1"/>
    <col min="10184" max="10184" width="11" style="3"/>
    <col min="10185" max="10185" width="15.42578125" style="3" customWidth="1"/>
    <col min="10186" max="10188" width="14.85546875" style="3" customWidth="1"/>
    <col min="10189" max="10189" width="0.7109375" style="3" customWidth="1"/>
    <col min="10190" max="10190" width="11" style="3"/>
    <col min="10191" max="10191" width="15.7109375" style="3" customWidth="1"/>
    <col min="10192" max="10193" width="14.85546875" style="3" customWidth="1"/>
    <col min="10194" max="10194" width="3.28515625" style="3" customWidth="1"/>
    <col min="10195" max="10195" width="20.140625" style="3" customWidth="1"/>
    <col min="10196" max="10196" width="3.28515625" style="3" customWidth="1"/>
    <col min="10197" max="10201" width="11" style="3"/>
    <col min="10202" max="10214" width="4.7109375" style="3" customWidth="1"/>
    <col min="10215" max="10424" width="11" style="3"/>
    <col min="10425" max="10425" width="0.7109375" style="3" customWidth="1"/>
    <col min="10426" max="10426" width="6.5703125" style="3" customWidth="1"/>
    <col min="10427" max="10427" width="13.5703125" style="3" customWidth="1"/>
    <col min="10428" max="10428" width="13.42578125" style="3" customWidth="1"/>
    <col min="10429" max="10430" width="12.5703125" style="3" customWidth="1"/>
    <col min="10431" max="10431" width="14.85546875" style="3" customWidth="1"/>
    <col min="10432" max="10432" width="20.7109375" style="3" customWidth="1"/>
    <col min="10433" max="10433" width="12.5703125" style="3" customWidth="1"/>
    <col min="10434" max="10434" width="13" style="3" customWidth="1"/>
    <col min="10435" max="10435" width="16" style="3" customWidth="1"/>
    <col min="10436" max="10436" width="6.42578125" style="3" customWidth="1"/>
    <col min="10437" max="10437" width="16" style="3" customWidth="1"/>
    <col min="10438" max="10438" width="2.85546875" style="3" customWidth="1"/>
    <col min="10439" max="10439" width="0.85546875" style="3" customWidth="1"/>
    <col min="10440" max="10440" width="11" style="3"/>
    <col min="10441" max="10441" width="15.42578125" style="3" customWidth="1"/>
    <col min="10442" max="10444" width="14.85546875" style="3" customWidth="1"/>
    <col min="10445" max="10445" width="0.7109375" style="3" customWidth="1"/>
    <col min="10446" max="10446" width="11" style="3"/>
    <col min="10447" max="10447" width="15.7109375" style="3" customWidth="1"/>
    <col min="10448" max="10449" width="14.85546875" style="3" customWidth="1"/>
    <col min="10450" max="10450" width="3.28515625" style="3" customWidth="1"/>
    <col min="10451" max="10451" width="20.140625" style="3" customWidth="1"/>
    <col min="10452" max="10452" width="3.28515625" style="3" customWidth="1"/>
    <col min="10453" max="10457" width="11" style="3"/>
    <col min="10458" max="10470" width="4.7109375" style="3" customWidth="1"/>
    <col min="10471" max="10680" width="11" style="3"/>
    <col min="10681" max="10681" width="0.7109375" style="3" customWidth="1"/>
    <col min="10682" max="10682" width="6.5703125" style="3" customWidth="1"/>
    <col min="10683" max="10683" width="13.5703125" style="3" customWidth="1"/>
    <col min="10684" max="10684" width="13.42578125" style="3" customWidth="1"/>
    <col min="10685" max="10686" width="12.5703125" style="3" customWidth="1"/>
    <col min="10687" max="10687" width="14.85546875" style="3" customWidth="1"/>
    <col min="10688" max="10688" width="20.7109375" style="3" customWidth="1"/>
    <col min="10689" max="10689" width="12.5703125" style="3" customWidth="1"/>
    <col min="10690" max="10690" width="13" style="3" customWidth="1"/>
    <col min="10691" max="10691" width="16" style="3" customWidth="1"/>
    <col min="10692" max="10692" width="6.42578125" style="3" customWidth="1"/>
    <col min="10693" max="10693" width="16" style="3" customWidth="1"/>
    <col min="10694" max="10694" width="2.85546875" style="3" customWidth="1"/>
    <col min="10695" max="10695" width="0.85546875" style="3" customWidth="1"/>
    <col min="10696" max="10696" width="11" style="3"/>
    <col min="10697" max="10697" width="15.42578125" style="3" customWidth="1"/>
    <col min="10698" max="10700" width="14.85546875" style="3" customWidth="1"/>
    <col min="10701" max="10701" width="0.7109375" style="3" customWidth="1"/>
    <col min="10702" max="10702" width="11" style="3"/>
    <col min="10703" max="10703" width="15.7109375" style="3" customWidth="1"/>
    <col min="10704" max="10705" width="14.85546875" style="3" customWidth="1"/>
    <col min="10706" max="10706" width="3.28515625" style="3" customWidth="1"/>
    <col min="10707" max="10707" width="20.140625" style="3" customWidth="1"/>
    <col min="10708" max="10708" width="3.28515625" style="3" customWidth="1"/>
    <col min="10709" max="10713" width="11" style="3"/>
    <col min="10714" max="10726" width="4.7109375" style="3" customWidth="1"/>
    <col min="10727" max="10936" width="11" style="3"/>
    <col min="10937" max="10937" width="0.7109375" style="3" customWidth="1"/>
    <col min="10938" max="10938" width="6.5703125" style="3" customWidth="1"/>
    <col min="10939" max="10939" width="13.5703125" style="3" customWidth="1"/>
    <col min="10940" max="10940" width="13.42578125" style="3" customWidth="1"/>
    <col min="10941" max="10942" width="12.5703125" style="3" customWidth="1"/>
    <col min="10943" max="10943" width="14.85546875" style="3" customWidth="1"/>
    <col min="10944" max="10944" width="20.7109375" style="3" customWidth="1"/>
    <col min="10945" max="10945" width="12.5703125" style="3" customWidth="1"/>
    <col min="10946" max="10946" width="13" style="3" customWidth="1"/>
    <col min="10947" max="10947" width="16" style="3" customWidth="1"/>
    <col min="10948" max="10948" width="6.42578125" style="3" customWidth="1"/>
    <col min="10949" max="10949" width="16" style="3" customWidth="1"/>
    <col min="10950" max="10950" width="2.85546875" style="3" customWidth="1"/>
    <col min="10951" max="10951" width="0.85546875" style="3" customWidth="1"/>
    <col min="10952" max="10952" width="11" style="3"/>
    <col min="10953" max="10953" width="15.42578125" style="3" customWidth="1"/>
    <col min="10954" max="10956" width="14.85546875" style="3" customWidth="1"/>
    <col min="10957" max="10957" width="0.7109375" style="3" customWidth="1"/>
    <col min="10958" max="10958" width="11" style="3"/>
    <col min="10959" max="10959" width="15.7109375" style="3" customWidth="1"/>
    <col min="10960" max="10961" width="14.85546875" style="3" customWidth="1"/>
    <col min="10962" max="10962" width="3.28515625" style="3" customWidth="1"/>
    <col min="10963" max="10963" width="20.140625" style="3" customWidth="1"/>
    <col min="10964" max="10964" width="3.28515625" style="3" customWidth="1"/>
    <col min="10965" max="10969" width="11" style="3"/>
    <col min="10970" max="10982" width="4.7109375" style="3" customWidth="1"/>
    <col min="10983" max="11192" width="11" style="3"/>
    <col min="11193" max="11193" width="0.7109375" style="3" customWidth="1"/>
    <col min="11194" max="11194" width="6.5703125" style="3" customWidth="1"/>
    <col min="11195" max="11195" width="13.5703125" style="3" customWidth="1"/>
    <col min="11196" max="11196" width="13.42578125" style="3" customWidth="1"/>
    <col min="11197" max="11198" width="12.5703125" style="3" customWidth="1"/>
    <col min="11199" max="11199" width="14.85546875" style="3" customWidth="1"/>
    <col min="11200" max="11200" width="20.7109375" style="3" customWidth="1"/>
    <col min="11201" max="11201" width="12.5703125" style="3" customWidth="1"/>
    <col min="11202" max="11202" width="13" style="3" customWidth="1"/>
    <col min="11203" max="11203" width="16" style="3" customWidth="1"/>
    <col min="11204" max="11204" width="6.42578125" style="3" customWidth="1"/>
    <col min="11205" max="11205" width="16" style="3" customWidth="1"/>
    <col min="11206" max="11206" width="2.85546875" style="3" customWidth="1"/>
    <col min="11207" max="11207" width="0.85546875" style="3" customWidth="1"/>
    <col min="11208" max="11208" width="11" style="3"/>
    <col min="11209" max="11209" width="15.42578125" style="3" customWidth="1"/>
    <col min="11210" max="11212" width="14.85546875" style="3" customWidth="1"/>
    <col min="11213" max="11213" width="0.7109375" style="3" customWidth="1"/>
    <col min="11214" max="11214" width="11" style="3"/>
    <col min="11215" max="11215" width="15.7109375" style="3" customWidth="1"/>
    <col min="11216" max="11217" width="14.85546875" style="3" customWidth="1"/>
    <col min="11218" max="11218" width="3.28515625" style="3" customWidth="1"/>
    <col min="11219" max="11219" width="20.140625" style="3" customWidth="1"/>
    <col min="11220" max="11220" width="3.28515625" style="3" customWidth="1"/>
    <col min="11221" max="11225" width="11" style="3"/>
    <col min="11226" max="11238" width="4.7109375" style="3" customWidth="1"/>
    <col min="11239" max="11448" width="11" style="3"/>
    <col min="11449" max="11449" width="0.7109375" style="3" customWidth="1"/>
    <col min="11450" max="11450" width="6.5703125" style="3" customWidth="1"/>
    <col min="11451" max="11451" width="13.5703125" style="3" customWidth="1"/>
    <col min="11452" max="11452" width="13.42578125" style="3" customWidth="1"/>
    <col min="11453" max="11454" width="12.5703125" style="3" customWidth="1"/>
    <col min="11455" max="11455" width="14.85546875" style="3" customWidth="1"/>
    <col min="11456" max="11456" width="20.7109375" style="3" customWidth="1"/>
    <col min="11457" max="11457" width="12.5703125" style="3" customWidth="1"/>
    <col min="11458" max="11458" width="13" style="3" customWidth="1"/>
    <col min="11459" max="11459" width="16" style="3" customWidth="1"/>
    <col min="11460" max="11460" width="6.42578125" style="3" customWidth="1"/>
    <col min="11461" max="11461" width="16" style="3" customWidth="1"/>
    <col min="11462" max="11462" width="2.85546875" style="3" customWidth="1"/>
    <col min="11463" max="11463" width="0.85546875" style="3" customWidth="1"/>
    <col min="11464" max="11464" width="11" style="3"/>
    <col min="11465" max="11465" width="15.42578125" style="3" customWidth="1"/>
    <col min="11466" max="11468" width="14.85546875" style="3" customWidth="1"/>
    <col min="11469" max="11469" width="0.7109375" style="3" customWidth="1"/>
    <col min="11470" max="11470" width="11" style="3"/>
    <col min="11471" max="11471" width="15.7109375" style="3" customWidth="1"/>
    <col min="11472" max="11473" width="14.85546875" style="3" customWidth="1"/>
    <col min="11474" max="11474" width="3.28515625" style="3" customWidth="1"/>
    <col min="11475" max="11475" width="20.140625" style="3" customWidth="1"/>
    <col min="11476" max="11476" width="3.28515625" style="3" customWidth="1"/>
    <col min="11477" max="11481" width="11" style="3"/>
    <col min="11482" max="11494" width="4.7109375" style="3" customWidth="1"/>
    <col min="11495" max="11704" width="11" style="3"/>
    <col min="11705" max="11705" width="0.7109375" style="3" customWidth="1"/>
    <col min="11706" max="11706" width="6.5703125" style="3" customWidth="1"/>
    <col min="11707" max="11707" width="13.5703125" style="3" customWidth="1"/>
    <col min="11708" max="11708" width="13.42578125" style="3" customWidth="1"/>
    <col min="11709" max="11710" width="12.5703125" style="3" customWidth="1"/>
    <col min="11711" max="11711" width="14.85546875" style="3" customWidth="1"/>
    <col min="11712" max="11712" width="20.7109375" style="3" customWidth="1"/>
    <col min="11713" max="11713" width="12.5703125" style="3" customWidth="1"/>
    <col min="11714" max="11714" width="13" style="3" customWidth="1"/>
    <col min="11715" max="11715" width="16" style="3" customWidth="1"/>
    <col min="11716" max="11716" width="6.42578125" style="3" customWidth="1"/>
    <col min="11717" max="11717" width="16" style="3" customWidth="1"/>
    <col min="11718" max="11718" width="2.85546875" style="3" customWidth="1"/>
    <col min="11719" max="11719" width="0.85546875" style="3" customWidth="1"/>
    <col min="11720" max="11720" width="11" style="3"/>
    <col min="11721" max="11721" width="15.42578125" style="3" customWidth="1"/>
    <col min="11722" max="11724" width="14.85546875" style="3" customWidth="1"/>
    <col min="11725" max="11725" width="0.7109375" style="3" customWidth="1"/>
    <col min="11726" max="11726" width="11" style="3"/>
    <col min="11727" max="11727" width="15.7109375" style="3" customWidth="1"/>
    <col min="11728" max="11729" width="14.85546875" style="3" customWidth="1"/>
    <col min="11730" max="11730" width="3.28515625" style="3" customWidth="1"/>
    <col min="11731" max="11731" width="20.140625" style="3" customWidth="1"/>
    <col min="11732" max="11732" width="3.28515625" style="3" customWidth="1"/>
    <col min="11733" max="11737" width="11" style="3"/>
    <col min="11738" max="11750" width="4.7109375" style="3" customWidth="1"/>
    <col min="11751" max="11960" width="11" style="3"/>
    <col min="11961" max="11961" width="0.7109375" style="3" customWidth="1"/>
    <col min="11962" max="11962" width="6.5703125" style="3" customWidth="1"/>
    <col min="11963" max="11963" width="13.5703125" style="3" customWidth="1"/>
    <col min="11964" max="11964" width="13.42578125" style="3" customWidth="1"/>
    <col min="11965" max="11966" width="12.5703125" style="3" customWidth="1"/>
    <col min="11967" max="11967" width="14.85546875" style="3" customWidth="1"/>
    <col min="11968" max="11968" width="20.7109375" style="3" customWidth="1"/>
    <col min="11969" max="11969" width="12.5703125" style="3" customWidth="1"/>
    <col min="11970" max="11970" width="13" style="3" customWidth="1"/>
    <col min="11971" max="11971" width="16" style="3" customWidth="1"/>
    <col min="11972" max="11972" width="6.42578125" style="3" customWidth="1"/>
    <col min="11973" max="11973" width="16" style="3" customWidth="1"/>
    <col min="11974" max="11974" width="2.85546875" style="3" customWidth="1"/>
    <col min="11975" max="11975" width="0.85546875" style="3" customWidth="1"/>
    <col min="11976" max="11976" width="11" style="3"/>
    <col min="11977" max="11977" width="15.42578125" style="3" customWidth="1"/>
    <col min="11978" max="11980" width="14.85546875" style="3" customWidth="1"/>
    <col min="11981" max="11981" width="0.7109375" style="3" customWidth="1"/>
    <col min="11982" max="11982" width="11" style="3"/>
    <col min="11983" max="11983" width="15.7109375" style="3" customWidth="1"/>
    <col min="11984" max="11985" width="14.85546875" style="3" customWidth="1"/>
    <col min="11986" max="11986" width="3.28515625" style="3" customWidth="1"/>
    <col min="11987" max="11987" width="20.140625" style="3" customWidth="1"/>
    <col min="11988" max="11988" width="3.28515625" style="3" customWidth="1"/>
    <col min="11989" max="11993" width="11" style="3"/>
    <col min="11994" max="12006" width="4.7109375" style="3" customWidth="1"/>
    <col min="12007" max="12216" width="11" style="3"/>
    <col min="12217" max="12217" width="0.7109375" style="3" customWidth="1"/>
    <col min="12218" max="12218" width="6.5703125" style="3" customWidth="1"/>
    <col min="12219" max="12219" width="13.5703125" style="3" customWidth="1"/>
    <col min="12220" max="12220" width="13.42578125" style="3" customWidth="1"/>
    <col min="12221" max="12222" width="12.5703125" style="3" customWidth="1"/>
    <col min="12223" max="12223" width="14.85546875" style="3" customWidth="1"/>
    <col min="12224" max="12224" width="20.7109375" style="3" customWidth="1"/>
    <col min="12225" max="12225" width="12.5703125" style="3" customWidth="1"/>
    <col min="12226" max="12226" width="13" style="3" customWidth="1"/>
    <col min="12227" max="12227" width="16" style="3" customWidth="1"/>
    <col min="12228" max="12228" width="6.42578125" style="3" customWidth="1"/>
    <col min="12229" max="12229" width="16" style="3" customWidth="1"/>
    <col min="12230" max="12230" width="2.85546875" style="3" customWidth="1"/>
    <col min="12231" max="12231" width="0.85546875" style="3" customWidth="1"/>
    <col min="12232" max="12232" width="11" style="3"/>
    <col min="12233" max="12233" width="15.42578125" style="3" customWidth="1"/>
    <col min="12234" max="12236" width="14.85546875" style="3" customWidth="1"/>
    <col min="12237" max="12237" width="0.7109375" style="3" customWidth="1"/>
    <col min="12238" max="12238" width="11" style="3"/>
    <col min="12239" max="12239" width="15.7109375" style="3" customWidth="1"/>
    <col min="12240" max="12241" width="14.85546875" style="3" customWidth="1"/>
    <col min="12242" max="12242" width="3.28515625" style="3" customWidth="1"/>
    <col min="12243" max="12243" width="20.140625" style="3" customWidth="1"/>
    <col min="12244" max="12244" width="3.28515625" style="3" customWidth="1"/>
    <col min="12245" max="12249" width="11" style="3"/>
    <col min="12250" max="12262" width="4.7109375" style="3" customWidth="1"/>
    <col min="12263" max="12472" width="11" style="3"/>
    <col min="12473" max="12473" width="0.7109375" style="3" customWidth="1"/>
    <col min="12474" max="12474" width="6.5703125" style="3" customWidth="1"/>
    <col min="12475" max="12475" width="13.5703125" style="3" customWidth="1"/>
    <col min="12476" max="12476" width="13.42578125" style="3" customWidth="1"/>
    <col min="12477" max="12478" width="12.5703125" style="3" customWidth="1"/>
    <col min="12479" max="12479" width="14.85546875" style="3" customWidth="1"/>
    <col min="12480" max="12480" width="20.7109375" style="3" customWidth="1"/>
    <col min="12481" max="12481" width="12.5703125" style="3" customWidth="1"/>
    <col min="12482" max="12482" width="13" style="3" customWidth="1"/>
    <col min="12483" max="12483" width="16" style="3" customWidth="1"/>
    <col min="12484" max="12484" width="6.42578125" style="3" customWidth="1"/>
    <col min="12485" max="12485" width="16" style="3" customWidth="1"/>
    <col min="12486" max="12486" width="2.85546875" style="3" customWidth="1"/>
    <col min="12487" max="12487" width="0.85546875" style="3" customWidth="1"/>
    <col min="12488" max="12488" width="11" style="3"/>
    <col min="12489" max="12489" width="15.42578125" style="3" customWidth="1"/>
    <col min="12490" max="12492" width="14.85546875" style="3" customWidth="1"/>
    <col min="12493" max="12493" width="0.7109375" style="3" customWidth="1"/>
    <col min="12494" max="12494" width="11" style="3"/>
    <col min="12495" max="12495" width="15.7109375" style="3" customWidth="1"/>
    <col min="12496" max="12497" width="14.85546875" style="3" customWidth="1"/>
    <col min="12498" max="12498" width="3.28515625" style="3" customWidth="1"/>
    <col min="12499" max="12499" width="20.140625" style="3" customWidth="1"/>
    <col min="12500" max="12500" width="3.28515625" style="3" customWidth="1"/>
    <col min="12501" max="12505" width="11" style="3"/>
    <col min="12506" max="12518" width="4.7109375" style="3" customWidth="1"/>
    <col min="12519" max="12728" width="11" style="3"/>
    <col min="12729" max="12729" width="0.7109375" style="3" customWidth="1"/>
    <col min="12730" max="12730" width="6.5703125" style="3" customWidth="1"/>
    <col min="12731" max="12731" width="13.5703125" style="3" customWidth="1"/>
    <col min="12732" max="12732" width="13.42578125" style="3" customWidth="1"/>
    <col min="12733" max="12734" width="12.5703125" style="3" customWidth="1"/>
    <col min="12735" max="12735" width="14.85546875" style="3" customWidth="1"/>
    <col min="12736" max="12736" width="20.7109375" style="3" customWidth="1"/>
    <col min="12737" max="12737" width="12.5703125" style="3" customWidth="1"/>
    <col min="12738" max="12738" width="13" style="3" customWidth="1"/>
    <col min="12739" max="12739" width="16" style="3" customWidth="1"/>
    <col min="12740" max="12740" width="6.42578125" style="3" customWidth="1"/>
    <col min="12741" max="12741" width="16" style="3" customWidth="1"/>
    <col min="12742" max="12742" width="2.85546875" style="3" customWidth="1"/>
    <col min="12743" max="12743" width="0.85546875" style="3" customWidth="1"/>
    <col min="12744" max="12744" width="11" style="3"/>
    <col min="12745" max="12745" width="15.42578125" style="3" customWidth="1"/>
    <col min="12746" max="12748" width="14.85546875" style="3" customWidth="1"/>
    <col min="12749" max="12749" width="0.7109375" style="3" customWidth="1"/>
    <col min="12750" max="12750" width="11" style="3"/>
    <col min="12751" max="12751" width="15.7109375" style="3" customWidth="1"/>
    <col min="12752" max="12753" width="14.85546875" style="3" customWidth="1"/>
    <col min="12754" max="12754" width="3.28515625" style="3" customWidth="1"/>
    <col min="12755" max="12755" width="20.140625" style="3" customWidth="1"/>
    <col min="12756" max="12756" width="3.28515625" style="3" customWidth="1"/>
    <col min="12757" max="12761" width="11" style="3"/>
    <col min="12762" max="12774" width="4.7109375" style="3" customWidth="1"/>
    <col min="12775" max="12984" width="11" style="3"/>
    <col min="12985" max="12985" width="0.7109375" style="3" customWidth="1"/>
    <col min="12986" max="12986" width="6.5703125" style="3" customWidth="1"/>
    <col min="12987" max="12987" width="13.5703125" style="3" customWidth="1"/>
    <col min="12988" max="12988" width="13.42578125" style="3" customWidth="1"/>
    <col min="12989" max="12990" width="12.5703125" style="3" customWidth="1"/>
    <col min="12991" max="12991" width="14.85546875" style="3" customWidth="1"/>
    <col min="12992" max="12992" width="20.7109375" style="3" customWidth="1"/>
    <col min="12993" max="12993" width="12.5703125" style="3" customWidth="1"/>
    <col min="12994" max="12994" width="13" style="3" customWidth="1"/>
    <col min="12995" max="12995" width="16" style="3" customWidth="1"/>
    <col min="12996" max="12996" width="6.42578125" style="3" customWidth="1"/>
    <col min="12997" max="12997" width="16" style="3" customWidth="1"/>
    <col min="12998" max="12998" width="2.85546875" style="3" customWidth="1"/>
    <col min="12999" max="12999" width="0.85546875" style="3" customWidth="1"/>
    <col min="13000" max="13000" width="11" style="3"/>
    <col min="13001" max="13001" width="15.42578125" style="3" customWidth="1"/>
    <col min="13002" max="13004" width="14.85546875" style="3" customWidth="1"/>
    <col min="13005" max="13005" width="0.7109375" style="3" customWidth="1"/>
    <col min="13006" max="13006" width="11" style="3"/>
    <col min="13007" max="13007" width="15.7109375" style="3" customWidth="1"/>
    <col min="13008" max="13009" width="14.85546875" style="3" customWidth="1"/>
    <col min="13010" max="13010" width="3.28515625" style="3" customWidth="1"/>
    <col min="13011" max="13011" width="20.140625" style="3" customWidth="1"/>
    <col min="13012" max="13012" width="3.28515625" style="3" customWidth="1"/>
    <col min="13013" max="13017" width="11" style="3"/>
    <col min="13018" max="13030" width="4.7109375" style="3" customWidth="1"/>
    <col min="13031" max="13240" width="11" style="3"/>
    <col min="13241" max="13241" width="0.7109375" style="3" customWidth="1"/>
    <col min="13242" max="13242" width="6.5703125" style="3" customWidth="1"/>
    <col min="13243" max="13243" width="13.5703125" style="3" customWidth="1"/>
    <col min="13244" max="13244" width="13.42578125" style="3" customWidth="1"/>
    <col min="13245" max="13246" width="12.5703125" style="3" customWidth="1"/>
    <col min="13247" max="13247" width="14.85546875" style="3" customWidth="1"/>
    <col min="13248" max="13248" width="20.7109375" style="3" customWidth="1"/>
    <col min="13249" max="13249" width="12.5703125" style="3" customWidth="1"/>
    <col min="13250" max="13250" width="13" style="3" customWidth="1"/>
    <col min="13251" max="13251" width="16" style="3" customWidth="1"/>
    <col min="13252" max="13252" width="6.42578125" style="3" customWidth="1"/>
    <col min="13253" max="13253" width="16" style="3" customWidth="1"/>
    <col min="13254" max="13254" width="2.85546875" style="3" customWidth="1"/>
    <col min="13255" max="13255" width="0.85546875" style="3" customWidth="1"/>
    <col min="13256" max="13256" width="11" style="3"/>
    <col min="13257" max="13257" width="15.42578125" style="3" customWidth="1"/>
    <col min="13258" max="13260" width="14.85546875" style="3" customWidth="1"/>
    <col min="13261" max="13261" width="0.7109375" style="3" customWidth="1"/>
    <col min="13262" max="13262" width="11" style="3"/>
    <col min="13263" max="13263" width="15.7109375" style="3" customWidth="1"/>
    <col min="13264" max="13265" width="14.85546875" style="3" customWidth="1"/>
    <col min="13266" max="13266" width="3.28515625" style="3" customWidth="1"/>
    <col min="13267" max="13267" width="20.140625" style="3" customWidth="1"/>
    <col min="13268" max="13268" width="3.28515625" style="3" customWidth="1"/>
    <col min="13269" max="13273" width="11" style="3"/>
    <col min="13274" max="13286" width="4.7109375" style="3" customWidth="1"/>
    <col min="13287" max="13496" width="11" style="3"/>
    <col min="13497" max="13497" width="0.7109375" style="3" customWidth="1"/>
    <col min="13498" max="13498" width="6.5703125" style="3" customWidth="1"/>
    <col min="13499" max="13499" width="13.5703125" style="3" customWidth="1"/>
    <col min="13500" max="13500" width="13.42578125" style="3" customWidth="1"/>
    <col min="13501" max="13502" width="12.5703125" style="3" customWidth="1"/>
    <col min="13503" max="13503" width="14.85546875" style="3" customWidth="1"/>
    <col min="13504" max="13504" width="20.7109375" style="3" customWidth="1"/>
    <col min="13505" max="13505" width="12.5703125" style="3" customWidth="1"/>
    <col min="13506" max="13506" width="13" style="3" customWidth="1"/>
    <col min="13507" max="13507" width="16" style="3" customWidth="1"/>
    <col min="13508" max="13508" width="6.42578125" style="3" customWidth="1"/>
    <col min="13509" max="13509" width="16" style="3" customWidth="1"/>
    <col min="13510" max="13510" width="2.85546875" style="3" customWidth="1"/>
    <col min="13511" max="13511" width="0.85546875" style="3" customWidth="1"/>
    <col min="13512" max="13512" width="11" style="3"/>
    <col min="13513" max="13513" width="15.42578125" style="3" customWidth="1"/>
    <col min="13514" max="13516" width="14.85546875" style="3" customWidth="1"/>
    <col min="13517" max="13517" width="0.7109375" style="3" customWidth="1"/>
    <col min="13518" max="13518" width="11" style="3"/>
    <col min="13519" max="13519" width="15.7109375" style="3" customWidth="1"/>
    <col min="13520" max="13521" width="14.85546875" style="3" customWidth="1"/>
    <col min="13522" max="13522" width="3.28515625" style="3" customWidth="1"/>
    <col min="13523" max="13523" width="20.140625" style="3" customWidth="1"/>
    <col min="13524" max="13524" width="3.28515625" style="3" customWidth="1"/>
    <col min="13525" max="13529" width="11" style="3"/>
    <col min="13530" max="13542" width="4.7109375" style="3" customWidth="1"/>
    <col min="13543" max="13752" width="11" style="3"/>
    <col min="13753" max="13753" width="0.7109375" style="3" customWidth="1"/>
    <col min="13754" max="13754" width="6.5703125" style="3" customWidth="1"/>
    <col min="13755" max="13755" width="13.5703125" style="3" customWidth="1"/>
    <col min="13756" max="13756" width="13.42578125" style="3" customWidth="1"/>
    <col min="13757" max="13758" width="12.5703125" style="3" customWidth="1"/>
    <col min="13759" max="13759" width="14.85546875" style="3" customWidth="1"/>
    <col min="13760" max="13760" width="20.7109375" style="3" customWidth="1"/>
    <col min="13761" max="13761" width="12.5703125" style="3" customWidth="1"/>
    <col min="13762" max="13762" width="13" style="3" customWidth="1"/>
    <col min="13763" max="13763" width="16" style="3" customWidth="1"/>
    <col min="13764" max="13764" width="6.42578125" style="3" customWidth="1"/>
    <col min="13765" max="13765" width="16" style="3" customWidth="1"/>
    <col min="13766" max="13766" width="2.85546875" style="3" customWidth="1"/>
    <col min="13767" max="13767" width="0.85546875" style="3" customWidth="1"/>
    <col min="13768" max="13768" width="11" style="3"/>
    <col min="13769" max="13769" width="15.42578125" style="3" customWidth="1"/>
    <col min="13770" max="13772" width="14.85546875" style="3" customWidth="1"/>
    <col min="13773" max="13773" width="0.7109375" style="3" customWidth="1"/>
    <col min="13774" max="13774" width="11" style="3"/>
    <col min="13775" max="13775" width="15.7109375" style="3" customWidth="1"/>
    <col min="13776" max="13777" width="14.85546875" style="3" customWidth="1"/>
    <col min="13778" max="13778" width="3.28515625" style="3" customWidth="1"/>
    <col min="13779" max="13779" width="20.140625" style="3" customWidth="1"/>
    <col min="13780" max="13780" width="3.28515625" style="3" customWidth="1"/>
    <col min="13781" max="13785" width="11" style="3"/>
    <col min="13786" max="13798" width="4.7109375" style="3" customWidth="1"/>
    <col min="13799" max="14008" width="11" style="3"/>
    <col min="14009" max="14009" width="0.7109375" style="3" customWidth="1"/>
    <col min="14010" max="14010" width="6.5703125" style="3" customWidth="1"/>
    <col min="14011" max="14011" width="13.5703125" style="3" customWidth="1"/>
    <col min="14012" max="14012" width="13.42578125" style="3" customWidth="1"/>
    <col min="14013" max="14014" width="12.5703125" style="3" customWidth="1"/>
    <col min="14015" max="14015" width="14.85546875" style="3" customWidth="1"/>
    <col min="14016" max="14016" width="20.7109375" style="3" customWidth="1"/>
    <col min="14017" max="14017" width="12.5703125" style="3" customWidth="1"/>
    <col min="14018" max="14018" width="13" style="3" customWidth="1"/>
    <col min="14019" max="14019" width="16" style="3" customWidth="1"/>
    <col min="14020" max="14020" width="6.42578125" style="3" customWidth="1"/>
    <col min="14021" max="14021" width="16" style="3" customWidth="1"/>
    <col min="14022" max="14022" width="2.85546875" style="3" customWidth="1"/>
    <col min="14023" max="14023" width="0.85546875" style="3" customWidth="1"/>
    <col min="14024" max="14024" width="11" style="3"/>
    <col min="14025" max="14025" width="15.42578125" style="3" customWidth="1"/>
    <col min="14026" max="14028" width="14.85546875" style="3" customWidth="1"/>
    <col min="14029" max="14029" width="0.7109375" style="3" customWidth="1"/>
    <col min="14030" max="14030" width="11" style="3"/>
    <col min="14031" max="14031" width="15.7109375" style="3" customWidth="1"/>
    <col min="14032" max="14033" width="14.85546875" style="3" customWidth="1"/>
    <col min="14034" max="14034" width="3.28515625" style="3" customWidth="1"/>
    <col min="14035" max="14035" width="20.140625" style="3" customWidth="1"/>
    <col min="14036" max="14036" width="3.28515625" style="3" customWidth="1"/>
    <col min="14037" max="14041" width="11" style="3"/>
    <col min="14042" max="14054" width="4.7109375" style="3" customWidth="1"/>
    <col min="14055" max="14264" width="11" style="3"/>
    <col min="14265" max="14265" width="0.7109375" style="3" customWidth="1"/>
    <col min="14266" max="14266" width="6.5703125" style="3" customWidth="1"/>
    <col min="14267" max="14267" width="13.5703125" style="3" customWidth="1"/>
    <col min="14268" max="14268" width="13.42578125" style="3" customWidth="1"/>
    <col min="14269" max="14270" width="12.5703125" style="3" customWidth="1"/>
    <col min="14271" max="14271" width="14.85546875" style="3" customWidth="1"/>
    <col min="14272" max="14272" width="20.7109375" style="3" customWidth="1"/>
    <col min="14273" max="14273" width="12.5703125" style="3" customWidth="1"/>
    <col min="14274" max="14274" width="13" style="3" customWidth="1"/>
    <col min="14275" max="14275" width="16" style="3" customWidth="1"/>
    <col min="14276" max="14276" width="6.42578125" style="3" customWidth="1"/>
    <col min="14277" max="14277" width="16" style="3" customWidth="1"/>
    <col min="14278" max="14278" width="2.85546875" style="3" customWidth="1"/>
    <col min="14279" max="14279" width="0.85546875" style="3" customWidth="1"/>
    <col min="14280" max="14280" width="11" style="3"/>
    <col min="14281" max="14281" width="15.42578125" style="3" customWidth="1"/>
    <col min="14282" max="14284" width="14.85546875" style="3" customWidth="1"/>
    <col min="14285" max="14285" width="0.7109375" style="3" customWidth="1"/>
    <col min="14286" max="14286" width="11" style="3"/>
    <col min="14287" max="14287" width="15.7109375" style="3" customWidth="1"/>
    <col min="14288" max="14289" width="14.85546875" style="3" customWidth="1"/>
    <col min="14290" max="14290" width="3.28515625" style="3" customWidth="1"/>
    <col min="14291" max="14291" width="20.140625" style="3" customWidth="1"/>
    <col min="14292" max="14292" width="3.28515625" style="3" customWidth="1"/>
    <col min="14293" max="14297" width="11" style="3"/>
    <col min="14298" max="14310" width="4.7109375" style="3" customWidth="1"/>
    <col min="14311" max="14520" width="11" style="3"/>
    <col min="14521" max="14521" width="0.7109375" style="3" customWidth="1"/>
    <col min="14522" max="14522" width="6.5703125" style="3" customWidth="1"/>
    <col min="14523" max="14523" width="13.5703125" style="3" customWidth="1"/>
    <col min="14524" max="14524" width="13.42578125" style="3" customWidth="1"/>
    <col min="14525" max="14526" width="12.5703125" style="3" customWidth="1"/>
    <col min="14527" max="14527" width="14.85546875" style="3" customWidth="1"/>
    <col min="14528" max="14528" width="20.7109375" style="3" customWidth="1"/>
    <col min="14529" max="14529" width="12.5703125" style="3" customWidth="1"/>
    <col min="14530" max="14530" width="13" style="3" customWidth="1"/>
    <col min="14531" max="14531" width="16" style="3" customWidth="1"/>
    <col min="14532" max="14532" width="6.42578125" style="3" customWidth="1"/>
    <col min="14533" max="14533" width="16" style="3" customWidth="1"/>
    <col min="14534" max="14534" width="2.85546875" style="3" customWidth="1"/>
    <col min="14535" max="14535" width="0.85546875" style="3" customWidth="1"/>
    <col min="14536" max="14536" width="11" style="3"/>
    <col min="14537" max="14537" width="15.42578125" style="3" customWidth="1"/>
    <col min="14538" max="14540" width="14.85546875" style="3" customWidth="1"/>
    <col min="14541" max="14541" width="0.7109375" style="3" customWidth="1"/>
    <col min="14542" max="14542" width="11" style="3"/>
    <col min="14543" max="14543" width="15.7109375" style="3" customWidth="1"/>
    <col min="14544" max="14545" width="14.85546875" style="3" customWidth="1"/>
    <col min="14546" max="14546" width="3.28515625" style="3" customWidth="1"/>
    <col min="14547" max="14547" width="20.140625" style="3" customWidth="1"/>
    <col min="14548" max="14548" width="3.28515625" style="3" customWidth="1"/>
    <col min="14549" max="14553" width="11" style="3"/>
    <col min="14554" max="14566" width="4.7109375" style="3" customWidth="1"/>
    <col min="14567" max="14776" width="11" style="3"/>
    <col min="14777" max="14777" width="0.7109375" style="3" customWidth="1"/>
    <col min="14778" max="14778" width="6.5703125" style="3" customWidth="1"/>
    <col min="14779" max="14779" width="13.5703125" style="3" customWidth="1"/>
    <col min="14780" max="14780" width="13.42578125" style="3" customWidth="1"/>
    <col min="14781" max="14782" width="12.5703125" style="3" customWidth="1"/>
    <col min="14783" max="14783" width="14.85546875" style="3" customWidth="1"/>
    <col min="14784" max="14784" width="20.7109375" style="3" customWidth="1"/>
    <col min="14785" max="14785" width="12.5703125" style="3" customWidth="1"/>
    <col min="14786" max="14786" width="13" style="3" customWidth="1"/>
    <col min="14787" max="14787" width="16" style="3" customWidth="1"/>
    <col min="14788" max="14788" width="6.42578125" style="3" customWidth="1"/>
    <col min="14789" max="14789" width="16" style="3" customWidth="1"/>
    <col min="14790" max="14790" width="2.85546875" style="3" customWidth="1"/>
    <col min="14791" max="14791" width="0.85546875" style="3" customWidth="1"/>
    <col min="14792" max="14792" width="11" style="3"/>
    <col min="14793" max="14793" width="15.42578125" style="3" customWidth="1"/>
    <col min="14794" max="14796" width="14.85546875" style="3" customWidth="1"/>
    <col min="14797" max="14797" width="0.7109375" style="3" customWidth="1"/>
    <col min="14798" max="14798" width="11" style="3"/>
    <col min="14799" max="14799" width="15.7109375" style="3" customWidth="1"/>
    <col min="14800" max="14801" width="14.85546875" style="3" customWidth="1"/>
    <col min="14802" max="14802" width="3.28515625" style="3" customWidth="1"/>
    <col min="14803" max="14803" width="20.140625" style="3" customWidth="1"/>
    <col min="14804" max="14804" width="3.28515625" style="3" customWidth="1"/>
    <col min="14805" max="14809" width="11" style="3"/>
    <col min="14810" max="14822" width="4.7109375" style="3" customWidth="1"/>
    <col min="14823" max="15032" width="11" style="3"/>
    <col min="15033" max="15033" width="0.7109375" style="3" customWidth="1"/>
    <col min="15034" max="15034" width="6.5703125" style="3" customWidth="1"/>
    <col min="15035" max="15035" width="13.5703125" style="3" customWidth="1"/>
    <col min="15036" max="15036" width="13.42578125" style="3" customWidth="1"/>
    <col min="15037" max="15038" width="12.5703125" style="3" customWidth="1"/>
    <col min="15039" max="15039" width="14.85546875" style="3" customWidth="1"/>
    <col min="15040" max="15040" width="20.7109375" style="3" customWidth="1"/>
    <col min="15041" max="15041" width="12.5703125" style="3" customWidth="1"/>
    <col min="15042" max="15042" width="13" style="3" customWidth="1"/>
    <col min="15043" max="15043" width="16" style="3" customWidth="1"/>
    <col min="15044" max="15044" width="6.42578125" style="3" customWidth="1"/>
    <col min="15045" max="15045" width="16" style="3" customWidth="1"/>
    <col min="15046" max="15046" width="2.85546875" style="3" customWidth="1"/>
    <col min="15047" max="15047" width="0.85546875" style="3" customWidth="1"/>
    <col min="15048" max="15048" width="11" style="3"/>
    <col min="15049" max="15049" width="15.42578125" style="3" customWidth="1"/>
    <col min="15050" max="15052" width="14.85546875" style="3" customWidth="1"/>
    <col min="15053" max="15053" width="0.7109375" style="3" customWidth="1"/>
    <col min="15054" max="15054" width="11" style="3"/>
    <col min="15055" max="15055" width="15.7109375" style="3" customWidth="1"/>
    <col min="15056" max="15057" width="14.85546875" style="3" customWidth="1"/>
    <col min="15058" max="15058" width="3.28515625" style="3" customWidth="1"/>
    <col min="15059" max="15059" width="20.140625" style="3" customWidth="1"/>
    <col min="15060" max="15060" width="3.28515625" style="3" customWidth="1"/>
    <col min="15061" max="15065" width="11" style="3"/>
    <col min="15066" max="15078" width="4.7109375" style="3" customWidth="1"/>
    <col min="15079" max="15288" width="11" style="3"/>
    <col min="15289" max="15289" width="0.7109375" style="3" customWidth="1"/>
    <col min="15290" max="15290" width="6.5703125" style="3" customWidth="1"/>
    <col min="15291" max="15291" width="13.5703125" style="3" customWidth="1"/>
    <col min="15292" max="15292" width="13.42578125" style="3" customWidth="1"/>
    <col min="15293" max="15294" width="12.5703125" style="3" customWidth="1"/>
    <col min="15295" max="15295" width="14.85546875" style="3" customWidth="1"/>
    <col min="15296" max="15296" width="20.7109375" style="3" customWidth="1"/>
    <col min="15297" max="15297" width="12.5703125" style="3" customWidth="1"/>
    <col min="15298" max="15298" width="13" style="3" customWidth="1"/>
    <col min="15299" max="15299" width="16" style="3" customWidth="1"/>
    <col min="15300" max="15300" width="6.42578125" style="3" customWidth="1"/>
    <col min="15301" max="15301" width="16" style="3" customWidth="1"/>
    <col min="15302" max="15302" width="2.85546875" style="3" customWidth="1"/>
    <col min="15303" max="15303" width="0.85546875" style="3" customWidth="1"/>
    <col min="15304" max="15304" width="11" style="3"/>
    <col min="15305" max="15305" width="15.42578125" style="3" customWidth="1"/>
    <col min="15306" max="15308" width="14.85546875" style="3" customWidth="1"/>
    <col min="15309" max="15309" width="0.7109375" style="3" customWidth="1"/>
    <col min="15310" max="15310" width="11" style="3"/>
    <col min="15311" max="15311" width="15.7109375" style="3" customWidth="1"/>
    <col min="15312" max="15313" width="14.85546875" style="3" customWidth="1"/>
    <col min="15314" max="15314" width="3.28515625" style="3" customWidth="1"/>
    <col min="15315" max="15315" width="20.140625" style="3" customWidth="1"/>
    <col min="15316" max="15316" width="3.28515625" style="3" customWidth="1"/>
    <col min="15317" max="15321" width="11" style="3"/>
    <col min="15322" max="15334" width="4.7109375" style="3" customWidth="1"/>
    <col min="15335" max="15544" width="11" style="3"/>
    <col min="15545" max="15545" width="0.7109375" style="3" customWidth="1"/>
    <col min="15546" max="15546" width="6.5703125" style="3" customWidth="1"/>
    <col min="15547" max="15547" width="13.5703125" style="3" customWidth="1"/>
    <col min="15548" max="15548" width="13.42578125" style="3" customWidth="1"/>
    <col min="15549" max="15550" width="12.5703125" style="3" customWidth="1"/>
    <col min="15551" max="15551" width="14.85546875" style="3" customWidth="1"/>
    <col min="15552" max="15552" width="20.7109375" style="3" customWidth="1"/>
    <col min="15553" max="15553" width="12.5703125" style="3" customWidth="1"/>
    <col min="15554" max="15554" width="13" style="3" customWidth="1"/>
    <col min="15555" max="15555" width="16" style="3" customWidth="1"/>
    <col min="15556" max="15556" width="6.42578125" style="3" customWidth="1"/>
    <col min="15557" max="15557" width="16" style="3" customWidth="1"/>
    <col min="15558" max="15558" width="2.85546875" style="3" customWidth="1"/>
    <col min="15559" max="15559" width="0.85546875" style="3" customWidth="1"/>
    <col min="15560" max="15560" width="11" style="3"/>
    <col min="15561" max="15561" width="15.42578125" style="3" customWidth="1"/>
    <col min="15562" max="15564" width="14.85546875" style="3" customWidth="1"/>
    <col min="15565" max="15565" width="0.7109375" style="3" customWidth="1"/>
    <col min="15566" max="15566" width="11" style="3"/>
    <col min="15567" max="15567" width="15.7109375" style="3" customWidth="1"/>
    <col min="15568" max="15569" width="14.85546875" style="3" customWidth="1"/>
    <col min="15570" max="15570" width="3.28515625" style="3" customWidth="1"/>
    <col min="15571" max="15571" width="20.140625" style="3" customWidth="1"/>
    <col min="15572" max="15572" width="3.28515625" style="3" customWidth="1"/>
    <col min="15573" max="15577" width="11" style="3"/>
    <col min="15578" max="15590" width="4.7109375" style="3" customWidth="1"/>
    <col min="15591" max="15800" width="11" style="3"/>
    <col min="15801" max="15801" width="0.7109375" style="3" customWidth="1"/>
    <col min="15802" max="15802" width="6.5703125" style="3" customWidth="1"/>
    <col min="15803" max="15803" width="13.5703125" style="3" customWidth="1"/>
    <col min="15804" max="15804" width="13.42578125" style="3" customWidth="1"/>
    <col min="15805" max="15806" width="12.5703125" style="3" customWidth="1"/>
    <col min="15807" max="15807" width="14.85546875" style="3" customWidth="1"/>
    <col min="15808" max="15808" width="20.7109375" style="3" customWidth="1"/>
    <col min="15809" max="15809" width="12.5703125" style="3" customWidth="1"/>
    <col min="15810" max="15810" width="13" style="3" customWidth="1"/>
    <col min="15811" max="15811" width="16" style="3" customWidth="1"/>
    <col min="15812" max="15812" width="6.42578125" style="3" customWidth="1"/>
    <col min="15813" max="15813" width="16" style="3" customWidth="1"/>
    <col min="15814" max="15814" width="2.85546875" style="3" customWidth="1"/>
    <col min="15815" max="15815" width="0.85546875" style="3" customWidth="1"/>
    <col min="15816" max="15816" width="11" style="3"/>
    <col min="15817" max="15817" width="15.42578125" style="3" customWidth="1"/>
    <col min="15818" max="15820" width="14.85546875" style="3" customWidth="1"/>
    <col min="15821" max="15821" width="0.7109375" style="3" customWidth="1"/>
    <col min="15822" max="15822" width="11" style="3"/>
    <col min="15823" max="15823" width="15.7109375" style="3" customWidth="1"/>
    <col min="15824" max="15825" width="14.85546875" style="3" customWidth="1"/>
    <col min="15826" max="15826" width="3.28515625" style="3" customWidth="1"/>
    <col min="15827" max="15827" width="20.140625" style="3" customWidth="1"/>
    <col min="15828" max="15828" width="3.28515625" style="3" customWidth="1"/>
    <col min="15829" max="15833" width="11" style="3"/>
    <col min="15834" max="15846" width="4.7109375" style="3" customWidth="1"/>
    <col min="15847" max="16056" width="11" style="3"/>
    <col min="16057" max="16057" width="0.7109375" style="3" customWidth="1"/>
    <col min="16058" max="16058" width="6.5703125" style="3" customWidth="1"/>
    <col min="16059" max="16059" width="13.5703125" style="3" customWidth="1"/>
    <col min="16060" max="16060" width="13.42578125" style="3" customWidth="1"/>
    <col min="16061" max="16062" width="12.5703125" style="3" customWidth="1"/>
    <col min="16063" max="16063" width="14.85546875" style="3" customWidth="1"/>
    <col min="16064" max="16064" width="20.7109375" style="3" customWidth="1"/>
    <col min="16065" max="16065" width="12.5703125" style="3" customWidth="1"/>
    <col min="16066" max="16066" width="13" style="3" customWidth="1"/>
    <col min="16067" max="16067" width="16" style="3" customWidth="1"/>
    <col min="16068" max="16068" width="6.42578125" style="3" customWidth="1"/>
    <col min="16069" max="16069" width="16" style="3" customWidth="1"/>
    <col min="16070" max="16070" width="2.85546875" style="3" customWidth="1"/>
    <col min="16071" max="16071" width="0.85546875" style="3" customWidth="1"/>
    <col min="16072" max="16072" width="11" style="3"/>
    <col min="16073" max="16073" width="15.42578125" style="3" customWidth="1"/>
    <col min="16074" max="16076" width="14.85546875" style="3" customWidth="1"/>
    <col min="16077" max="16077" width="0.7109375" style="3" customWidth="1"/>
    <col min="16078" max="16078" width="11" style="3"/>
    <col min="16079" max="16079" width="15.7109375" style="3" customWidth="1"/>
    <col min="16080" max="16081" width="14.85546875" style="3" customWidth="1"/>
    <col min="16082" max="16082" width="3.28515625" style="3" customWidth="1"/>
    <col min="16083" max="16083" width="20.140625" style="3" customWidth="1"/>
    <col min="16084" max="16084" width="3.28515625" style="3" customWidth="1"/>
    <col min="16085" max="16089" width="11" style="3"/>
    <col min="16090" max="16102" width="4.7109375" style="3" customWidth="1"/>
    <col min="16103" max="16384" width="11" style="3"/>
  </cols>
  <sheetData>
    <row r="1" spans="1:28" s="1" customFormat="1" ht="19.5" customHeight="1">
      <c r="A1" s="236"/>
      <c r="B1" s="237"/>
      <c r="C1" s="179" t="s">
        <v>0</v>
      </c>
      <c r="D1" s="179"/>
      <c r="E1" s="179"/>
      <c r="F1" s="179"/>
      <c r="G1" s="179"/>
      <c r="H1" s="179"/>
      <c r="I1" s="179"/>
      <c r="J1" s="179"/>
      <c r="K1" s="180" t="s">
        <v>1</v>
      </c>
      <c r="L1" s="181"/>
      <c r="O1" s="80"/>
      <c r="P1" s="80"/>
      <c r="Q1" s="80"/>
      <c r="R1" s="80"/>
      <c r="S1" s="80"/>
      <c r="T1" s="80"/>
      <c r="U1" s="80"/>
      <c r="V1" s="80"/>
      <c r="W1" s="80"/>
      <c r="X1" s="80"/>
      <c r="Y1" s="80"/>
      <c r="Z1" s="80"/>
      <c r="AA1" s="80"/>
    </row>
    <row r="2" spans="1:28" s="1" customFormat="1" ht="19.5" customHeight="1">
      <c r="A2" s="238"/>
      <c r="B2" s="186"/>
      <c r="C2" s="241" t="s">
        <v>2</v>
      </c>
      <c r="D2" s="241"/>
      <c r="E2" s="241"/>
      <c r="F2" s="241"/>
      <c r="G2" s="241"/>
      <c r="H2" s="241"/>
      <c r="I2" s="241"/>
      <c r="J2" s="241"/>
      <c r="K2" s="182" t="s">
        <v>89</v>
      </c>
      <c r="L2" s="183"/>
      <c r="O2" s="80"/>
      <c r="P2" s="80"/>
      <c r="Q2" s="80"/>
      <c r="R2" s="80"/>
      <c r="S2" s="80"/>
      <c r="T2" s="80"/>
      <c r="U2" s="80"/>
      <c r="V2" s="80"/>
      <c r="W2" s="80"/>
      <c r="X2" s="80"/>
      <c r="Y2" s="80"/>
      <c r="Z2" s="80"/>
      <c r="AA2" s="80"/>
    </row>
    <row r="3" spans="1:28" s="1" customFormat="1" ht="19.5" customHeight="1">
      <c r="A3" s="238"/>
      <c r="B3" s="186"/>
      <c r="C3" s="241"/>
      <c r="D3" s="241"/>
      <c r="E3" s="241"/>
      <c r="F3" s="241"/>
      <c r="G3" s="241"/>
      <c r="H3" s="241"/>
      <c r="I3" s="241"/>
      <c r="J3" s="241"/>
      <c r="K3" s="182" t="s">
        <v>3</v>
      </c>
      <c r="L3" s="183"/>
      <c r="Q3" s="132"/>
      <c r="R3" s="80"/>
      <c r="T3" s="132" t="s">
        <v>4</v>
      </c>
      <c r="U3" s="132"/>
      <c r="V3" s="80"/>
      <c r="W3" s="80"/>
      <c r="X3" s="80"/>
      <c r="Y3" s="80"/>
      <c r="Z3" s="80"/>
      <c r="AA3" s="80"/>
    </row>
    <row r="4" spans="1:28" s="1" customFormat="1" ht="19.5" customHeight="1" thickBot="1">
      <c r="A4" s="239"/>
      <c r="B4" s="240"/>
      <c r="C4" s="242"/>
      <c r="D4" s="242"/>
      <c r="E4" s="242"/>
      <c r="F4" s="242"/>
      <c r="G4" s="242"/>
      <c r="H4" s="242"/>
      <c r="I4" s="242"/>
      <c r="J4" s="242"/>
      <c r="K4" s="184" t="s">
        <v>88</v>
      </c>
      <c r="L4" s="185"/>
      <c r="Q4" s="132"/>
      <c r="R4" s="80"/>
      <c r="S4" s="132"/>
      <c r="T4" s="132"/>
      <c r="U4" s="132"/>
      <c r="V4" s="80"/>
      <c r="W4" s="80"/>
      <c r="X4" s="80"/>
      <c r="Y4" s="80"/>
      <c r="Z4" s="80"/>
      <c r="AA4" s="80"/>
    </row>
    <row r="5" spans="1:28" s="1" customFormat="1" ht="3.95" customHeight="1" thickBot="1">
      <c r="A5" s="5"/>
      <c r="B5" s="186"/>
      <c r="C5" s="186"/>
      <c r="D5" s="186"/>
      <c r="E5" s="186"/>
      <c r="F5" s="186"/>
      <c r="G5" s="186"/>
      <c r="H5" s="186"/>
      <c r="I5" s="186"/>
      <c r="J5" s="186"/>
      <c r="K5" s="186"/>
      <c r="L5" s="81"/>
      <c r="Q5" s="132"/>
      <c r="R5" s="132"/>
      <c r="T5" s="132"/>
      <c r="U5" s="132"/>
      <c r="V5" s="80"/>
      <c r="W5" s="80"/>
      <c r="X5" s="80"/>
      <c r="Y5" s="80"/>
      <c r="Z5" s="80"/>
      <c r="AA5" s="80"/>
      <c r="AB5" s="80"/>
    </row>
    <row r="6" spans="1:28" s="1" customFormat="1" ht="22.5" customHeight="1">
      <c r="A6" s="6"/>
      <c r="B6" s="7" t="s">
        <v>5</v>
      </c>
      <c r="C6" s="273" t="s">
        <v>91</v>
      </c>
      <c r="D6" s="273"/>
      <c r="E6" s="273"/>
      <c r="F6" s="273"/>
      <c r="G6" s="273"/>
      <c r="H6" s="188" t="s">
        <v>6</v>
      </c>
      <c r="I6" s="188"/>
      <c r="J6" s="189">
        <v>45884</v>
      </c>
      <c r="K6" s="189"/>
      <c r="L6" s="190"/>
      <c r="Q6" s="80"/>
      <c r="R6" s="80"/>
      <c r="T6" s="133" t="s">
        <v>7</v>
      </c>
      <c r="U6" s="80"/>
      <c r="V6" s="80"/>
      <c r="W6" s="80"/>
      <c r="X6" s="80"/>
      <c r="Y6" s="80"/>
      <c r="Z6" s="80"/>
      <c r="AA6" s="80"/>
      <c r="AB6" s="80"/>
    </row>
    <row r="7" spans="1:28" s="1" customFormat="1" ht="24.75" customHeight="1">
      <c r="A7" s="5"/>
      <c r="B7" s="9" t="s">
        <v>8</v>
      </c>
      <c r="C7" s="274" t="s">
        <v>92</v>
      </c>
      <c r="D7" s="274"/>
      <c r="E7" s="274"/>
      <c r="F7" s="274"/>
      <c r="G7" s="274"/>
      <c r="H7" s="192" t="s">
        <v>9</v>
      </c>
      <c r="I7" s="192"/>
      <c r="J7" s="193">
        <v>45924</v>
      </c>
      <c r="K7" s="193"/>
      <c r="L7" s="194"/>
      <c r="Q7" s="80"/>
      <c r="R7" s="80"/>
      <c r="T7" s="133" t="s">
        <v>10</v>
      </c>
      <c r="U7" s="80"/>
      <c r="V7" s="80"/>
      <c r="W7" s="80"/>
      <c r="X7" s="80"/>
      <c r="Y7" s="80"/>
      <c r="Z7" s="80"/>
      <c r="AA7" s="80"/>
      <c r="AB7" s="80"/>
    </row>
    <row r="8" spans="1:28" s="1" customFormat="1" ht="22.5" customHeight="1">
      <c r="A8" s="5"/>
      <c r="B8" s="9" t="s">
        <v>11</v>
      </c>
      <c r="C8" s="271" t="s">
        <v>12</v>
      </c>
      <c r="D8" s="272"/>
      <c r="E8" s="272"/>
      <c r="F8" s="272"/>
      <c r="G8" s="272"/>
      <c r="H8" s="192" t="s">
        <v>13</v>
      </c>
      <c r="I8" s="192"/>
      <c r="J8" s="193">
        <v>45932</v>
      </c>
      <c r="K8" s="193"/>
      <c r="L8" s="194"/>
      <c r="Q8" s="80"/>
      <c r="R8" s="80"/>
      <c r="S8" s="1">
        <f>17-2.57</f>
        <v>14.43</v>
      </c>
      <c r="T8" s="133" t="s">
        <v>14</v>
      </c>
      <c r="U8" s="80"/>
      <c r="V8" s="80"/>
      <c r="W8" s="80"/>
      <c r="X8" s="80"/>
      <c r="Y8" s="80"/>
      <c r="Z8" s="80"/>
      <c r="AA8" s="80"/>
      <c r="AB8" s="80"/>
    </row>
    <row r="9" spans="1:28" s="1" customFormat="1" ht="22.5" customHeight="1">
      <c r="A9" s="5"/>
      <c r="B9" s="9" t="s">
        <v>15</v>
      </c>
      <c r="C9" s="202" t="s">
        <v>93</v>
      </c>
      <c r="D9" s="202"/>
      <c r="E9" s="202"/>
      <c r="F9" s="202"/>
      <c r="G9" s="202"/>
      <c r="H9" s="192" t="s">
        <v>16</v>
      </c>
      <c r="I9" s="192"/>
      <c r="J9" s="82" t="s">
        <v>17</v>
      </c>
      <c r="K9" s="83" t="s">
        <v>90</v>
      </c>
      <c r="L9" s="84" t="s">
        <v>85</v>
      </c>
      <c r="Q9" s="80"/>
      <c r="R9" s="80"/>
      <c r="T9" s="133" t="s">
        <v>18</v>
      </c>
      <c r="U9" s="80"/>
      <c r="V9" s="80"/>
      <c r="W9" s="80"/>
      <c r="X9" s="80"/>
      <c r="Y9" s="80"/>
      <c r="Z9" s="80"/>
      <c r="AA9" s="80"/>
      <c r="AB9" s="80"/>
    </row>
    <row r="10" spans="1:28" s="1" customFormat="1" ht="22.5" customHeight="1">
      <c r="A10" s="5"/>
      <c r="B10" s="10" t="s">
        <v>19</v>
      </c>
      <c r="C10" s="202" t="s">
        <v>20</v>
      </c>
      <c r="D10" s="202"/>
      <c r="E10" s="202"/>
      <c r="F10" s="202"/>
      <c r="G10" s="202"/>
      <c r="H10" s="196" t="s">
        <v>21</v>
      </c>
      <c r="I10" s="196"/>
      <c r="J10" s="197" t="str">
        <f>CONCATENATE(K9,," ",L9,"-",D12,"-",F12)</f>
        <v>056 25-:P-CIAT AP2-2</v>
      </c>
      <c r="K10" s="197"/>
      <c r="L10" s="198"/>
      <c r="Q10" s="80"/>
      <c r="R10" s="80"/>
      <c r="T10" s="133" t="s">
        <v>22</v>
      </c>
      <c r="U10" s="80"/>
      <c r="V10" s="80"/>
      <c r="W10" s="80"/>
      <c r="X10" s="80"/>
      <c r="Y10" s="80"/>
      <c r="Z10" s="80"/>
      <c r="AA10" s="80"/>
      <c r="AB10" s="80"/>
    </row>
    <row r="11" spans="1:28" s="1" customFormat="1" ht="3.95" customHeight="1" thickBot="1">
      <c r="A11" s="11"/>
      <c r="B11" s="199"/>
      <c r="C11" s="199"/>
      <c r="D11" s="199"/>
      <c r="E11" s="199"/>
      <c r="F11" s="199"/>
      <c r="G11" s="199"/>
      <c r="H11" s="199"/>
      <c r="I11" s="199"/>
      <c r="J11" s="199"/>
      <c r="K11" s="199"/>
      <c r="L11" s="85"/>
      <c r="Q11" s="80"/>
      <c r="R11" s="80"/>
      <c r="T11" s="133"/>
      <c r="U11" s="80"/>
      <c r="V11" s="80"/>
      <c r="W11" s="80"/>
      <c r="X11" s="80"/>
      <c r="Y11" s="80"/>
      <c r="Z11" s="80"/>
      <c r="AA11" s="80"/>
      <c r="AB11" s="80"/>
    </row>
    <row r="12" spans="1:28" s="1" customFormat="1" ht="22.5" customHeight="1">
      <c r="A12" s="6"/>
      <c r="B12" s="7" t="s">
        <v>23</v>
      </c>
      <c r="C12" s="12" t="s">
        <v>10</v>
      </c>
      <c r="D12" s="13" t="s">
        <v>108</v>
      </c>
      <c r="E12" s="14" t="s">
        <v>24</v>
      </c>
      <c r="F12" s="200">
        <v>2</v>
      </c>
      <c r="G12" s="200"/>
      <c r="H12" s="201" t="s">
        <v>25</v>
      </c>
      <c r="I12" s="201"/>
      <c r="J12" s="86">
        <v>1.3</v>
      </c>
      <c r="K12" s="87" t="s">
        <v>26</v>
      </c>
      <c r="L12" s="88">
        <v>1.5</v>
      </c>
      <c r="Q12" s="80"/>
      <c r="R12" s="80"/>
      <c r="T12" s="133"/>
      <c r="U12" s="80"/>
      <c r="V12" s="80"/>
      <c r="W12" s="80"/>
      <c r="X12" s="80"/>
      <c r="Y12" s="80"/>
      <c r="Z12" s="80"/>
      <c r="AA12" s="80"/>
      <c r="AB12" s="80"/>
    </row>
    <row r="13" spans="1:28" s="1" customFormat="1" ht="22.5" customHeight="1">
      <c r="A13" s="5"/>
      <c r="B13" s="9" t="s">
        <v>27</v>
      </c>
      <c r="C13" s="202" t="s">
        <v>109</v>
      </c>
      <c r="D13" s="202"/>
      <c r="E13" s="202"/>
      <c r="F13" s="202"/>
      <c r="G13" s="202"/>
      <c r="H13" s="202"/>
      <c r="I13" s="202"/>
      <c r="J13" s="202"/>
      <c r="K13" s="202"/>
      <c r="L13" s="203"/>
      <c r="O13" s="1">
        <f>-MOD1</f>
        <v>0</v>
      </c>
      <c r="Q13" s="80"/>
      <c r="R13" s="80"/>
      <c r="T13" s="133"/>
      <c r="U13" s="80"/>
      <c r="V13" s="80"/>
      <c r="W13" s="80"/>
      <c r="X13" s="80"/>
      <c r="Y13" s="80"/>
      <c r="Z13" s="80"/>
      <c r="AA13" s="80"/>
      <c r="AB13" s="80"/>
    </row>
    <row r="14" spans="1:28" s="1" customFormat="1" ht="6.95" customHeight="1" thickBot="1">
      <c r="A14" s="11"/>
      <c r="B14" s="15"/>
      <c r="C14" s="16"/>
      <c r="D14" s="16"/>
      <c r="E14" s="16"/>
      <c r="F14" s="16"/>
      <c r="G14" s="16"/>
      <c r="H14" s="16"/>
      <c r="I14" s="16"/>
      <c r="J14" s="16"/>
      <c r="K14" s="16"/>
      <c r="L14" s="89"/>
      <c r="P14" s="80"/>
      <c r="Q14" s="80"/>
      <c r="R14" s="80"/>
      <c r="S14" s="80"/>
      <c r="T14" s="80"/>
      <c r="U14" s="80"/>
      <c r="V14" s="80"/>
      <c r="W14" s="80"/>
      <c r="X14" s="80"/>
      <c r="Y14" s="80"/>
      <c r="Z14" s="80"/>
      <c r="AA14" s="80"/>
      <c r="AB14" s="80"/>
    </row>
    <row r="15" spans="1:28" ht="14.25" customHeight="1" thickBot="1">
      <c r="A15" s="17"/>
      <c r="B15" s="18"/>
      <c r="C15" s="18"/>
      <c r="D15" s="18"/>
      <c r="E15" s="18"/>
      <c r="F15" s="18"/>
      <c r="G15" s="18"/>
      <c r="H15" s="18"/>
      <c r="I15" s="18"/>
      <c r="J15" s="18"/>
      <c r="K15" s="18"/>
      <c r="L15" s="90"/>
    </row>
    <row r="16" spans="1:28" ht="22.5" customHeight="1" thickBot="1">
      <c r="A16" s="204"/>
      <c r="B16" s="205"/>
      <c r="C16" s="205"/>
      <c r="D16" s="205"/>
      <c r="E16" s="205"/>
      <c r="F16" s="205"/>
      <c r="G16" s="205"/>
      <c r="H16" s="205"/>
      <c r="I16" s="205"/>
      <c r="J16" s="205"/>
      <c r="K16" s="205"/>
      <c r="L16" s="206"/>
    </row>
    <row r="17" spans="1:19" ht="22.5" customHeight="1" thickBot="1">
      <c r="A17" s="17"/>
      <c r="B17" s="18"/>
      <c r="C17" s="18"/>
      <c r="D17" s="18"/>
      <c r="E17" s="18"/>
      <c r="F17" s="18"/>
      <c r="G17" s="19"/>
      <c r="H17" s="19"/>
      <c r="I17" s="19"/>
      <c r="J17" s="19"/>
      <c r="K17" s="19"/>
      <c r="L17" s="91"/>
    </row>
    <row r="18" spans="1:19" s="2" customFormat="1" ht="22.5" customHeight="1" thickBot="1">
      <c r="A18" s="207" t="s">
        <v>28</v>
      </c>
      <c r="B18" s="208"/>
      <c r="C18" s="208"/>
      <c r="D18" s="208"/>
      <c r="E18" s="209"/>
      <c r="F18" s="20"/>
      <c r="G18" s="207" t="s">
        <v>28</v>
      </c>
      <c r="H18" s="208"/>
      <c r="I18" s="208"/>
      <c r="J18" s="208"/>
      <c r="K18" s="208"/>
      <c r="L18" s="209"/>
      <c r="O18" s="92"/>
    </row>
    <row r="19" spans="1:19" s="2" customFormat="1" ht="27.75" customHeight="1" thickBot="1">
      <c r="A19" s="210"/>
      <c r="B19" s="211"/>
      <c r="C19" s="211"/>
      <c r="D19" s="22" t="s">
        <v>29</v>
      </c>
      <c r="E19" s="23" t="s">
        <v>30</v>
      </c>
      <c r="F19" s="24"/>
      <c r="G19" s="243" t="s">
        <v>31</v>
      </c>
      <c r="H19" s="244"/>
      <c r="I19" s="212" t="s">
        <v>32</v>
      </c>
      <c r="J19" s="213"/>
      <c r="K19" s="214" t="s">
        <v>33</v>
      </c>
      <c r="L19" s="215"/>
    </row>
    <row r="20" spans="1:19" s="2" customFormat="1" ht="22.5" customHeight="1">
      <c r="A20" s="216" t="s">
        <v>34</v>
      </c>
      <c r="B20" s="217"/>
      <c r="C20" s="25"/>
      <c r="D20" s="26">
        <v>704</v>
      </c>
      <c r="E20" s="27">
        <v>704</v>
      </c>
      <c r="F20" s="28"/>
      <c r="G20" s="245"/>
      <c r="H20" s="246"/>
      <c r="I20" s="93" t="s">
        <v>35</v>
      </c>
      <c r="J20" s="168" t="s">
        <v>36</v>
      </c>
      <c r="K20" s="95" t="s">
        <v>37</v>
      </c>
      <c r="L20" s="150" t="s">
        <v>36</v>
      </c>
      <c r="N20" s="92"/>
    </row>
    <row r="21" spans="1:19" s="2" customFormat="1" ht="22.5" customHeight="1">
      <c r="A21" s="216" t="s">
        <v>38</v>
      </c>
      <c r="B21" s="217"/>
      <c r="C21" s="25" t="s">
        <v>39</v>
      </c>
      <c r="D21" s="160">
        <v>15.4</v>
      </c>
      <c r="E21" s="161">
        <f>D21</f>
        <v>15.4</v>
      </c>
      <c r="F21" s="31"/>
      <c r="G21" s="96" t="s">
        <v>40</v>
      </c>
      <c r="H21" s="32" t="s">
        <v>41</v>
      </c>
      <c r="I21" s="96" t="s">
        <v>42</v>
      </c>
      <c r="J21" s="151" t="s">
        <v>43</v>
      </c>
      <c r="K21" s="96" t="s">
        <v>42</v>
      </c>
      <c r="L21" s="151" t="s">
        <v>43</v>
      </c>
      <c r="N21" s="97"/>
    </row>
    <row r="22" spans="1:19" s="2" customFormat="1" ht="22.5" customHeight="1">
      <c r="A22" s="216" t="s">
        <v>44</v>
      </c>
      <c r="B22" s="217"/>
      <c r="C22" s="25" t="s">
        <v>39</v>
      </c>
      <c r="D22" s="160">
        <v>13.4</v>
      </c>
      <c r="E22" s="161">
        <f>D22+E39</f>
        <v>13.4</v>
      </c>
      <c r="F22" s="31"/>
      <c r="G22" s="145">
        <v>0</v>
      </c>
      <c r="H22" s="33">
        <v>0</v>
      </c>
      <c r="I22" s="144">
        <v>0</v>
      </c>
      <c r="J22" s="152">
        <v>0</v>
      </c>
      <c r="K22" s="144">
        <v>0</v>
      </c>
      <c r="L22" s="152">
        <v>0</v>
      </c>
      <c r="N22" s="97"/>
      <c r="O22" s="2">
        <v>2.1999999999999999E-2</v>
      </c>
      <c r="S22" s="2">
        <v>2.1000000000000001E-2</v>
      </c>
    </row>
    <row r="23" spans="1:19" s="2" customFormat="1" ht="22.5" customHeight="1">
      <c r="A23" s="216" t="s">
        <v>45</v>
      </c>
      <c r="B23" s="217"/>
      <c r="C23" s="34" t="s">
        <v>46</v>
      </c>
      <c r="D23" s="35">
        <v>9526</v>
      </c>
      <c r="E23" s="36">
        <v>9914</v>
      </c>
      <c r="F23" s="31"/>
      <c r="G23" s="145">
        <v>5.0000000000000001E-3</v>
      </c>
      <c r="H23" s="33">
        <v>0.127</v>
      </c>
      <c r="I23" s="144">
        <v>0.21199999999999999</v>
      </c>
      <c r="J23" s="153">
        <f t="shared" ref="J23:J34" si="0">((I23/19.32)*10)</f>
        <v>0.10973084886128365</v>
      </c>
      <c r="K23" s="98">
        <v>2.1999999999999999E-2</v>
      </c>
      <c r="L23" s="153">
        <f t="shared" ref="L23:L34" si="1">((K23/19.32)*10)</f>
        <v>1.1387163561076604E-2</v>
      </c>
      <c r="N23" s="97"/>
      <c r="O23" s="2">
        <v>4.8000000000000001E-2</v>
      </c>
      <c r="S23" s="2">
        <v>7.5999999999999998E-2</v>
      </c>
    </row>
    <row r="24" spans="1:19" s="2" customFormat="1" ht="22.5" customHeight="1">
      <c r="A24" s="216" t="s">
        <v>47</v>
      </c>
      <c r="B24" s="217"/>
      <c r="C24" s="34" t="s">
        <v>46</v>
      </c>
      <c r="D24" s="162">
        <v>5636</v>
      </c>
      <c r="E24" s="37">
        <f>D24</f>
        <v>5636</v>
      </c>
      <c r="F24" s="38"/>
      <c r="G24" s="145">
        <v>2.5000000000000001E-2</v>
      </c>
      <c r="H24" s="33">
        <v>0.63500000000000001</v>
      </c>
      <c r="I24" s="144">
        <v>0.38300000000000001</v>
      </c>
      <c r="J24" s="153">
        <f t="shared" si="0"/>
        <v>0.19824016563146998</v>
      </c>
      <c r="K24" s="98">
        <v>4.8000000000000001E-2</v>
      </c>
      <c r="L24" s="153">
        <f t="shared" si="1"/>
        <v>2.4844720496894412E-2</v>
      </c>
      <c r="N24" s="97"/>
      <c r="O24" s="2">
        <v>6.7000000000000004E-2</v>
      </c>
      <c r="S24" s="2">
        <v>0.16</v>
      </c>
    </row>
    <row r="25" spans="1:19" s="2" customFormat="1" ht="22.5" customHeight="1">
      <c r="A25" s="216" t="s">
        <v>48</v>
      </c>
      <c r="B25" s="217"/>
      <c r="C25" s="34" t="s">
        <v>46</v>
      </c>
      <c r="D25" s="177">
        <f>+D23-D24</f>
        <v>3890</v>
      </c>
      <c r="E25" s="40">
        <f>E23-E24</f>
        <v>4278</v>
      </c>
      <c r="F25" s="41"/>
      <c r="G25" s="145">
        <v>0.05</v>
      </c>
      <c r="H25" s="33">
        <v>1.27</v>
      </c>
      <c r="I25" s="144">
        <v>0.53300000000000003</v>
      </c>
      <c r="J25" s="153">
        <f t="shared" si="0"/>
        <v>0.27587991718426502</v>
      </c>
      <c r="K25" s="98">
        <v>6.7000000000000004E-2</v>
      </c>
      <c r="L25" s="153">
        <f t="shared" si="1"/>
        <v>3.4679089026915112E-2</v>
      </c>
      <c r="N25" s="97"/>
      <c r="O25" s="2">
        <v>8.2000000000000003E-2</v>
      </c>
      <c r="S25" s="2">
        <v>0.27200000000000002</v>
      </c>
    </row>
    <row r="26" spans="1:19" s="2" customFormat="1" ht="22.5" customHeight="1">
      <c r="A26" s="216" t="s">
        <v>49</v>
      </c>
      <c r="B26" s="217"/>
      <c r="C26" s="176" t="s">
        <v>50</v>
      </c>
      <c r="D26" s="39">
        <f>((PI()*(D21*D21))/4)*D22</f>
        <v>2495.951380979941</v>
      </c>
      <c r="E26" s="174">
        <f>((PI()*(E21*E21))/4)*E22</f>
        <v>2495.951380979941</v>
      </c>
      <c r="F26" s="41"/>
      <c r="G26" s="145">
        <v>7.4999999999999997E-2</v>
      </c>
      <c r="H26" s="33">
        <v>1.905</v>
      </c>
      <c r="I26" s="144">
        <v>0.65500000000000003</v>
      </c>
      <c r="J26" s="153">
        <f t="shared" si="0"/>
        <v>0.33902691511387167</v>
      </c>
      <c r="K26" s="98">
        <v>8.2000000000000003E-2</v>
      </c>
      <c r="L26" s="153">
        <f t="shared" si="1"/>
        <v>4.2443064182194616E-2</v>
      </c>
      <c r="N26" s="97"/>
      <c r="O26" s="2">
        <v>9.0999999999999998E-2</v>
      </c>
      <c r="S26" s="2">
        <v>0.40500000000000003</v>
      </c>
    </row>
    <row r="27" spans="1:19" s="2" customFormat="1" ht="22.5" customHeight="1">
      <c r="A27" s="216" t="s">
        <v>51</v>
      </c>
      <c r="B27" s="217"/>
      <c r="C27" s="176" t="s">
        <v>52</v>
      </c>
      <c r="D27" s="42">
        <f>D25/D26</f>
        <v>1.5585239478794408</v>
      </c>
      <c r="E27" s="175">
        <f>E25/E26</f>
        <v>1.7139756938375958</v>
      </c>
      <c r="F27" s="44"/>
      <c r="G27" s="146">
        <v>0.1</v>
      </c>
      <c r="H27" s="45">
        <v>2.54</v>
      </c>
      <c r="I27" s="154">
        <v>0.71499999999999997</v>
      </c>
      <c r="J27" s="155">
        <f t="shared" si="0"/>
        <v>0.37008281573498958</v>
      </c>
      <c r="K27" s="158">
        <v>9.0999999999999998E-2</v>
      </c>
      <c r="L27" s="155">
        <f t="shared" si="1"/>
        <v>4.7101449275362313E-2</v>
      </c>
      <c r="N27" s="97"/>
      <c r="O27" s="2">
        <v>0.10199999999999999</v>
      </c>
      <c r="S27" s="2">
        <v>0.58099999999999996</v>
      </c>
    </row>
    <row r="28" spans="1:19" s="2" customFormat="1" ht="22.5" customHeight="1" thickBot="1">
      <c r="A28" s="218" t="s">
        <v>53</v>
      </c>
      <c r="B28" s="219"/>
      <c r="C28" s="46" t="s">
        <v>52</v>
      </c>
      <c r="D28" s="178">
        <f>D27/(1+D34/100)</f>
        <v>1.2630074925890622</v>
      </c>
      <c r="E28" s="48">
        <f>E27/(1+E34/100)</f>
        <v>1.2749684400671473</v>
      </c>
      <c r="F28" s="49"/>
      <c r="G28" s="145">
        <v>0.125</v>
      </c>
      <c r="H28" s="33">
        <v>3.1749999999999998</v>
      </c>
      <c r="I28" s="144">
        <v>0.75</v>
      </c>
      <c r="J28" s="153">
        <f t="shared" si="0"/>
        <v>0.38819875776397511</v>
      </c>
      <c r="K28" s="98">
        <v>0.10199999999999999</v>
      </c>
      <c r="L28" s="153">
        <f t="shared" si="1"/>
        <v>5.2795031055900617E-2</v>
      </c>
      <c r="N28" s="97"/>
      <c r="O28" s="2">
        <v>0.112</v>
      </c>
      <c r="S28" s="2">
        <v>0.78</v>
      </c>
    </row>
    <row r="29" spans="1:19" s="2" customFormat="1" ht="22.5" customHeight="1" thickBot="1">
      <c r="A29" s="207" t="s">
        <v>54</v>
      </c>
      <c r="B29" s="208" t="s">
        <v>54</v>
      </c>
      <c r="C29" s="208"/>
      <c r="D29" s="208"/>
      <c r="E29" s="209"/>
      <c r="F29" s="49"/>
      <c r="G29" s="147">
        <v>0.15</v>
      </c>
      <c r="H29" s="33">
        <v>3.81</v>
      </c>
      <c r="I29" s="144">
        <v>0.77100000000000002</v>
      </c>
      <c r="J29" s="153">
        <f t="shared" si="0"/>
        <v>0.39906832298136641</v>
      </c>
      <c r="K29" s="98">
        <v>0.112</v>
      </c>
      <c r="L29" s="153">
        <f>((K29/19.32)*10)</f>
        <v>5.7971014492753624E-2</v>
      </c>
      <c r="N29" s="97"/>
      <c r="O29" s="2">
        <v>0.121</v>
      </c>
      <c r="S29" s="2">
        <v>0.98499999999999999</v>
      </c>
    </row>
    <row r="30" spans="1:19" s="2" customFormat="1" ht="22.5" customHeight="1">
      <c r="A30" s="258" t="s">
        <v>55</v>
      </c>
      <c r="B30" s="259"/>
      <c r="C30" s="50"/>
      <c r="D30" s="51">
        <v>630</v>
      </c>
      <c r="E30" s="52">
        <v>6</v>
      </c>
      <c r="F30" s="44"/>
      <c r="G30" s="145">
        <v>0.17499999999999999</v>
      </c>
      <c r="H30" s="33">
        <v>4.4450000000000003</v>
      </c>
      <c r="I30" s="144">
        <v>0.78300000000000003</v>
      </c>
      <c r="J30" s="153">
        <f t="shared" si="0"/>
        <v>0.40527950310559008</v>
      </c>
      <c r="K30" s="98">
        <v>0.121</v>
      </c>
      <c r="L30" s="153">
        <f t="shared" si="1"/>
        <v>6.2629399585921328E-2</v>
      </c>
      <c r="N30" s="97"/>
      <c r="O30" s="2">
        <v>0.13100000000000001</v>
      </c>
      <c r="S30" s="2">
        <v>1.1599999999999999</v>
      </c>
    </row>
    <row r="31" spans="1:19" s="2" customFormat="1" ht="22.5" customHeight="1">
      <c r="A31" s="216" t="s">
        <v>56</v>
      </c>
      <c r="B31" s="217"/>
      <c r="C31" s="25" t="s">
        <v>46</v>
      </c>
      <c r="D31" s="53">
        <v>184.48</v>
      </c>
      <c r="E31" s="54">
        <v>455.3</v>
      </c>
      <c r="F31" s="41"/>
      <c r="G31" s="146">
        <v>0.2</v>
      </c>
      <c r="H31" s="45">
        <v>5.08</v>
      </c>
      <c r="I31" s="154">
        <v>0.80200000000000005</v>
      </c>
      <c r="J31" s="155">
        <f t="shared" si="0"/>
        <v>0.41511387163561075</v>
      </c>
      <c r="K31" s="158">
        <v>0.13100000000000001</v>
      </c>
      <c r="L31" s="155">
        <f t="shared" si="1"/>
        <v>6.7805383022774335E-2</v>
      </c>
      <c r="N31" s="97"/>
      <c r="O31" s="2">
        <v>0.152</v>
      </c>
      <c r="S31" s="2">
        <v>1.2969999999999999</v>
      </c>
    </row>
    <row r="32" spans="1:19" s="2" customFormat="1" ht="22.5" customHeight="1">
      <c r="A32" s="216" t="s">
        <v>57</v>
      </c>
      <c r="B32" s="217"/>
      <c r="C32" s="25" t="s">
        <v>46</v>
      </c>
      <c r="D32" s="53">
        <v>156.55000000000001</v>
      </c>
      <c r="E32" s="54">
        <v>353.83</v>
      </c>
      <c r="F32" s="49"/>
      <c r="G32" s="145">
        <v>0.3</v>
      </c>
      <c r="H32" s="33">
        <v>7.62</v>
      </c>
      <c r="I32" s="144">
        <v>0.86399999999999999</v>
      </c>
      <c r="J32" s="153">
        <f t="shared" si="0"/>
        <v>0.44720496894409933</v>
      </c>
      <c r="K32" s="98">
        <v>0.152</v>
      </c>
      <c r="L32" s="153">
        <f t="shared" si="1"/>
        <v>7.8674948240165632E-2</v>
      </c>
      <c r="N32" s="97"/>
      <c r="O32" s="2">
        <v>0.159</v>
      </c>
      <c r="S32" s="2">
        <v>1.2529999999999999</v>
      </c>
    </row>
    <row r="33" spans="1:19" s="2" customFormat="1" ht="22.5" customHeight="1">
      <c r="A33" s="216" t="s">
        <v>58</v>
      </c>
      <c r="B33" s="217"/>
      <c r="C33" s="25" t="s">
        <v>46</v>
      </c>
      <c r="D33" s="53">
        <v>37.18</v>
      </c>
      <c r="E33" s="54">
        <v>59.14</v>
      </c>
      <c r="F33" s="49"/>
      <c r="G33" s="145">
        <v>0.4</v>
      </c>
      <c r="H33" s="33">
        <v>10.16</v>
      </c>
      <c r="I33" s="144">
        <v>0.95199999999999996</v>
      </c>
      <c r="J33" s="153">
        <f t="shared" si="0"/>
        <v>0.49275362318840576</v>
      </c>
      <c r="K33" s="98">
        <v>0.159</v>
      </c>
      <c r="L33" s="153">
        <f t="shared" si="1"/>
        <v>8.2298136645962722E-2</v>
      </c>
      <c r="N33" s="97"/>
      <c r="O33" s="2">
        <v>0.16400000000000001</v>
      </c>
      <c r="S33" s="2">
        <v>1.2529999999999999</v>
      </c>
    </row>
    <row r="34" spans="1:19" s="2" customFormat="1" ht="22.5" customHeight="1" thickBot="1">
      <c r="A34" s="218" t="s">
        <v>59</v>
      </c>
      <c r="B34" s="219"/>
      <c r="C34" s="46" t="s">
        <v>60</v>
      </c>
      <c r="D34" s="47">
        <f>((D31-D32)/(D32-D33))*100</f>
        <v>23.397838652927852</v>
      </c>
      <c r="E34" s="48">
        <f>((E31-E32)/(E32-E33))*100</f>
        <v>34.432793783297711</v>
      </c>
      <c r="F34" s="49"/>
      <c r="G34" s="148">
        <v>0.5</v>
      </c>
      <c r="H34" s="149">
        <v>12.7</v>
      </c>
      <c r="I34" s="156">
        <v>1.0680000000000001</v>
      </c>
      <c r="J34" s="157">
        <f t="shared" si="0"/>
        <v>0.55279503105590067</v>
      </c>
      <c r="K34" s="159">
        <v>0.16400000000000001</v>
      </c>
      <c r="L34" s="157">
        <f t="shared" si="1"/>
        <v>8.4886128364389232E-2</v>
      </c>
      <c r="N34" s="97"/>
    </row>
    <row r="35" spans="1:19" s="2" customFormat="1" ht="11.25" customHeight="1" thickBot="1">
      <c r="A35" s="55"/>
      <c r="B35" s="56"/>
      <c r="C35" s="57"/>
      <c r="D35" s="58"/>
      <c r="E35" s="58"/>
      <c r="F35" s="59"/>
      <c r="G35" s="58"/>
      <c r="H35" s="58"/>
      <c r="I35" s="58"/>
      <c r="J35" s="58"/>
      <c r="K35" s="58"/>
      <c r="L35" s="99"/>
      <c r="N35" s="97"/>
    </row>
    <row r="36" spans="1:19" s="2" customFormat="1" ht="22.5" customHeight="1" thickBot="1">
      <c r="A36" s="247" t="s">
        <v>61</v>
      </c>
      <c r="B36" s="248"/>
      <c r="C36" s="248"/>
      <c r="D36" s="248"/>
      <c r="E36" s="249"/>
      <c r="F36" s="60"/>
      <c r="G36" s="60"/>
      <c r="H36" s="207" t="s">
        <v>62</v>
      </c>
      <c r="I36" s="208"/>
      <c r="J36" s="208"/>
      <c r="K36" s="209"/>
      <c r="L36" s="100"/>
    </row>
    <row r="37" spans="1:19" s="2" customFormat="1" ht="22.5" customHeight="1" thickBot="1">
      <c r="A37" s="250" t="s">
        <v>63</v>
      </c>
      <c r="B37" s="251"/>
      <c r="C37" s="61" t="s">
        <v>64</v>
      </c>
      <c r="D37" s="277">
        <v>0.17</v>
      </c>
      <c r="E37" s="278"/>
      <c r="F37" s="62"/>
      <c r="G37" s="62"/>
      <c r="H37" s="63" t="s">
        <v>65</v>
      </c>
      <c r="I37" s="101" t="s">
        <v>86</v>
      </c>
      <c r="J37" s="63" t="s">
        <v>66</v>
      </c>
      <c r="K37" s="102" t="s">
        <v>67</v>
      </c>
      <c r="L37" s="99"/>
    </row>
    <row r="38" spans="1:19" s="2" customFormat="1" ht="22.5" customHeight="1" thickBot="1">
      <c r="A38" s="224" t="s">
        <v>68</v>
      </c>
      <c r="B38" s="225"/>
      <c r="C38" s="64" t="s">
        <v>64</v>
      </c>
      <c r="D38" s="279">
        <v>0.219</v>
      </c>
      <c r="E38" s="280"/>
      <c r="F38" s="62"/>
      <c r="G38" s="62"/>
      <c r="H38" s="256" t="s">
        <v>69</v>
      </c>
      <c r="I38" s="257"/>
      <c r="J38" s="256" t="s">
        <v>70</v>
      </c>
      <c r="K38" s="257"/>
      <c r="L38" s="99"/>
    </row>
    <row r="39" spans="1:19" s="2" customFormat="1" ht="22.5" customHeight="1" thickBot="1">
      <c r="A39" s="224" t="s">
        <v>71</v>
      </c>
      <c r="B39" s="225"/>
      <c r="C39" s="65" t="s">
        <v>39</v>
      </c>
      <c r="D39" s="226">
        <f>(D38-D37)*2.54</f>
        <v>0.12445999999999997</v>
      </c>
      <c r="E39" s="227"/>
      <c r="F39" s="31"/>
      <c r="G39" s="31"/>
      <c r="H39" s="163" t="s">
        <v>72</v>
      </c>
      <c r="I39" s="164">
        <v>4555</v>
      </c>
      <c r="J39" s="275">
        <v>4</v>
      </c>
      <c r="K39" s="229"/>
      <c r="L39" s="99"/>
    </row>
    <row r="40" spans="1:19" s="2" customFormat="1" ht="22.5" customHeight="1" thickBot="1">
      <c r="A40" s="230" t="s">
        <v>73</v>
      </c>
      <c r="B40" s="231"/>
      <c r="C40" s="67" t="s">
        <v>60</v>
      </c>
      <c r="D40" s="232">
        <f>IF(D39&lt;&gt;"",IF(D22&lt;&gt;"",D39/D22*100,""),"")</f>
        <v>0.92880597014925359</v>
      </c>
      <c r="E40" s="233"/>
      <c r="F40" s="68"/>
      <c r="G40" s="68"/>
      <c r="H40" s="165" t="s">
        <v>33</v>
      </c>
      <c r="I40" s="166">
        <v>4555</v>
      </c>
      <c r="J40" s="276">
        <v>4</v>
      </c>
      <c r="K40" s="235"/>
      <c r="L40" s="99"/>
      <c r="P40" s="105"/>
      <c r="Q40" s="105"/>
      <c r="R40" s="134"/>
    </row>
    <row r="41" spans="1:19" s="2" customFormat="1" ht="33" customHeight="1" thickBot="1">
      <c r="A41" s="70"/>
      <c r="B41" s="58"/>
      <c r="C41" s="58"/>
      <c r="D41" s="58"/>
      <c r="E41" s="58"/>
      <c r="F41" s="71"/>
      <c r="G41" s="58"/>
      <c r="H41" s="70"/>
      <c r="I41" s="58"/>
      <c r="J41" s="107" t="str">
        <f>I19</f>
        <v>ANTES DE INMERSIÓN</v>
      </c>
      <c r="K41" s="107" t="str">
        <f>K19</f>
        <v xml:space="preserve">DESPUÉS DE INMERSIÓN </v>
      </c>
      <c r="L41" s="108"/>
      <c r="M41" s="20"/>
      <c r="P41" s="109"/>
      <c r="Q41" s="135"/>
      <c r="R41" s="136"/>
    </row>
    <row r="42" spans="1:19" s="2" customFormat="1" ht="22.5" customHeight="1">
      <c r="A42" s="70"/>
      <c r="B42" s="58"/>
      <c r="C42" s="58"/>
      <c r="D42" s="58"/>
      <c r="E42" s="58"/>
      <c r="F42" s="58"/>
      <c r="G42" s="58"/>
      <c r="H42" s="21" t="s">
        <v>74</v>
      </c>
      <c r="I42" s="110" t="s">
        <v>60</v>
      </c>
      <c r="J42" s="111">
        <f>(J27/6.9)*100</f>
        <v>5.3635190686230372</v>
      </c>
      <c r="K42" s="112">
        <f>(L27/6.9)*100</f>
        <v>0.68262969964293196</v>
      </c>
      <c r="L42" s="99"/>
      <c r="P42" s="113"/>
      <c r="Q42" s="137"/>
      <c r="R42" s="136"/>
    </row>
    <row r="43" spans="1:19" s="2" customFormat="1" ht="22.5" customHeight="1" thickBot="1">
      <c r="A43" s="70"/>
      <c r="B43" s="73"/>
      <c r="C43" s="58"/>
      <c r="D43" s="58"/>
      <c r="E43" s="58"/>
      <c r="F43" s="58"/>
      <c r="G43" s="58"/>
      <c r="H43" s="74" t="s">
        <v>75</v>
      </c>
      <c r="I43" s="114" t="s">
        <v>60</v>
      </c>
      <c r="J43" s="115">
        <f>(J31/10.3)*100</f>
        <v>4.0302317634525311</v>
      </c>
      <c r="K43" s="116">
        <f>(L31/10.3)*100</f>
        <v>0.65830468954149834</v>
      </c>
      <c r="L43" s="99"/>
      <c r="P43" s="117"/>
      <c r="Q43" s="138"/>
      <c r="R43" s="139"/>
    </row>
    <row r="44" spans="1:19" s="2" customFormat="1" ht="22.5" customHeight="1" thickBot="1">
      <c r="A44" s="70"/>
      <c r="B44" s="73"/>
      <c r="C44" s="73"/>
      <c r="D44" s="73"/>
      <c r="E44" s="58"/>
      <c r="F44" s="58"/>
      <c r="G44" s="58"/>
      <c r="H44" s="74" t="s">
        <v>76</v>
      </c>
      <c r="I44" s="114"/>
      <c r="J44" s="118">
        <f>IF(J42&lt;J43,J42,J43)</f>
        <v>4.0302317634525311</v>
      </c>
      <c r="K44" s="119">
        <f>IF(K42&lt;K43,K42,K43)</f>
        <v>0.65830468954149834</v>
      </c>
      <c r="L44" s="120"/>
      <c r="M44" s="121"/>
    </row>
    <row r="45" spans="1:19" s="2" customFormat="1" ht="22.5" customHeight="1">
      <c r="A45" s="70"/>
      <c r="B45" s="58"/>
      <c r="C45" s="58"/>
      <c r="D45" s="59"/>
      <c r="E45" s="59"/>
      <c r="F45" s="59"/>
      <c r="G45" s="58"/>
      <c r="H45" s="4"/>
      <c r="I45" s="122"/>
      <c r="J45" s="122"/>
      <c r="K45" s="122"/>
      <c r="L45" s="99"/>
    </row>
    <row r="46" spans="1:19" s="2" customFormat="1" ht="22.5" customHeight="1">
      <c r="A46" s="70"/>
      <c r="B46" s="58"/>
      <c r="C46" s="58"/>
      <c r="D46" s="59"/>
      <c r="E46" s="59"/>
      <c r="F46" s="59"/>
      <c r="G46" s="58"/>
      <c r="H46" s="222" t="s">
        <v>77</v>
      </c>
      <c r="I46" s="222"/>
      <c r="J46" s="222" t="s">
        <v>78</v>
      </c>
      <c r="K46" s="222"/>
      <c r="L46" s="223"/>
    </row>
    <row r="47" spans="1:19" s="2" customFormat="1" ht="22.5" customHeight="1">
      <c r="A47" s="70"/>
      <c r="B47" s="56"/>
      <c r="C47" s="75"/>
      <c r="D47" s="76"/>
      <c r="E47" s="59"/>
      <c r="F47" s="59"/>
      <c r="G47" s="59"/>
      <c r="H47" s="77"/>
      <c r="I47" s="123"/>
      <c r="J47" s="77"/>
      <c r="K47" s="123"/>
      <c r="L47" s="124"/>
    </row>
    <row r="48" spans="1:19" s="2" customFormat="1" ht="22.5" customHeight="1">
      <c r="A48" s="70"/>
      <c r="B48" s="56"/>
      <c r="C48" s="75"/>
      <c r="D48" s="76"/>
      <c r="E48" s="59"/>
      <c r="F48" s="59"/>
      <c r="G48" s="59"/>
      <c r="H48" s="77"/>
      <c r="I48" s="123"/>
      <c r="J48" s="77"/>
      <c r="K48" s="123"/>
      <c r="L48" s="124"/>
    </row>
    <row r="49" spans="1:15" s="2" customFormat="1" ht="22.5" customHeight="1">
      <c r="A49" s="70"/>
      <c r="B49" s="56"/>
      <c r="C49" s="75"/>
      <c r="D49" s="76"/>
      <c r="E49" s="59"/>
      <c r="F49" s="59"/>
      <c r="G49" s="59"/>
      <c r="H49" s="77"/>
      <c r="I49" s="123"/>
      <c r="J49" s="77"/>
      <c r="K49"/>
      <c r="L49" s="124"/>
    </row>
    <row r="50" spans="1:15" s="2" customFormat="1" ht="22.5" customHeight="1">
      <c r="A50" s="70"/>
      <c r="B50" s="56"/>
      <c r="C50" s="75"/>
      <c r="D50" s="76"/>
      <c r="E50" s="59"/>
      <c r="F50" s="59"/>
      <c r="G50" s="59"/>
      <c r="H50" s="78"/>
      <c r="I50" s="78"/>
      <c r="J50" s="77"/>
      <c r="K50" s="123"/>
      <c r="L50" s="124"/>
    </row>
    <row r="51" spans="1:15" s="2" customFormat="1" ht="22.5" customHeight="1">
      <c r="A51" s="70"/>
      <c r="B51" s="56"/>
      <c r="C51" s="75"/>
      <c r="D51" s="76"/>
      <c r="E51" s="59"/>
      <c r="F51" s="59"/>
      <c r="G51" s="59"/>
      <c r="H51" s="220" t="s">
        <v>79</v>
      </c>
      <c r="I51" s="220"/>
      <c r="J51" s="220" t="s">
        <v>87</v>
      </c>
      <c r="K51" s="220"/>
      <c r="L51" s="221"/>
    </row>
    <row r="52" spans="1:15" s="2" customFormat="1" ht="22.5" customHeight="1">
      <c r="A52" s="70"/>
      <c r="B52" s="56"/>
      <c r="C52" s="75"/>
      <c r="D52" s="76"/>
      <c r="E52" s="59"/>
      <c r="F52" s="59"/>
      <c r="G52" s="59"/>
      <c r="H52" s="222" t="s">
        <v>80</v>
      </c>
      <c r="I52" s="222"/>
      <c r="J52" s="222" t="s">
        <v>81</v>
      </c>
      <c r="K52" s="222"/>
      <c r="L52" s="223"/>
    </row>
    <row r="53" spans="1:15" s="2" customFormat="1" ht="22.5" customHeight="1">
      <c r="A53" s="70"/>
      <c r="B53" s="56"/>
      <c r="C53" s="75"/>
      <c r="D53" s="76"/>
      <c r="E53" s="59"/>
      <c r="F53" s="59"/>
      <c r="G53" s="59"/>
      <c r="H53" s="186"/>
      <c r="I53" s="186"/>
      <c r="J53" s="186"/>
      <c r="K53" s="186"/>
      <c r="L53" s="99"/>
    </row>
    <row r="54" spans="1:15" s="2" customFormat="1" ht="22.5" customHeight="1">
      <c r="A54" s="70"/>
      <c r="B54" s="56"/>
      <c r="C54" s="75"/>
      <c r="D54" s="76"/>
      <c r="E54" s="59"/>
      <c r="F54" s="59"/>
      <c r="G54" s="59"/>
      <c r="H54" s="58"/>
      <c r="I54" s="58"/>
      <c r="J54" s="125"/>
      <c r="K54" s="58"/>
      <c r="L54" s="99"/>
      <c r="M54" s="126"/>
      <c r="N54" s="3"/>
    </row>
    <row r="55" spans="1:15" s="2" customFormat="1" ht="22.5" customHeight="1">
      <c r="A55" s="70"/>
      <c r="B55" s="56"/>
      <c r="C55" s="75"/>
      <c r="D55" s="76"/>
      <c r="E55" s="59"/>
      <c r="F55" s="59"/>
      <c r="G55" s="59"/>
      <c r="H55" s="58"/>
      <c r="I55" s="58"/>
      <c r="J55" s="127"/>
      <c r="K55" s="125"/>
      <c r="L55" s="128"/>
      <c r="M55" s="129"/>
      <c r="N55" s="3"/>
    </row>
    <row r="56" spans="1:15" s="2" customFormat="1" ht="22.5" customHeight="1">
      <c r="A56" s="264" t="s">
        <v>82</v>
      </c>
      <c r="B56" s="265"/>
      <c r="C56" s="265"/>
      <c r="D56" s="265"/>
      <c r="E56" s="265"/>
      <c r="F56" s="265"/>
      <c r="G56" s="265"/>
      <c r="H56" s="265"/>
      <c r="I56" s="265"/>
      <c r="J56" s="265"/>
      <c r="K56" s="265"/>
      <c r="L56" s="266"/>
      <c r="M56" s="130"/>
      <c r="N56" s="3"/>
      <c r="O56" s="3"/>
    </row>
    <row r="57" spans="1:15" s="2" customFormat="1" ht="22.5" customHeight="1">
      <c r="A57" s="261" t="s">
        <v>83</v>
      </c>
      <c r="B57" s="262"/>
      <c r="C57" s="262"/>
      <c r="D57" s="262"/>
      <c r="E57" s="262"/>
      <c r="F57" s="262"/>
      <c r="G57" s="262"/>
      <c r="H57" s="262"/>
      <c r="I57" s="262"/>
      <c r="J57" s="262"/>
      <c r="K57" s="262"/>
      <c r="L57" s="263"/>
      <c r="M57" s="3"/>
      <c r="N57" s="3"/>
      <c r="O57" s="3"/>
    </row>
    <row r="58" spans="1:15" s="2" customFormat="1" ht="22.5" customHeight="1">
      <c r="A58" s="261"/>
      <c r="B58" s="262"/>
      <c r="C58" s="262"/>
      <c r="D58" s="262"/>
      <c r="E58" s="262"/>
      <c r="F58" s="262"/>
      <c r="G58" s="262"/>
      <c r="H58" s="262"/>
      <c r="I58" s="262"/>
      <c r="J58" s="262"/>
      <c r="K58" s="262"/>
      <c r="L58" s="263"/>
      <c r="M58" s="3"/>
      <c r="N58" s="3"/>
      <c r="O58" s="3"/>
    </row>
    <row r="59" spans="1:15" ht="15" thickBot="1">
      <c r="A59" s="267" t="s">
        <v>84</v>
      </c>
      <c r="B59" s="268"/>
      <c r="C59" s="268"/>
      <c r="D59" s="268"/>
      <c r="E59" s="268"/>
      <c r="F59" s="268"/>
      <c r="G59" s="268"/>
      <c r="H59" s="268"/>
      <c r="I59" s="268"/>
      <c r="J59" s="268"/>
      <c r="K59" s="268"/>
      <c r="L59" s="269"/>
    </row>
    <row r="63" spans="1:15">
      <c r="I63" s="79"/>
      <c r="J63" s="79"/>
      <c r="K63" s="79"/>
      <c r="L63" s="79"/>
      <c r="M63" s="79"/>
      <c r="N63" s="79"/>
    </row>
    <row r="64" spans="1:15" ht="15" customHeight="1">
      <c r="E64" s="79"/>
      <c r="F64" s="79"/>
      <c r="G64" s="79"/>
      <c r="H64" s="79"/>
      <c r="I64" s="131"/>
      <c r="J64" s="131"/>
      <c r="K64" s="131"/>
      <c r="L64" s="131"/>
      <c r="M64" s="131"/>
      <c r="N64" s="131"/>
    </row>
    <row r="65" spans="2:18" ht="15" customHeight="1">
      <c r="E65" s="131"/>
      <c r="F65" s="131"/>
      <c r="G65" s="131"/>
      <c r="H65" s="131"/>
      <c r="I65" s="131"/>
      <c r="J65" s="131"/>
      <c r="K65" s="131"/>
      <c r="L65" s="131"/>
      <c r="M65" s="131"/>
      <c r="N65" s="131"/>
    </row>
    <row r="66" spans="2:18" ht="15" customHeight="1">
      <c r="E66" s="131"/>
      <c r="F66" s="131"/>
      <c r="G66" s="131"/>
      <c r="H66" s="131"/>
      <c r="I66" s="131"/>
      <c r="J66" s="131"/>
      <c r="K66" s="131"/>
      <c r="L66" s="131"/>
      <c r="M66" s="131"/>
      <c r="N66" s="131"/>
    </row>
    <row r="67" spans="2:18" ht="30.75" customHeight="1">
      <c r="E67" s="131"/>
      <c r="F67" s="131"/>
      <c r="G67" s="131"/>
      <c r="H67" s="131"/>
      <c r="I67" s="140"/>
      <c r="J67" s="140"/>
      <c r="K67" s="140"/>
      <c r="L67" s="140"/>
      <c r="M67" s="140"/>
      <c r="N67" s="140"/>
    </row>
    <row r="68" spans="2:18" ht="15" customHeight="1">
      <c r="E68" s="140"/>
      <c r="F68" s="140"/>
      <c r="G68" s="140"/>
      <c r="H68" s="140"/>
      <c r="I68" s="140"/>
      <c r="J68" s="140"/>
      <c r="K68" s="140"/>
      <c r="L68" s="140"/>
      <c r="M68" s="140"/>
      <c r="N68" s="140"/>
    </row>
    <row r="69" spans="2:18" ht="15" customHeight="1">
      <c r="E69" s="140"/>
      <c r="F69" s="140"/>
      <c r="G69" s="140"/>
      <c r="H69" s="140"/>
    </row>
    <row r="70" spans="2:18" ht="31.5" customHeight="1">
      <c r="E70" s="270"/>
      <c r="F70" s="270"/>
      <c r="G70" s="270"/>
      <c r="H70" s="270"/>
      <c r="I70" s="270"/>
      <c r="J70" s="270"/>
      <c r="K70" s="270"/>
      <c r="L70" s="270"/>
      <c r="M70" s="270"/>
      <c r="N70" s="270"/>
      <c r="O70" s="270"/>
      <c r="P70" s="270"/>
    </row>
    <row r="71" spans="2:18" ht="24" customHeight="1">
      <c r="B71" s="141"/>
      <c r="C71" s="142"/>
      <c r="D71" s="142"/>
      <c r="E71" s="142"/>
      <c r="F71" s="142"/>
      <c r="G71" s="142"/>
      <c r="H71" s="142"/>
      <c r="I71" s="142"/>
      <c r="J71" s="142"/>
      <c r="K71" s="142"/>
      <c r="L71" s="142"/>
      <c r="M71" s="142"/>
      <c r="N71" s="142"/>
      <c r="O71" s="142"/>
      <c r="P71" s="142"/>
      <c r="Q71" s="142"/>
      <c r="R71" s="142"/>
    </row>
    <row r="72" spans="2:18" ht="15" customHeight="1">
      <c r="B72" s="142"/>
      <c r="C72" s="142"/>
      <c r="D72" s="260"/>
      <c r="E72" s="260"/>
      <c r="F72" s="260"/>
      <c r="G72" s="260"/>
      <c r="H72" s="260"/>
      <c r="I72" s="260"/>
      <c r="J72" s="260"/>
      <c r="K72" s="260"/>
      <c r="L72" s="260"/>
      <c r="M72" s="260"/>
      <c r="N72" s="260"/>
      <c r="O72" s="260"/>
      <c r="P72" s="142"/>
      <c r="Q72" s="142"/>
      <c r="R72" s="142"/>
    </row>
    <row r="73" spans="2:18">
      <c r="D73" s="260"/>
      <c r="E73" s="260"/>
      <c r="F73" s="260"/>
      <c r="G73" s="260"/>
      <c r="H73" s="260"/>
      <c r="I73" s="260"/>
      <c r="J73" s="260"/>
      <c r="K73" s="260"/>
      <c r="L73" s="260"/>
      <c r="M73" s="260"/>
      <c r="N73" s="260"/>
      <c r="O73" s="260"/>
    </row>
  </sheetData>
  <sheetProtection formatCells="0" formatColumns="0" insertColumns="0" insertRows="0" deleteColumns="0" deleteRows="0"/>
  <mergeCells count="74">
    <mergeCell ref="A1:B4"/>
    <mergeCell ref="C1:J1"/>
    <mergeCell ref="K1:L1"/>
    <mergeCell ref="C2:J4"/>
    <mergeCell ref="K2:L2"/>
    <mergeCell ref="K3:L3"/>
    <mergeCell ref="K4:L4"/>
    <mergeCell ref="B5:K5"/>
    <mergeCell ref="C6:G6"/>
    <mergeCell ref="H6:I6"/>
    <mergeCell ref="J6:L6"/>
    <mergeCell ref="C7:G7"/>
    <mergeCell ref="H7:I7"/>
    <mergeCell ref="J7:L7"/>
    <mergeCell ref="A18:E18"/>
    <mergeCell ref="G18:L18"/>
    <mergeCell ref="C8:G8"/>
    <mergeCell ref="H8:I8"/>
    <mergeCell ref="J8:L8"/>
    <mergeCell ref="C9:G9"/>
    <mergeCell ref="H9:I9"/>
    <mergeCell ref="C10:G10"/>
    <mergeCell ref="H10:I10"/>
    <mergeCell ref="J10:L10"/>
    <mergeCell ref="B11:K11"/>
    <mergeCell ref="F12:G12"/>
    <mergeCell ref="H12:I12"/>
    <mergeCell ref="C13:L13"/>
    <mergeCell ref="A16:L16"/>
    <mergeCell ref="A27:B27"/>
    <mergeCell ref="A19:C19"/>
    <mergeCell ref="G19:H20"/>
    <mergeCell ref="I19:J19"/>
    <mergeCell ref="K19:L19"/>
    <mergeCell ref="A20:B20"/>
    <mergeCell ref="A21:B21"/>
    <mergeCell ref="A22:B22"/>
    <mergeCell ref="A23:B23"/>
    <mergeCell ref="A24:B24"/>
    <mergeCell ref="A25:B25"/>
    <mergeCell ref="A26:B26"/>
    <mergeCell ref="A38:B38"/>
    <mergeCell ref="D38:E38"/>
    <mergeCell ref="H38:I38"/>
    <mergeCell ref="J38:K38"/>
    <mergeCell ref="A28:B28"/>
    <mergeCell ref="A29:E29"/>
    <mergeCell ref="A30:B30"/>
    <mergeCell ref="A31:B31"/>
    <mergeCell ref="A32:B32"/>
    <mergeCell ref="A33:B33"/>
    <mergeCell ref="A34:B34"/>
    <mergeCell ref="A36:E36"/>
    <mergeCell ref="H36:K36"/>
    <mergeCell ref="A37:B37"/>
    <mergeCell ref="D37:E37"/>
    <mergeCell ref="A39:B39"/>
    <mergeCell ref="D39:E39"/>
    <mergeCell ref="J39:K39"/>
    <mergeCell ref="A40:B40"/>
    <mergeCell ref="D40:E40"/>
    <mergeCell ref="J40:K40"/>
    <mergeCell ref="D72:O73"/>
    <mergeCell ref="H46:I46"/>
    <mergeCell ref="J46:L46"/>
    <mergeCell ref="H51:I51"/>
    <mergeCell ref="J51:L51"/>
    <mergeCell ref="H52:I52"/>
    <mergeCell ref="J52:L52"/>
    <mergeCell ref="H53:K53"/>
    <mergeCell ref="A56:L56"/>
    <mergeCell ref="A57:L58"/>
    <mergeCell ref="A59:L59"/>
    <mergeCell ref="E70:P70"/>
  </mergeCells>
  <conditionalFormatting sqref="C6:G10">
    <cfRule type="containsBlanks" dxfId="149" priority="10">
      <formula>LEN(TRIM(C6))=0</formula>
    </cfRule>
  </conditionalFormatting>
  <conditionalFormatting sqref="C13:L13">
    <cfRule type="containsBlanks" dxfId="148" priority="9">
      <formula>LEN(TRIM(C13))=0</formula>
    </cfRule>
  </conditionalFormatting>
  <conditionalFormatting sqref="D20:D24">
    <cfRule type="containsBlanks" dxfId="147" priority="4">
      <formula>LEN(TRIM(D20))=0</formula>
    </cfRule>
  </conditionalFormatting>
  <conditionalFormatting sqref="D37:D38">
    <cfRule type="containsBlanks" dxfId="146" priority="3">
      <formula>LEN(TRIM(D37))=0</formula>
    </cfRule>
  </conditionalFormatting>
  <conditionalFormatting sqref="D30:E33">
    <cfRule type="containsBlanks" dxfId="145" priority="1">
      <formula>LEN(TRIM(D30))=0</formula>
    </cfRule>
  </conditionalFormatting>
  <conditionalFormatting sqref="E23">
    <cfRule type="containsBlanks" dxfId="144" priority="5">
      <formula>LEN(TRIM(E23))=0</formula>
    </cfRule>
  </conditionalFormatting>
  <conditionalFormatting sqref="F12:G12">
    <cfRule type="containsBlanks" dxfId="143" priority="8">
      <formula>LEN(TRIM(F12))=0</formula>
    </cfRule>
  </conditionalFormatting>
  <conditionalFormatting sqref="I22:I34">
    <cfRule type="containsBlanks" dxfId="142" priority="7">
      <formula>LEN(TRIM(I22))=0</formula>
    </cfRule>
  </conditionalFormatting>
  <conditionalFormatting sqref="I37">
    <cfRule type="containsBlanks" dxfId="141" priority="2">
      <formula>LEN(TRIM(I37))=0</formula>
    </cfRule>
  </conditionalFormatting>
  <conditionalFormatting sqref="K22:K34">
    <cfRule type="containsBlanks" dxfId="140" priority="6">
      <formula>LEN(TRIM(K22))=0</formula>
    </cfRule>
  </conditionalFormatting>
  <dataValidations count="2">
    <dataValidation type="list" allowBlank="1" showInputMessage="1" showErrorMessage="1" sqref="I37" xr:uid="{00000000-0002-0000-0800-000000000000}">
      <formula1>"5 kN, 50 kN"</formula1>
    </dataValidation>
    <dataValidation type="list" allowBlank="1" showInputMessage="1" showErrorMessage="1" sqref="C12" xr:uid="{00000000-0002-0000-0800-000001000000}">
      <formula1>$T$6:$T$13</formula1>
    </dataValidation>
  </dataValidations>
  <printOptions horizontalCentered="1" verticalCentered="1"/>
  <pageMargins left="0.31496062992126" right="0.31496062992126" top="0.15748031496063" bottom="0.55118110236220497" header="0" footer="0.118110236220472"/>
  <pageSetup scale="42" fitToWidth="0" fitToHeight="0" orientation="landscape" r:id="rId1"/>
  <headerFooter>
    <oddFooter>&amp;C&amp;"Arial,Normal"&amp;10GEODELTA S.A.S. Calle 68 B bis No 70 C 95, Móvil: 318 7902368 Bogotá DC - Colombia
e-mail: laboratoriogeodelta@gmail.com</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8" tint="-0.499984740745262"/>
  </sheetPr>
  <dimension ref="A1:AB73"/>
  <sheetViews>
    <sheetView showGridLines="0" view="pageBreakPreview" topLeftCell="A30" zoomScale="96" zoomScaleNormal="50" zoomScaleSheetLayoutView="96" zoomScalePageLayoutView="50" workbookViewId="0">
      <selection activeCell="G38" sqref="G38"/>
    </sheetView>
  </sheetViews>
  <sheetFormatPr baseColWidth="10" defaultColWidth="11" defaultRowHeight="14.25"/>
  <cols>
    <col min="1" max="1" width="10.5703125" style="3" customWidth="1"/>
    <col min="2" max="2" width="35.42578125" style="3" customWidth="1"/>
    <col min="3" max="3" width="20.85546875" style="3" customWidth="1"/>
    <col min="4" max="5" width="26.7109375" style="3" customWidth="1"/>
    <col min="6" max="6" width="3.7109375" style="3" customWidth="1"/>
    <col min="7" max="7" width="29.140625" style="3" customWidth="1"/>
    <col min="8" max="8" width="27.140625" style="3" customWidth="1"/>
    <col min="9" max="10" width="24.28515625" style="3" customWidth="1"/>
    <col min="11" max="12" width="22.42578125" style="3" customWidth="1"/>
    <col min="13" max="13" width="1.85546875" style="3" customWidth="1"/>
    <col min="14" max="16" width="12.85546875" style="3" customWidth="1"/>
    <col min="17" max="17" width="6.5703125" style="3" customWidth="1"/>
    <col min="18" max="18" width="6.28515625" style="3" customWidth="1"/>
    <col min="19" max="184" width="11" style="3"/>
    <col min="185" max="185" width="0.7109375" style="3" customWidth="1"/>
    <col min="186" max="186" width="6.5703125" style="3" customWidth="1"/>
    <col min="187" max="187" width="13.5703125" style="3" customWidth="1"/>
    <col min="188" max="188" width="13.42578125" style="3" customWidth="1"/>
    <col min="189" max="190" width="12.5703125" style="3" customWidth="1"/>
    <col min="191" max="191" width="14.85546875" style="3" customWidth="1"/>
    <col min="192" max="192" width="20.7109375" style="3" customWidth="1"/>
    <col min="193" max="193" width="12.5703125" style="3" customWidth="1"/>
    <col min="194" max="194" width="13" style="3" customWidth="1"/>
    <col min="195" max="195" width="16" style="3" customWidth="1"/>
    <col min="196" max="196" width="6.42578125" style="3" customWidth="1"/>
    <col min="197" max="197" width="16" style="3" customWidth="1"/>
    <col min="198" max="198" width="2.85546875" style="3" customWidth="1"/>
    <col min="199" max="199" width="0.85546875" style="3" customWidth="1"/>
    <col min="200" max="200" width="11" style="3"/>
    <col min="201" max="201" width="15.42578125" style="3" customWidth="1"/>
    <col min="202" max="204" width="14.85546875" style="3" customWidth="1"/>
    <col min="205" max="205" width="0.7109375" style="3" customWidth="1"/>
    <col min="206" max="206" width="11" style="3"/>
    <col min="207" max="207" width="15.7109375" style="3" customWidth="1"/>
    <col min="208" max="209" width="14.85546875" style="3" customWidth="1"/>
    <col min="210" max="210" width="3.28515625" style="3" customWidth="1"/>
    <col min="211" max="211" width="20.140625" style="3" customWidth="1"/>
    <col min="212" max="212" width="3.28515625" style="3" customWidth="1"/>
    <col min="213" max="217" width="11" style="3"/>
    <col min="218" max="230" width="4.7109375" style="3" customWidth="1"/>
    <col min="231" max="440" width="11" style="3"/>
    <col min="441" max="441" width="0.7109375" style="3" customWidth="1"/>
    <col min="442" max="442" width="6.5703125" style="3" customWidth="1"/>
    <col min="443" max="443" width="13.5703125" style="3" customWidth="1"/>
    <col min="444" max="444" width="13.42578125" style="3" customWidth="1"/>
    <col min="445" max="446" width="12.5703125" style="3" customWidth="1"/>
    <col min="447" max="447" width="14.85546875" style="3" customWidth="1"/>
    <col min="448" max="448" width="20.7109375" style="3" customWidth="1"/>
    <col min="449" max="449" width="12.5703125" style="3" customWidth="1"/>
    <col min="450" max="450" width="13" style="3" customWidth="1"/>
    <col min="451" max="451" width="16" style="3" customWidth="1"/>
    <col min="452" max="452" width="6.42578125" style="3" customWidth="1"/>
    <col min="453" max="453" width="16" style="3" customWidth="1"/>
    <col min="454" max="454" width="2.85546875" style="3" customWidth="1"/>
    <col min="455" max="455" width="0.85546875" style="3" customWidth="1"/>
    <col min="456" max="456" width="11" style="3"/>
    <col min="457" max="457" width="15.42578125" style="3" customWidth="1"/>
    <col min="458" max="460" width="14.85546875" style="3" customWidth="1"/>
    <col min="461" max="461" width="0.7109375" style="3" customWidth="1"/>
    <col min="462" max="462" width="11" style="3"/>
    <col min="463" max="463" width="15.7109375" style="3" customWidth="1"/>
    <col min="464" max="465" width="14.85546875" style="3" customWidth="1"/>
    <col min="466" max="466" width="3.28515625" style="3" customWidth="1"/>
    <col min="467" max="467" width="20.140625" style="3" customWidth="1"/>
    <col min="468" max="468" width="3.28515625" style="3" customWidth="1"/>
    <col min="469" max="473" width="11" style="3"/>
    <col min="474" max="486" width="4.7109375" style="3" customWidth="1"/>
    <col min="487" max="696" width="11" style="3"/>
    <col min="697" max="697" width="0.7109375" style="3" customWidth="1"/>
    <col min="698" max="698" width="6.5703125" style="3" customWidth="1"/>
    <col min="699" max="699" width="13.5703125" style="3" customWidth="1"/>
    <col min="700" max="700" width="13.42578125" style="3" customWidth="1"/>
    <col min="701" max="702" width="12.5703125" style="3" customWidth="1"/>
    <col min="703" max="703" width="14.85546875" style="3" customWidth="1"/>
    <col min="704" max="704" width="20.7109375" style="3" customWidth="1"/>
    <col min="705" max="705" width="12.5703125" style="3" customWidth="1"/>
    <col min="706" max="706" width="13" style="3" customWidth="1"/>
    <col min="707" max="707" width="16" style="3" customWidth="1"/>
    <col min="708" max="708" width="6.42578125" style="3" customWidth="1"/>
    <col min="709" max="709" width="16" style="3" customWidth="1"/>
    <col min="710" max="710" width="2.85546875" style="3" customWidth="1"/>
    <col min="711" max="711" width="0.85546875" style="3" customWidth="1"/>
    <col min="712" max="712" width="11" style="3"/>
    <col min="713" max="713" width="15.42578125" style="3" customWidth="1"/>
    <col min="714" max="716" width="14.85546875" style="3" customWidth="1"/>
    <col min="717" max="717" width="0.7109375" style="3" customWidth="1"/>
    <col min="718" max="718" width="11" style="3"/>
    <col min="719" max="719" width="15.7109375" style="3" customWidth="1"/>
    <col min="720" max="721" width="14.85546875" style="3" customWidth="1"/>
    <col min="722" max="722" width="3.28515625" style="3" customWidth="1"/>
    <col min="723" max="723" width="20.140625" style="3" customWidth="1"/>
    <col min="724" max="724" width="3.28515625" style="3" customWidth="1"/>
    <col min="725" max="729" width="11" style="3"/>
    <col min="730" max="742" width="4.7109375" style="3" customWidth="1"/>
    <col min="743" max="952" width="11" style="3"/>
    <col min="953" max="953" width="0.7109375" style="3" customWidth="1"/>
    <col min="954" max="954" width="6.5703125" style="3" customWidth="1"/>
    <col min="955" max="955" width="13.5703125" style="3" customWidth="1"/>
    <col min="956" max="956" width="13.42578125" style="3" customWidth="1"/>
    <col min="957" max="958" width="12.5703125" style="3" customWidth="1"/>
    <col min="959" max="959" width="14.85546875" style="3" customWidth="1"/>
    <col min="960" max="960" width="20.7109375" style="3" customWidth="1"/>
    <col min="961" max="961" width="12.5703125" style="3" customWidth="1"/>
    <col min="962" max="962" width="13" style="3" customWidth="1"/>
    <col min="963" max="963" width="16" style="3" customWidth="1"/>
    <col min="964" max="964" width="6.42578125" style="3" customWidth="1"/>
    <col min="965" max="965" width="16" style="3" customWidth="1"/>
    <col min="966" max="966" width="2.85546875" style="3" customWidth="1"/>
    <col min="967" max="967" width="0.85546875" style="3" customWidth="1"/>
    <col min="968" max="968" width="11" style="3"/>
    <col min="969" max="969" width="15.42578125" style="3" customWidth="1"/>
    <col min="970" max="972" width="14.85546875" style="3" customWidth="1"/>
    <col min="973" max="973" width="0.7109375" style="3" customWidth="1"/>
    <col min="974" max="974" width="11" style="3"/>
    <col min="975" max="975" width="15.7109375" style="3" customWidth="1"/>
    <col min="976" max="977" width="14.85546875" style="3" customWidth="1"/>
    <col min="978" max="978" width="3.28515625" style="3" customWidth="1"/>
    <col min="979" max="979" width="20.140625" style="3" customWidth="1"/>
    <col min="980" max="980" width="3.28515625" style="3" customWidth="1"/>
    <col min="981" max="985" width="11" style="3"/>
    <col min="986" max="998" width="4.7109375" style="3" customWidth="1"/>
    <col min="999" max="1208" width="11" style="3"/>
    <col min="1209" max="1209" width="0.7109375" style="3" customWidth="1"/>
    <col min="1210" max="1210" width="6.5703125" style="3" customWidth="1"/>
    <col min="1211" max="1211" width="13.5703125" style="3" customWidth="1"/>
    <col min="1212" max="1212" width="13.42578125" style="3" customWidth="1"/>
    <col min="1213" max="1214" width="12.5703125" style="3" customWidth="1"/>
    <col min="1215" max="1215" width="14.85546875" style="3" customWidth="1"/>
    <col min="1216" max="1216" width="20.7109375" style="3" customWidth="1"/>
    <col min="1217" max="1217" width="12.5703125" style="3" customWidth="1"/>
    <col min="1218" max="1218" width="13" style="3" customWidth="1"/>
    <col min="1219" max="1219" width="16" style="3" customWidth="1"/>
    <col min="1220" max="1220" width="6.42578125" style="3" customWidth="1"/>
    <col min="1221" max="1221" width="16" style="3" customWidth="1"/>
    <col min="1222" max="1222" width="2.85546875" style="3" customWidth="1"/>
    <col min="1223" max="1223" width="0.85546875" style="3" customWidth="1"/>
    <col min="1224" max="1224" width="11" style="3"/>
    <col min="1225" max="1225" width="15.42578125" style="3" customWidth="1"/>
    <col min="1226" max="1228" width="14.85546875" style="3" customWidth="1"/>
    <col min="1229" max="1229" width="0.7109375" style="3" customWidth="1"/>
    <col min="1230" max="1230" width="11" style="3"/>
    <col min="1231" max="1231" width="15.7109375" style="3" customWidth="1"/>
    <col min="1232" max="1233" width="14.85546875" style="3" customWidth="1"/>
    <col min="1234" max="1234" width="3.28515625" style="3" customWidth="1"/>
    <col min="1235" max="1235" width="20.140625" style="3" customWidth="1"/>
    <col min="1236" max="1236" width="3.28515625" style="3" customWidth="1"/>
    <col min="1237" max="1241" width="11" style="3"/>
    <col min="1242" max="1254" width="4.7109375" style="3" customWidth="1"/>
    <col min="1255" max="1464" width="11" style="3"/>
    <col min="1465" max="1465" width="0.7109375" style="3" customWidth="1"/>
    <col min="1466" max="1466" width="6.5703125" style="3" customWidth="1"/>
    <col min="1467" max="1467" width="13.5703125" style="3" customWidth="1"/>
    <col min="1468" max="1468" width="13.42578125" style="3" customWidth="1"/>
    <col min="1469" max="1470" width="12.5703125" style="3" customWidth="1"/>
    <col min="1471" max="1471" width="14.85546875" style="3" customWidth="1"/>
    <col min="1472" max="1472" width="20.7109375" style="3" customWidth="1"/>
    <col min="1473" max="1473" width="12.5703125" style="3" customWidth="1"/>
    <col min="1474" max="1474" width="13" style="3" customWidth="1"/>
    <col min="1475" max="1475" width="16" style="3" customWidth="1"/>
    <col min="1476" max="1476" width="6.42578125" style="3" customWidth="1"/>
    <col min="1477" max="1477" width="16" style="3" customWidth="1"/>
    <col min="1478" max="1478" width="2.85546875" style="3" customWidth="1"/>
    <col min="1479" max="1479" width="0.85546875" style="3" customWidth="1"/>
    <col min="1480" max="1480" width="11" style="3"/>
    <col min="1481" max="1481" width="15.42578125" style="3" customWidth="1"/>
    <col min="1482" max="1484" width="14.85546875" style="3" customWidth="1"/>
    <col min="1485" max="1485" width="0.7109375" style="3" customWidth="1"/>
    <col min="1486" max="1486" width="11" style="3"/>
    <col min="1487" max="1487" width="15.7109375" style="3" customWidth="1"/>
    <col min="1488" max="1489" width="14.85546875" style="3" customWidth="1"/>
    <col min="1490" max="1490" width="3.28515625" style="3" customWidth="1"/>
    <col min="1491" max="1491" width="20.140625" style="3" customWidth="1"/>
    <col min="1492" max="1492" width="3.28515625" style="3" customWidth="1"/>
    <col min="1493" max="1497" width="11" style="3"/>
    <col min="1498" max="1510" width="4.7109375" style="3" customWidth="1"/>
    <col min="1511" max="1720" width="11" style="3"/>
    <col min="1721" max="1721" width="0.7109375" style="3" customWidth="1"/>
    <col min="1722" max="1722" width="6.5703125" style="3" customWidth="1"/>
    <col min="1723" max="1723" width="13.5703125" style="3" customWidth="1"/>
    <col min="1724" max="1724" width="13.42578125" style="3" customWidth="1"/>
    <col min="1725" max="1726" width="12.5703125" style="3" customWidth="1"/>
    <col min="1727" max="1727" width="14.85546875" style="3" customWidth="1"/>
    <col min="1728" max="1728" width="20.7109375" style="3" customWidth="1"/>
    <col min="1729" max="1729" width="12.5703125" style="3" customWidth="1"/>
    <col min="1730" max="1730" width="13" style="3" customWidth="1"/>
    <col min="1731" max="1731" width="16" style="3" customWidth="1"/>
    <col min="1732" max="1732" width="6.42578125" style="3" customWidth="1"/>
    <col min="1733" max="1733" width="16" style="3" customWidth="1"/>
    <col min="1734" max="1734" width="2.85546875" style="3" customWidth="1"/>
    <col min="1735" max="1735" width="0.85546875" style="3" customWidth="1"/>
    <col min="1736" max="1736" width="11" style="3"/>
    <col min="1737" max="1737" width="15.42578125" style="3" customWidth="1"/>
    <col min="1738" max="1740" width="14.85546875" style="3" customWidth="1"/>
    <col min="1741" max="1741" width="0.7109375" style="3" customWidth="1"/>
    <col min="1742" max="1742" width="11" style="3"/>
    <col min="1743" max="1743" width="15.7109375" style="3" customWidth="1"/>
    <col min="1744" max="1745" width="14.85546875" style="3" customWidth="1"/>
    <col min="1746" max="1746" width="3.28515625" style="3" customWidth="1"/>
    <col min="1747" max="1747" width="20.140625" style="3" customWidth="1"/>
    <col min="1748" max="1748" width="3.28515625" style="3" customWidth="1"/>
    <col min="1749" max="1753" width="11" style="3"/>
    <col min="1754" max="1766" width="4.7109375" style="3" customWidth="1"/>
    <col min="1767" max="1976" width="11" style="3"/>
    <col min="1977" max="1977" width="0.7109375" style="3" customWidth="1"/>
    <col min="1978" max="1978" width="6.5703125" style="3" customWidth="1"/>
    <col min="1979" max="1979" width="13.5703125" style="3" customWidth="1"/>
    <col min="1980" max="1980" width="13.42578125" style="3" customWidth="1"/>
    <col min="1981" max="1982" width="12.5703125" style="3" customWidth="1"/>
    <col min="1983" max="1983" width="14.85546875" style="3" customWidth="1"/>
    <col min="1984" max="1984" width="20.7109375" style="3" customWidth="1"/>
    <col min="1985" max="1985" width="12.5703125" style="3" customWidth="1"/>
    <col min="1986" max="1986" width="13" style="3" customWidth="1"/>
    <col min="1987" max="1987" width="16" style="3" customWidth="1"/>
    <col min="1988" max="1988" width="6.42578125" style="3" customWidth="1"/>
    <col min="1989" max="1989" width="16" style="3" customWidth="1"/>
    <col min="1990" max="1990" width="2.85546875" style="3" customWidth="1"/>
    <col min="1991" max="1991" width="0.85546875" style="3" customWidth="1"/>
    <col min="1992" max="1992" width="11" style="3"/>
    <col min="1993" max="1993" width="15.42578125" style="3" customWidth="1"/>
    <col min="1994" max="1996" width="14.85546875" style="3" customWidth="1"/>
    <col min="1997" max="1997" width="0.7109375" style="3" customWidth="1"/>
    <col min="1998" max="1998" width="11" style="3"/>
    <col min="1999" max="1999" width="15.7109375" style="3" customWidth="1"/>
    <col min="2000" max="2001" width="14.85546875" style="3" customWidth="1"/>
    <col min="2002" max="2002" width="3.28515625" style="3" customWidth="1"/>
    <col min="2003" max="2003" width="20.140625" style="3" customWidth="1"/>
    <col min="2004" max="2004" width="3.28515625" style="3" customWidth="1"/>
    <col min="2005" max="2009" width="11" style="3"/>
    <col min="2010" max="2022" width="4.7109375" style="3" customWidth="1"/>
    <col min="2023" max="2232" width="11" style="3"/>
    <col min="2233" max="2233" width="0.7109375" style="3" customWidth="1"/>
    <col min="2234" max="2234" width="6.5703125" style="3" customWidth="1"/>
    <col min="2235" max="2235" width="13.5703125" style="3" customWidth="1"/>
    <col min="2236" max="2236" width="13.42578125" style="3" customWidth="1"/>
    <col min="2237" max="2238" width="12.5703125" style="3" customWidth="1"/>
    <col min="2239" max="2239" width="14.85546875" style="3" customWidth="1"/>
    <col min="2240" max="2240" width="20.7109375" style="3" customWidth="1"/>
    <col min="2241" max="2241" width="12.5703125" style="3" customWidth="1"/>
    <col min="2242" max="2242" width="13" style="3" customWidth="1"/>
    <col min="2243" max="2243" width="16" style="3" customWidth="1"/>
    <col min="2244" max="2244" width="6.42578125" style="3" customWidth="1"/>
    <col min="2245" max="2245" width="16" style="3" customWidth="1"/>
    <col min="2246" max="2246" width="2.85546875" style="3" customWidth="1"/>
    <col min="2247" max="2247" width="0.85546875" style="3" customWidth="1"/>
    <col min="2248" max="2248" width="11" style="3"/>
    <col min="2249" max="2249" width="15.42578125" style="3" customWidth="1"/>
    <col min="2250" max="2252" width="14.85546875" style="3" customWidth="1"/>
    <col min="2253" max="2253" width="0.7109375" style="3" customWidth="1"/>
    <col min="2254" max="2254" width="11" style="3"/>
    <col min="2255" max="2255" width="15.7109375" style="3" customWidth="1"/>
    <col min="2256" max="2257" width="14.85546875" style="3" customWidth="1"/>
    <col min="2258" max="2258" width="3.28515625" style="3" customWidth="1"/>
    <col min="2259" max="2259" width="20.140625" style="3" customWidth="1"/>
    <col min="2260" max="2260" width="3.28515625" style="3" customWidth="1"/>
    <col min="2261" max="2265" width="11" style="3"/>
    <col min="2266" max="2278" width="4.7109375" style="3" customWidth="1"/>
    <col min="2279" max="2488" width="11" style="3"/>
    <col min="2489" max="2489" width="0.7109375" style="3" customWidth="1"/>
    <col min="2490" max="2490" width="6.5703125" style="3" customWidth="1"/>
    <col min="2491" max="2491" width="13.5703125" style="3" customWidth="1"/>
    <col min="2492" max="2492" width="13.42578125" style="3" customWidth="1"/>
    <col min="2493" max="2494" width="12.5703125" style="3" customWidth="1"/>
    <col min="2495" max="2495" width="14.85546875" style="3" customWidth="1"/>
    <col min="2496" max="2496" width="20.7109375" style="3" customWidth="1"/>
    <col min="2497" max="2497" width="12.5703125" style="3" customWidth="1"/>
    <col min="2498" max="2498" width="13" style="3" customWidth="1"/>
    <col min="2499" max="2499" width="16" style="3" customWidth="1"/>
    <col min="2500" max="2500" width="6.42578125" style="3" customWidth="1"/>
    <col min="2501" max="2501" width="16" style="3" customWidth="1"/>
    <col min="2502" max="2502" width="2.85546875" style="3" customWidth="1"/>
    <col min="2503" max="2503" width="0.85546875" style="3" customWidth="1"/>
    <col min="2504" max="2504" width="11" style="3"/>
    <col min="2505" max="2505" width="15.42578125" style="3" customWidth="1"/>
    <col min="2506" max="2508" width="14.85546875" style="3" customWidth="1"/>
    <col min="2509" max="2509" width="0.7109375" style="3" customWidth="1"/>
    <col min="2510" max="2510" width="11" style="3"/>
    <col min="2511" max="2511" width="15.7109375" style="3" customWidth="1"/>
    <col min="2512" max="2513" width="14.85546875" style="3" customWidth="1"/>
    <col min="2514" max="2514" width="3.28515625" style="3" customWidth="1"/>
    <col min="2515" max="2515" width="20.140625" style="3" customWidth="1"/>
    <col min="2516" max="2516" width="3.28515625" style="3" customWidth="1"/>
    <col min="2517" max="2521" width="11" style="3"/>
    <col min="2522" max="2534" width="4.7109375" style="3" customWidth="1"/>
    <col min="2535" max="2744" width="11" style="3"/>
    <col min="2745" max="2745" width="0.7109375" style="3" customWidth="1"/>
    <col min="2746" max="2746" width="6.5703125" style="3" customWidth="1"/>
    <col min="2747" max="2747" width="13.5703125" style="3" customWidth="1"/>
    <col min="2748" max="2748" width="13.42578125" style="3" customWidth="1"/>
    <col min="2749" max="2750" width="12.5703125" style="3" customWidth="1"/>
    <col min="2751" max="2751" width="14.85546875" style="3" customWidth="1"/>
    <col min="2752" max="2752" width="20.7109375" style="3" customWidth="1"/>
    <col min="2753" max="2753" width="12.5703125" style="3" customWidth="1"/>
    <col min="2754" max="2754" width="13" style="3" customWidth="1"/>
    <col min="2755" max="2755" width="16" style="3" customWidth="1"/>
    <col min="2756" max="2756" width="6.42578125" style="3" customWidth="1"/>
    <col min="2757" max="2757" width="16" style="3" customWidth="1"/>
    <col min="2758" max="2758" width="2.85546875" style="3" customWidth="1"/>
    <col min="2759" max="2759" width="0.85546875" style="3" customWidth="1"/>
    <col min="2760" max="2760" width="11" style="3"/>
    <col min="2761" max="2761" width="15.42578125" style="3" customWidth="1"/>
    <col min="2762" max="2764" width="14.85546875" style="3" customWidth="1"/>
    <col min="2765" max="2765" width="0.7109375" style="3" customWidth="1"/>
    <col min="2766" max="2766" width="11" style="3"/>
    <col min="2767" max="2767" width="15.7109375" style="3" customWidth="1"/>
    <col min="2768" max="2769" width="14.85546875" style="3" customWidth="1"/>
    <col min="2770" max="2770" width="3.28515625" style="3" customWidth="1"/>
    <col min="2771" max="2771" width="20.140625" style="3" customWidth="1"/>
    <col min="2772" max="2772" width="3.28515625" style="3" customWidth="1"/>
    <col min="2773" max="2777" width="11" style="3"/>
    <col min="2778" max="2790" width="4.7109375" style="3" customWidth="1"/>
    <col min="2791" max="3000" width="11" style="3"/>
    <col min="3001" max="3001" width="0.7109375" style="3" customWidth="1"/>
    <col min="3002" max="3002" width="6.5703125" style="3" customWidth="1"/>
    <col min="3003" max="3003" width="13.5703125" style="3" customWidth="1"/>
    <col min="3004" max="3004" width="13.42578125" style="3" customWidth="1"/>
    <col min="3005" max="3006" width="12.5703125" style="3" customWidth="1"/>
    <col min="3007" max="3007" width="14.85546875" style="3" customWidth="1"/>
    <col min="3008" max="3008" width="20.7109375" style="3" customWidth="1"/>
    <col min="3009" max="3009" width="12.5703125" style="3" customWidth="1"/>
    <col min="3010" max="3010" width="13" style="3" customWidth="1"/>
    <col min="3011" max="3011" width="16" style="3" customWidth="1"/>
    <col min="3012" max="3012" width="6.42578125" style="3" customWidth="1"/>
    <col min="3013" max="3013" width="16" style="3" customWidth="1"/>
    <col min="3014" max="3014" width="2.85546875" style="3" customWidth="1"/>
    <col min="3015" max="3015" width="0.85546875" style="3" customWidth="1"/>
    <col min="3016" max="3016" width="11" style="3"/>
    <col min="3017" max="3017" width="15.42578125" style="3" customWidth="1"/>
    <col min="3018" max="3020" width="14.85546875" style="3" customWidth="1"/>
    <col min="3021" max="3021" width="0.7109375" style="3" customWidth="1"/>
    <col min="3022" max="3022" width="11" style="3"/>
    <col min="3023" max="3023" width="15.7109375" style="3" customWidth="1"/>
    <col min="3024" max="3025" width="14.85546875" style="3" customWidth="1"/>
    <col min="3026" max="3026" width="3.28515625" style="3" customWidth="1"/>
    <col min="3027" max="3027" width="20.140625" style="3" customWidth="1"/>
    <col min="3028" max="3028" width="3.28515625" style="3" customWidth="1"/>
    <col min="3029" max="3033" width="11" style="3"/>
    <col min="3034" max="3046" width="4.7109375" style="3" customWidth="1"/>
    <col min="3047" max="3256" width="11" style="3"/>
    <col min="3257" max="3257" width="0.7109375" style="3" customWidth="1"/>
    <col min="3258" max="3258" width="6.5703125" style="3" customWidth="1"/>
    <col min="3259" max="3259" width="13.5703125" style="3" customWidth="1"/>
    <col min="3260" max="3260" width="13.42578125" style="3" customWidth="1"/>
    <col min="3261" max="3262" width="12.5703125" style="3" customWidth="1"/>
    <col min="3263" max="3263" width="14.85546875" style="3" customWidth="1"/>
    <col min="3264" max="3264" width="20.7109375" style="3" customWidth="1"/>
    <col min="3265" max="3265" width="12.5703125" style="3" customWidth="1"/>
    <col min="3266" max="3266" width="13" style="3" customWidth="1"/>
    <col min="3267" max="3267" width="16" style="3" customWidth="1"/>
    <col min="3268" max="3268" width="6.42578125" style="3" customWidth="1"/>
    <col min="3269" max="3269" width="16" style="3" customWidth="1"/>
    <col min="3270" max="3270" width="2.85546875" style="3" customWidth="1"/>
    <col min="3271" max="3271" width="0.85546875" style="3" customWidth="1"/>
    <col min="3272" max="3272" width="11" style="3"/>
    <col min="3273" max="3273" width="15.42578125" style="3" customWidth="1"/>
    <col min="3274" max="3276" width="14.85546875" style="3" customWidth="1"/>
    <col min="3277" max="3277" width="0.7109375" style="3" customWidth="1"/>
    <col min="3278" max="3278" width="11" style="3"/>
    <col min="3279" max="3279" width="15.7109375" style="3" customWidth="1"/>
    <col min="3280" max="3281" width="14.85546875" style="3" customWidth="1"/>
    <col min="3282" max="3282" width="3.28515625" style="3" customWidth="1"/>
    <col min="3283" max="3283" width="20.140625" style="3" customWidth="1"/>
    <col min="3284" max="3284" width="3.28515625" style="3" customWidth="1"/>
    <col min="3285" max="3289" width="11" style="3"/>
    <col min="3290" max="3302" width="4.7109375" style="3" customWidth="1"/>
    <col min="3303" max="3512" width="11" style="3"/>
    <col min="3513" max="3513" width="0.7109375" style="3" customWidth="1"/>
    <col min="3514" max="3514" width="6.5703125" style="3" customWidth="1"/>
    <col min="3515" max="3515" width="13.5703125" style="3" customWidth="1"/>
    <col min="3516" max="3516" width="13.42578125" style="3" customWidth="1"/>
    <col min="3517" max="3518" width="12.5703125" style="3" customWidth="1"/>
    <col min="3519" max="3519" width="14.85546875" style="3" customWidth="1"/>
    <col min="3520" max="3520" width="20.7109375" style="3" customWidth="1"/>
    <col min="3521" max="3521" width="12.5703125" style="3" customWidth="1"/>
    <col min="3522" max="3522" width="13" style="3" customWidth="1"/>
    <col min="3523" max="3523" width="16" style="3" customWidth="1"/>
    <col min="3524" max="3524" width="6.42578125" style="3" customWidth="1"/>
    <col min="3525" max="3525" width="16" style="3" customWidth="1"/>
    <col min="3526" max="3526" width="2.85546875" style="3" customWidth="1"/>
    <col min="3527" max="3527" width="0.85546875" style="3" customWidth="1"/>
    <col min="3528" max="3528" width="11" style="3"/>
    <col min="3529" max="3529" width="15.42578125" style="3" customWidth="1"/>
    <col min="3530" max="3532" width="14.85546875" style="3" customWidth="1"/>
    <col min="3533" max="3533" width="0.7109375" style="3" customWidth="1"/>
    <col min="3534" max="3534" width="11" style="3"/>
    <col min="3535" max="3535" width="15.7109375" style="3" customWidth="1"/>
    <col min="3536" max="3537" width="14.85546875" style="3" customWidth="1"/>
    <col min="3538" max="3538" width="3.28515625" style="3" customWidth="1"/>
    <col min="3539" max="3539" width="20.140625" style="3" customWidth="1"/>
    <col min="3540" max="3540" width="3.28515625" style="3" customWidth="1"/>
    <col min="3541" max="3545" width="11" style="3"/>
    <col min="3546" max="3558" width="4.7109375" style="3" customWidth="1"/>
    <col min="3559" max="3768" width="11" style="3"/>
    <col min="3769" max="3769" width="0.7109375" style="3" customWidth="1"/>
    <col min="3770" max="3770" width="6.5703125" style="3" customWidth="1"/>
    <col min="3771" max="3771" width="13.5703125" style="3" customWidth="1"/>
    <col min="3772" max="3772" width="13.42578125" style="3" customWidth="1"/>
    <col min="3773" max="3774" width="12.5703125" style="3" customWidth="1"/>
    <col min="3775" max="3775" width="14.85546875" style="3" customWidth="1"/>
    <col min="3776" max="3776" width="20.7109375" style="3" customWidth="1"/>
    <col min="3777" max="3777" width="12.5703125" style="3" customWidth="1"/>
    <col min="3778" max="3778" width="13" style="3" customWidth="1"/>
    <col min="3779" max="3779" width="16" style="3" customWidth="1"/>
    <col min="3780" max="3780" width="6.42578125" style="3" customWidth="1"/>
    <col min="3781" max="3781" width="16" style="3" customWidth="1"/>
    <col min="3782" max="3782" width="2.85546875" style="3" customWidth="1"/>
    <col min="3783" max="3783" width="0.85546875" style="3" customWidth="1"/>
    <col min="3784" max="3784" width="11" style="3"/>
    <col min="3785" max="3785" width="15.42578125" style="3" customWidth="1"/>
    <col min="3786" max="3788" width="14.85546875" style="3" customWidth="1"/>
    <col min="3789" max="3789" width="0.7109375" style="3" customWidth="1"/>
    <col min="3790" max="3790" width="11" style="3"/>
    <col min="3791" max="3791" width="15.7109375" style="3" customWidth="1"/>
    <col min="3792" max="3793" width="14.85546875" style="3" customWidth="1"/>
    <col min="3794" max="3794" width="3.28515625" style="3" customWidth="1"/>
    <col min="3795" max="3795" width="20.140625" style="3" customWidth="1"/>
    <col min="3796" max="3796" width="3.28515625" style="3" customWidth="1"/>
    <col min="3797" max="3801" width="11" style="3"/>
    <col min="3802" max="3814" width="4.7109375" style="3" customWidth="1"/>
    <col min="3815" max="4024" width="11" style="3"/>
    <col min="4025" max="4025" width="0.7109375" style="3" customWidth="1"/>
    <col min="4026" max="4026" width="6.5703125" style="3" customWidth="1"/>
    <col min="4027" max="4027" width="13.5703125" style="3" customWidth="1"/>
    <col min="4028" max="4028" width="13.42578125" style="3" customWidth="1"/>
    <col min="4029" max="4030" width="12.5703125" style="3" customWidth="1"/>
    <col min="4031" max="4031" width="14.85546875" style="3" customWidth="1"/>
    <col min="4032" max="4032" width="20.7109375" style="3" customWidth="1"/>
    <col min="4033" max="4033" width="12.5703125" style="3" customWidth="1"/>
    <col min="4034" max="4034" width="13" style="3" customWidth="1"/>
    <col min="4035" max="4035" width="16" style="3" customWidth="1"/>
    <col min="4036" max="4036" width="6.42578125" style="3" customWidth="1"/>
    <col min="4037" max="4037" width="16" style="3" customWidth="1"/>
    <col min="4038" max="4038" width="2.85546875" style="3" customWidth="1"/>
    <col min="4039" max="4039" width="0.85546875" style="3" customWidth="1"/>
    <col min="4040" max="4040" width="11" style="3"/>
    <col min="4041" max="4041" width="15.42578125" style="3" customWidth="1"/>
    <col min="4042" max="4044" width="14.85546875" style="3" customWidth="1"/>
    <col min="4045" max="4045" width="0.7109375" style="3" customWidth="1"/>
    <col min="4046" max="4046" width="11" style="3"/>
    <col min="4047" max="4047" width="15.7109375" style="3" customWidth="1"/>
    <col min="4048" max="4049" width="14.85546875" style="3" customWidth="1"/>
    <col min="4050" max="4050" width="3.28515625" style="3" customWidth="1"/>
    <col min="4051" max="4051" width="20.140625" style="3" customWidth="1"/>
    <col min="4052" max="4052" width="3.28515625" style="3" customWidth="1"/>
    <col min="4053" max="4057" width="11" style="3"/>
    <col min="4058" max="4070" width="4.7109375" style="3" customWidth="1"/>
    <col min="4071" max="4280" width="11" style="3"/>
    <col min="4281" max="4281" width="0.7109375" style="3" customWidth="1"/>
    <col min="4282" max="4282" width="6.5703125" style="3" customWidth="1"/>
    <col min="4283" max="4283" width="13.5703125" style="3" customWidth="1"/>
    <col min="4284" max="4284" width="13.42578125" style="3" customWidth="1"/>
    <col min="4285" max="4286" width="12.5703125" style="3" customWidth="1"/>
    <col min="4287" max="4287" width="14.85546875" style="3" customWidth="1"/>
    <col min="4288" max="4288" width="20.7109375" style="3" customWidth="1"/>
    <col min="4289" max="4289" width="12.5703125" style="3" customWidth="1"/>
    <col min="4290" max="4290" width="13" style="3" customWidth="1"/>
    <col min="4291" max="4291" width="16" style="3" customWidth="1"/>
    <col min="4292" max="4292" width="6.42578125" style="3" customWidth="1"/>
    <col min="4293" max="4293" width="16" style="3" customWidth="1"/>
    <col min="4294" max="4294" width="2.85546875" style="3" customWidth="1"/>
    <col min="4295" max="4295" width="0.85546875" style="3" customWidth="1"/>
    <col min="4296" max="4296" width="11" style="3"/>
    <col min="4297" max="4297" width="15.42578125" style="3" customWidth="1"/>
    <col min="4298" max="4300" width="14.85546875" style="3" customWidth="1"/>
    <col min="4301" max="4301" width="0.7109375" style="3" customWidth="1"/>
    <col min="4302" max="4302" width="11" style="3"/>
    <col min="4303" max="4303" width="15.7109375" style="3" customWidth="1"/>
    <col min="4304" max="4305" width="14.85546875" style="3" customWidth="1"/>
    <col min="4306" max="4306" width="3.28515625" style="3" customWidth="1"/>
    <col min="4307" max="4307" width="20.140625" style="3" customWidth="1"/>
    <col min="4308" max="4308" width="3.28515625" style="3" customWidth="1"/>
    <col min="4309" max="4313" width="11" style="3"/>
    <col min="4314" max="4326" width="4.7109375" style="3" customWidth="1"/>
    <col min="4327" max="4536" width="11" style="3"/>
    <col min="4537" max="4537" width="0.7109375" style="3" customWidth="1"/>
    <col min="4538" max="4538" width="6.5703125" style="3" customWidth="1"/>
    <col min="4539" max="4539" width="13.5703125" style="3" customWidth="1"/>
    <col min="4540" max="4540" width="13.42578125" style="3" customWidth="1"/>
    <col min="4541" max="4542" width="12.5703125" style="3" customWidth="1"/>
    <col min="4543" max="4543" width="14.85546875" style="3" customWidth="1"/>
    <col min="4544" max="4544" width="20.7109375" style="3" customWidth="1"/>
    <col min="4545" max="4545" width="12.5703125" style="3" customWidth="1"/>
    <col min="4546" max="4546" width="13" style="3" customWidth="1"/>
    <col min="4547" max="4547" width="16" style="3" customWidth="1"/>
    <col min="4548" max="4548" width="6.42578125" style="3" customWidth="1"/>
    <col min="4549" max="4549" width="16" style="3" customWidth="1"/>
    <col min="4550" max="4550" width="2.85546875" style="3" customWidth="1"/>
    <col min="4551" max="4551" width="0.85546875" style="3" customWidth="1"/>
    <col min="4552" max="4552" width="11" style="3"/>
    <col min="4553" max="4553" width="15.42578125" style="3" customWidth="1"/>
    <col min="4554" max="4556" width="14.85546875" style="3" customWidth="1"/>
    <col min="4557" max="4557" width="0.7109375" style="3" customWidth="1"/>
    <col min="4558" max="4558" width="11" style="3"/>
    <col min="4559" max="4559" width="15.7109375" style="3" customWidth="1"/>
    <col min="4560" max="4561" width="14.85546875" style="3" customWidth="1"/>
    <col min="4562" max="4562" width="3.28515625" style="3" customWidth="1"/>
    <col min="4563" max="4563" width="20.140625" style="3" customWidth="1"/>
    <col min="4564" max="4564" width="3.28515625" style="3" customWidth="1"/>
    <col min="4565" max="4569" width="11" style="3"/>
    <col min="4570" max="4582" width="4.7109375" style="3" customWidth="1"/>
    <col min="4583" max="4792" width="11" style="3"/>
    <col min="4793" max="4793" width="0.7109375" style="3" customWidth="1"/>
    <col min="4794" max="4794" width="6.5703125" style="3" customWidth="1"/>
    <col min="4795" max="4795" width="13.5703125" style="3" customWidth="1"/>
    <col min="4796" max="4796" width="13.42578125" style="3" customWidth="1"/>
    <col min="4797" max="4798" width="12.5703125" style="3" customWidth="1"/>
    <col min="4799" max="4799" width="14.85546875" style="3" customWidth="1"/>
    <col min="4800" max="4800" width="20.7109375" style="3" customWidth="1"/>
    <col min="4801" max="4801" width="12.5703125" style="3" customWidth="1"/>
    <col min="4802" max="4802" width="13" style="3" customWidth="1"/>
    <col min="4803" max="4803" width="16" style="3" customWidth="1"/>
    <col min="4804" max="4804" width="6.42578125" style="3" customWidth="1"/>
    <col min="4805" max="4805" width="16" style="3" customWidth="1"/>
    <col min="4806" max="4806" width="2.85546875" style="3" customWidth="1"/>
    <col min="4807" max="4807" width="0.85546875" style="3" customWidth="1"/>
    <col min="4808" max="4808" width="11" style="3"/>
    <col min="4809" max="4809" width="15.42578125" style="3" customWidth="1"/>
    <col min="4810" max="4812" width="14.85546875" style="3" customWidth="1"/>
    <col min="4813" max="4813" width="0.7109375" style="3" customWidth="1"/>
    <col min="4814" max="4814" width="11" style="3"/>
    <col min="4815" max="4815" width="15.7109375" style="3" customWidth="1"/>
    <col min="4816" max="4817" width="14.85546875" style="3" customWidth="1"/>
    <col min="4818" max="4818" width="3.28515625" style="3" customWidth="1"/>
    <col min="4819" max="4819" width="20.140625" style="3" customWidth="1"/>
    <col min="4820" max="4820" width="3.28515625" style="3" customWidth="1"/>
    <col min="4821" max="4825" width="11" style="3"/>
    <col min="4826" max="4838" width="4.7109375" style="3" customWidth="1"/>
    <col min="4839" max="5048" width="11" style="3"/>
    <col min="5049" max="5049" width="0.7109375" style="3" customWidth="1"/>
    <col min="5050" max="5050" width="6.5703125" style="3" customWidth="1"/>
    <col min="5051" max="5051" width="13.5703125" style="3" customWidth="1"/>
    <col min="5052" max="5052" width="13.42578125" style="3" customWidth="1"/>
    <col min="5053" max="5054" width="12.5703125" style="3" customWidth="1"/>
    <col min="5055" max="5055" width="14.85546875" style="3" customWidth="1"/>
    <col min="5056" max="5056" width="20.7109375" style="3" customWidth="1"/>
    <col min="5057" max="5057" width="12.5703125" style="3" customWidth="1"/>
    <col min="5058" max="5058" width="13" style="3" customWidth="1"/>
    <col min="5059" max="5059" width="16" style="3" customWidth="1"/>
    <col min="5060" max="5060" width="6.42578125" style="3" customWidth="1"/>
    <col min="5061" max="5061" width="16" style="3" customWidth="1"/>
    <col min="5062" max="5062" width="2.85546875" style="3" customWidth="1"/>
    <col min="5063" max="5063" width="0.85546875" style="3" customWidth="1"/>
    <col min="5064" max="5064" width="11" style="3"/>
    <col min="5065" max="5065" width="15.42578125" style="3" customWidth="1"/>
    <col min="5066" max="5068" width="14.85546875" style="3" customWidth="1"/>
    <col min="5069" max="5069" width="0.7109375" style="3" customWidth="1"/>
    <col min="5070" max="5070" width="11" style="3"/>
    <col min="5071" max="5071" width="15.7109375" style="3" customWidth="1"/>
    <col min="5072" max="5073" width="14.85546875" style="3" customWidth="1"/>
    <col min="5074" max="5074" width="3.28515625" style="3" customWidth="1"/>
    <col min="5075" max="5075" width="20.140625" style="3" customWidth="1"/>
    <col min="5076" max="5076" width="3.28515625" style="3" customWidth="1"/>
    <col min="5077" max="5081" width="11" style="3"/>
    <col min="5082" max="5094" width="4.7109375" style="3" customWidth="1"/>
    <col min="5095" max="5304" width="11" style="3"/>
    <col min="5305" max="5305" width="0.7109375" style="3" customWidth="1"/>
    <col min="5306" max="5306" width="6.5703125" style="3" customWidth="1"/>
    <col min="5307" max="5307" width="13.5703125" style="3" customWidth="1"/>
    <col min="5308" max="5308" width="13.42578125" style="3" customWidth="1"/>
    <col min="5309" max="5310" width="12.5703125" style="3" customWidth="1"/>
    <col min="5311" max="5311" width="14.85546875" style="3" customWidth="1"/>
    <col min="5312" max="5312" width="20.7109375" style="3" customWidth="1"/>
    <col min="5313" max="5313" width="12.5703125" style="3" customWidth="1"/>
    <col min="5314" max="5314" width="13" style="3" customWidth="1"/>
    <col min="5315" max="5315" width="16" style="3" customWidth="1"/>
    <col min="5316" max="5316" width="6.42578125" style="3" customWidth="1"/>
    <col min="5317" max="5317" width="16" style="3" customWidth="1"/>
    <col min="5318" max="5318" width="2.85546875" style="3" customWidth="1"/>
    <col min="5319" max="5319" width="0.85546875" style="3" customWidth="1"/>
    <col min="5320" max="5320" width="11" style="3"/>
    <col min="5321" max="5321" width="15.42578125" style="3" customWidth="1"/>
    <col min="5322" max="5324" width="14.85546875" style="3" customWidth="1"/>
    <col min="5325" max="5325" width="0.7109375" style="3" customWidth="1"/>
    <col min="5326" max="5326" width="11" style="3"/>
    <col min="5327" max="5327" width="15.7109375" style="3" customWidth="1"/>
    <col min="5328" max="5329" width="14.85546875" style="3" customWidth="1"/>
    <col min="5330" max="5330" width="3.28515625" style="3" customWidth="1"/>
    <col min="5331" max="5331" width="20.140625" style="3" customWidth="1"/>
    <col min="5332" max="5332" width="3.28515625" style="3" customWidth="1"/>
    <col min="5333" max="5337" width="11" style="3"/>
    <col min="5338" max="5350" width="4.7109375" style="3" customWidth="1"/>
    <col min="5351" max="5560" width="11" style="3"/>
    <col min="5561" max="5561" width="0.7109375" style="3" customWidth="1"/>
    <col min="5562" max="5562" width="6.5703125" style="3" customWidth="1"/>
    <col min="5563" max="5563" width="13.5703125" style="3" customWidth="1"/>
    <col min="5564" max="5564" width="13.42578125" style="3" customWidth="1"/>
    <col min="5565" max="5566" width="12.5703125" style="3" customWidth="1"/>
    <col min="5567" max="5567" width="14.85546875" style="3" customWidth="1"/>
    <col min="5568" max="5568" width="20.7109375" style="3" customWidth="1"/>
    <col min="5569" max="5569" width="12.5703125" style="3" customWidth="1"/>
    <col min="5570" max="5570" width="13" style="3" customWidth="1"/>
    <col min="5571" max="5571" width="16" style="3" customWidth="1"/>
    <col min="5572" max="5572" width="6.42578125" style="3" customWidth="1"/>
    <col min="5573" max="5573" width="16" style="3" customWidth="1"/>
    <col min="5574" max="5574" width="2.85546875" style="3" customWidth="1"/>
    <col min="5575" max="5575" width="0.85546875" style="3" customWidth="1"/>
    <col min="5576" max="5576" width="11" style="3"/>
    <col min="5577" max="5577" width="15.42578125" style="3" customWidth="1"/>
    <col min="5578" max="5580" width="14.85546875" style="3" customWidth="1"/>
    <col min="5581" max="5581" width="0.7109375" style="3" customWidth="1"/>
    <col min="5582" max="5582" width="11" style="3"/>
    <col min="5583" max="5583" width="15.7109375" style="3" customWidth="1"/>
    <col min="5584" max="5585" width="14.85546875" style="3" customWidth="1"/>
    <col min="5586" max="5586" width="3.28515625" style="3" customWidth="1"/>
    <col min="5587" max="5587" width="20.140625" style="3" customWidth="1"/>
    <col min="5588" max="5588" width="3.28515625" style="3" customWidth="1"/>
    <col min="5589" max="5593" width="11" style="3"/>
    <col min="5594" max="5606" width="4.7109375" style="3" customWidth="1"/>
    <col min="5607" max="5816" width="11" style="3"/>
    <col min="5817" max="5817" width="0.7109375" style="3" customWidth="1"/>
    <col min="5818" max="5818" width="6.5703125" style="3" customWidth="1"/>
    <col min="5819" max="5819" width="13.5703125" style="3" customWidth="1"/>
    <col min="5820" max="5820" width="13.42578125" style="3" customWidth="1"/>
    <col min="5821" max="5822" width="12.5703125" style="3" customWidth="1"/>
    <col min="5823" max="5823" width="14.85546875" style="3" customWidth="1"/>
    <col min="5824" max="5824" width="20.7109375" style="3" customWidth="1"/>
    <col min="5825" max="5825" width="12.5703125" style="3" customWidth="1"/>
    <col min="5826" max="5826" width="13" style="3" customWidth="1"/>
    <col min="5827" max="5827" width="16" style="3" customWidth="1"/>
    <col min="5828" max="5828" width="6.42578125" style="3" customWidth="1"/>
    <col min="5829" max="5829" width="16" style="3" customWidth="1"/>
    <col min="5830" max="5830" width="2.85546875" style="3" customWidth="1"/>
    <col min="5831" max="5831" width="0.85546875" style="3" customWidth="1"/>
    <col min="5832" max="5832" width="11" style="3"/>
    <col min="5833" max="5833" width="15.42578125" style="3" customWidth="1"/>
    <col min="5834" max="5836" width="14.85546875" style="3" customWidth="1"/>
    <col min="5837" max="5837" width="0.7109375" style="3" customWidth="1"/>
    <col min="5838" max="5838" width="11" style="3"/>
    <col min="5839" max="5839" width="15.7109375" style="3" customWidth="1"/>
    <col min="5840" max="5841" width="14.85546875" style="3" customWidth="1"/>
    <col min="5842" max="5842" width="3.28515625" style="3" customWidth="1"/>
    <col min="5843" max="5843" width="20.140625" style="3" customWidth="1"/>
    <col min="5844" max="5844" width="3.28515625" style="3" customWidth="1"/>
    <col min="5845" max="5849" width="11" style="3"/>
    <col min="5850" max="5862" width="4.7109375" style="3" customWidth="1"/>
    <col min="5863" max="6072" width="11" style="3"/>
    <col min="6073" max="6073" width="0.7109375" style="3" customWidth="1"/>
    <col min="6074" max="6074" width="6.5703125" style="3" customWidth="1"/>
    <col min="6075" max="6075" width="13.5703125" style="3" customWidth="1"/>
    <col min="6076" max="6076" width="13.42578125" style="3" customWidth="1"/>
    <col min="6077" max="6078" width="12.5703125" style="3" customWidth="1"/>
    <col min="6079" max="6079" width="14.85546875" style="3" customWidth="1"/>
    <col min="6080" max="6080" width="20.7109375" style="3" customWidth="1"/>
    <col min="6081" max="6081" width="12.5703125" style="3" customWidth="1"/>
    <col min="6082" max="6082" width="13" style="3" customWidth="1"/>
    <col min="6083" max="6083" width="16" style="3" customWidth="1"/>
    <col min="6084" max="6084" width="6.42578125" style="3" customWidth="1"/>
    <col min="6085" max="6085" width="16" style="3" customWidth="1"/>
    <col min="6086" max="6086" width="2.85546875" style="3" customWidth="1"/>
    <col min="6087" max="6087" width="0.85546875" style="3" customWidth="1"/>
    <col min="6088" max="6088" width="11" style="3"/>
    <col min="6089" max="6089" width="15.42578125" style="3" customWidth="1"/>
    <col min="6090" max="6092" width="14.85546875" style="3" customWidth="1"/>
    <col min="6093" max="6093" width="0.7109375" style="3" customWidth="1"/>
    <col min="6094" max="6094" width="11" style="3"/>
    <col min="6095" max="6095" width="15.7109375" style="3" customWidth="1"/>
    <col min="6096" max="6097" width="14.85546875" style="3" customWidth="1"/>
    <col min="6098" max="6098" width="3.28515625" style="3" customWidth="1"/>
    <col min="6099" max="6099" width="20.140625" style="3" customWidth="1"/>
    <col min="6100" max="6100" width="3.28515625" style="3" customWidth="1"/>
    <col min="6101" max="6105" width="11" style="3"/>
    <col min="6106" max="6118" width="4.7109375" style="3" customWidth="1"/>
    <col min="6119" max="6328" width="11" style="3"/>
    <col min="6329" max="6329" width="0.7109375" style="3" customWidth="1"/>
    <col min="6330" max="6330" width="6.5703125" style="3" customWidth="1"/>
    <col min="6331" max="6331" width="13.5703125" style="3" customWidth="1"/>
    <col min="6332" max="6332" width="13.42578125" style="3" customWidth="1"/>
    <col min="6333" max="6334" width="12.5703125" style="3" customWidth="1"/>
    <col min="6335" max="6335" width="14.85546875" style="3" customWidth="1"/>
    <col min="6336" max="6336" width="20.7109375" style="3" customWidth="1"/>
    <col min="6337" max="6337" width="12.5703125" style="3" customWidth="1"/>
    <col min="6338" max="6338" width="13" style="3" customWidth="1"/>
    <col min="6339" max="6339" width="16" style="3" customWidth="1"/>
    <col min="6340" max="6340" width="6.42578125" style="3" customWidth="1"/>
    <col min="6341" max="6341" width="16" style="3" customWidth="1"/>
    <col min="6342" max="6342" width="2.85546875" style="3" customWidth="1"/>
    <col min="6343" max="6343" width="0.85546875" style="3" customWidth="1"/>
    <col min="6344" max="6344" width="11" style="3"/>
    <col min="6345" max="6345" width="15.42578125" style="3" customWidth="1"/>
    <col min="6346" max="6348" width="14.85546875" style="3" customWidth="1"/>
    <col min="6349" max="6349" width="0.7109375" style="3" customWidth="1"/>
    <col min="6350" max="6350" width="11" style="3"/>
    <col min="6351" max="6351" width="15.7109375" style="3" customWidth="1"/>
    <col min="6352" max="6353" width="14.85546875" style="3" customWidth="1"/>
    <col min="6354" max="6354" width="3.28515625" style="3" customWidth="1"/>
    <col min="6355" max="6355" width="20.140625" style="3" customWidth="1"/>
    <col min="6356" max="6356" width="3.28515625" style="3" customWidth="1"/>
    <col min="6357" max="6361" width="11" style="3"/>
    <col min="6362" max="6374" width="4.7109375" style="3" customWidth="1"/>
    <col min="6375" max="6584" width="11" style="3"/>
    <col min="6585" max="6585" width="0.7109375" style="3" customWidth="1"/>
    <col min="6586" max="6586" width="6.5703125" style="3" customWidth="1"/>
    <col min="6587" max="6587" width="13.5703125" style="3" customWidth="1"/>
    <col min="6588" max="6588" width="13.42578125" style="3" customWidth="1"/>
    <col min="6589" max="6590" width="12.5703125" style="3" customWidth="1"/>
    <col min="6591" max="6591" width="14.85546875" style="3" customWidth="1"/>
    <col min="6592" max="6592" width="20.7109375" style="3" customWidth="1"/>
    <col min="6593" max="6593" width="12.5703125" style="3" customWidth="1"/>
    <col min="6594" max="6594" width="13" style="3" customWidth="1"/>
    <col min="6595" max="6595" width="16" style="3" customWidth="1"/>
    <col min="6596" max="6596" width="6.42578125" style="3" customWidth="1"/>
    <col min="6597" max="6597" width="16" style="3" customWidth="1"/>
    <col min="6598" max="6598" width="2.85546875" style="3" customWidth="1"/>
    <col min="6599" max="6599" width="0.85546875" style="3" customWidth="1"/>
    <col min="6600" max="6600" width="11" style="3"/>
    <col min="6601" max="6601" width="15.42578125" style="3" customWidth="1"/>
    <col min="6602" max="6604" width="14.85546875" style="3" customWidth="1"/>
    <col min="6605" max="6605" width="0.7109375" style="3" customWidth="1"/>
    <col min="6606" max="6606" width="11" style="3"/>
    <col min="6607" max="6607" width="15.7109375" style="3" customWidth="1"/>
    <col min="6608" max="6609" width="14.85546875" style="3" customWidth="1"/>
    <col min="6610" max="6610" width="3.28515625" style="3" customWidth="1"/>
    <col min="6611" max="6611" width="20.140625" style="3" customWidth="1"/>
    <col min="6612" max="6612" width="3.28515625" style="3" customWidth="1"/>
    <col min="6613" max="6617" width="11" style="3"/>
    <col min="6618" max="6630" width="4.7109375" style="3" customWidth="1"/>
    <col min="6631" max="6840" width="11" style="3"/>
    <col min="6841" max="6841" width="0.7109375" style="3" customWidth="1"/>
    <col min="6842" max="6842" width="6.5703125" style="3" customWidth="1"/>
    <col min="6843" max="6843" width="13.5703125" style="3" customWidth="1"/>
    <col min="6844" max="6844" width="13.42578125" style="3" customWidth="1"/>
    <col min="6845" max="6846" width="12.5703125" style="3" customWidth="1"/>
    <col min="6847" max="6847" width="14.85546875" style="3" customWidth="1"/>
    <col min="6848" max="6848" width="20.7109375" style="3" customWidth="1"/>
    <col min="6849" max="6849" width="12.5703125" style="3" customWidth="1"/>
    <col min="6850" max="6850" width="13" style="3" customWidth="1"/>
    <col min="6851" max="6851" width="16" style="3" customWidth="1"/>
    <col min="6852" max="6852" width="6.42578125" style="3" customWidth="1"/>
    <col min="6853" max="6853" width="16" style="3" customWidth="1"/>
    <col min="6854" max="6854" width="2.85546875" style="3" customWidth="1"/>
    <col min="6855" max="6855" width="0.85546875" style="3" customWidth="1"/>
    <col min="6856" max="6856" width="11" style="3"/>
    <col min="6857" max="6857" width="15.42578125" style="3" customWidth="1"/>
    <col min="6858" max="6860" width="14.85546875" style="3" customWidth="1"/>
    <col min="6861" max="6861" width="0.7109375" style="3" customWidth="1"/>
    <col min="6862" max="6862" width="11" style="3"/>
    <col min="6863" max="6863" width="15.7109375" style="3" customWidth="1"/>
    <col min="6864" max="6865" width="14.85546875" style="3" customWidth="1"/>
    <col min="6866" max="6866" width="3.28515625" style="3" customWidth="1"/>
    <col min="6867" max="6867" width="20.140625" style="3" customWidth="1"/>
    <col min="6868" max="6868" width="3.28515625" style="3" customWidth="1"/>
    <col min="6869" max="6873" width="11" style="3"/>
    <col min="6874" max="6886" width="4.7109375" style="3" customWidth="1"/>
    <col min="6887" max="7096" width="11" style="3"/>
    <col min="7097" max="7097" width="0.7109375" style="3" customWidth="1"/>
    <col min="7098" max="7098" width="6.5703125" style="3" customWidth="1"/>
    <col min="7099" max="7099" width="13.5703125" style="3" customWidth="1"/>
    <col min="7100" max="7100" width="13.42578125" style="3" customWidth="1"/>
    <col min="7101" max="7102" width="12.5703125" style="3" customWidth="1"/>
    <col min="7103" max="7103" width="14.85546875" style="3" customWidth="1"/>
    <col min="7104" max="7104" width="20.7109375" style="3" customWidth="1"/>
    <col min="7105" max="7105" width="12.5703125" style="3" customWidth="1"/>
    <col min="7106" max="7106" width="13" style="3" customWidth="1"/>
    <col min="7107" max="7107" width="16" style="3" customWidth="1"/>
    <col min="7108" max="7108" width="6.42578125" style="3" customWidth="1"/>
    <col min="7109" max="7109" width="16" style="3" customWidth="1"/>
    <col min="7110" max="7110" width="2.85546875" style="3" customWidth="1"/>
    <col min="7111" max="7111" width="0.85546875" style="3" customWidth="1"/>
    <col min="7112" max="7112" width="11" style="3"/>
    <col min="7113" max="7113" width="15.42578125" style="3" customWidth="1"/>
    <col min="7114" max="7116" width="14.85546875" style="3" customWidth="1"/>
    <col min="7117" max="7117" width="0.7109375" style="3" customWidth="1"/>
    <col min="7118" max="7118" width="11" style="3"/>
    <col min="7119" max="7119" width="15.7109375" style="3" customWidth="1"/>
    <col min="7120" max="7121" width="14.85546875" style="3" customWidth="1"/>
    <col min="7122" max="7122" width="3.28515625" style="3" customWidth="1"/>
    <col min="7123" max="7123" width="20.140625" style="3" customWidth="1"/>
    <col min="7124" max="7124" width="3.28515625" style="3" customWidth="1"/>
    <col min="7125" max="7129" width="11" style="3"/>
    <col min="7130" max="7142" width="4.7109375" style="3" customWidth="1"/>
    <col min="7143" max="7352" width="11" style="3"/>
    <col min="7353" max="7353" width="0.7109375" style="3" customWidth="1"/>
    <col min="7354" max="7354" width="6.5703125" style="3" customWidth="1"/>
    <col min="7355" max="7355" width="13.5703125" style="3" customWidth="1"/>
    <col min="7356" max="7356" width="13.42578125" style="3" customWidth="1"/>
    <col min="7357" max="7358" width="12.5703125" style="3" customWidth="1"/>
    <col min="7359" max="7359" width="14.85546875" style="3" customWidth="1"/>
    <col min="7360" max="7360" width="20.7109375" style="3" customWidth="1"/>
    <col min="7361" max="7361" width="12.5703125" style="3" customWidth="1"/>
    <col min="7362" max="7362" width="13" style="3" customWidth="1"/>
    <col min="7363" max="7363" width="16" style="3" customWidth="1"/>
    <col min="7364" max="7364" width="6.42578125" style="3" customWidth="1"/>
    <col min="7365" max="7365" width="16" style="3" customWidth="1"/>
    <col min="7366" max="7366" width="2.85546875" style="3" customWidth="1"/>
    <col min="7367" max="7367" width="0.85546875" style="3" customWidth="1"/>
    <col min="7368" max="7368" width="11" style="3"/>
    <col min="7369" max="7369" width="15.42578125" style="3" customWidth="1"/>
    <col min="7370" max="7372" width="14.85546875" style="3" customWidth="1"/>
    <col min="7373" max="7373" width="0.7109375" style="3" customWidth="1"/>
    <col min="7374" max="7374" width="11" style="3"/>
    <col min="7375" max="7375" width="15.7109375" style="3" customWidth="1"/>
    <col min="7376" max="7377" width="14.85546875" style="3" customWidth="1"/>
    <col min="7378" max="7378" width="3.28515625" style="3" customWidth="1"/>
    <col min="7379" max="7379" width="20.140625" style="3" customWidth="1"/>
    <col min="7380" max="7380" width="3.28515625" style="3" customWidth="1"/>
    <col min="7381" max="7385" width="11" style="3"/>
    <col min="7386" max="7398" width="4.7109375" style="3" customWidth="1"/>
    <col min="7399" max="7608" width="11" style="3"/>
    <col min="7609" max="7609" width="0.7109375" style="3" customWidth="1"/>
    <col min="7610" max="7610" width="6.5703125" style="3" customWidth="1"/>
    <col min="7611" max="7611" width="13.5703125" style="3" customWidth="1"/>
    <col min="7612" max="7612" width="13.42578125" style="3" customWidth="1"/>
    <col min="7613" max="7614" width="12.5703125" style="3" customWidth="1"/>
    <col min="7615" max="7615" width="14.85546875" style="3" customWidth="1"/>
    <col min="7616" max="7616" width="20.7109375" style="3" customWidth="1"/>
    <col min="7617" max="7617" width="12.5703125" style="3" customWidth="1"/>
    <col min="7618" max="7618" width="13" style="3" customWidth="1"/>
    <col min="7619" max="7619" width="16" style="3" customWidth="1"/>
    <col min="7620" max="7620" width="6.42578125" style="3" customWidth="1"/>
    <col min="7621" max="7621" width="16" style="3" customWidth="1"/>
    <col min="7622" max="7622" width="2.85546875" style="3" customWidth="1"/>
    <col min="7623" max="7623" width="0.85546875" style="3" customWidth="1"/>
    <col min="7624" max="7624" width="11" style="3"/>
    <col min="7625" max="7625" width="15.42578125" style="3" customWidth="1"/>
    <col min="7626" max="7628" width="14.85546875" style="3" customWidth="1"/>
    <col min="7629" max="7629" width="0.7109375" style="3" customWidth="1"/>
    <col min="7630" max="7630" width="11" style="3"/>
    <col min="7631" max="7631" width="15.7109375" style="3" customWidth="1"/>
    <col min="7632" max="7633" width="14.85546875" style="3" customWidth="1"/>
    <col min="7634" max="7634" width="3.28515625" style="3" customWidth="1"/>
    <col min="7635" max="7635" width="20.140625" style="3" customWidth="1"/>
    <col min="7636" max="7636" width="3.28515625" style="3" customWidth="1"/>
    <col min="7637" max="7641" width="11" style="3"/>
    <col min="7642" max="7654" width="4.7109375" style="3" customWidth="1"/>
    <col min="7655" max="7864" width="11" style="3"/>
    <col min="7865" max="7865" width="0.7109375" style="3" customWidth="1"/>
    <col min="7866" max="7866" width="6.5703125" style="3" customWidth="1"/>
    <col min="7867" max="7867" width="13.5703125" style="3" customWidth="1"/>
    <col min="7868" max="7868" width="13.42578125" style="3" customWidth="1"/>
    <col min="7869" max="7870" width="12.5703125" style="3" customWidth="1"/>
    <col min="7871" max="7871" width="14.85546875" style="3" customWidth="1"/>
    <col min="7872" max="7872" width="20.7109375" style="3" customWidth="1"/>
    <col min="7873" max="7873" width="12.5703125" style="3" customWidth="1"/>
    <col min="7874" max="7874" width="13" style="3" customWidth="1"/>
    <col min="7875" max="7875" width="16" style="3" customWidth="1"/>
    <col min="7876" max="7876" width="6.42578125" style="3" customWidth="1"/>
    <col min="7877" max="7877" width="16" style="3" customWidth="1"/>
    <col min="7878" max="7878" width="2.85546875" style="3" customWidth="1"/>
    <col min="7879" max="7879" width="0.85546875" style="3" customWidth="1"/>
    <col min="7880" max="7880" width="11" style="3"/>
    <col min="7881" max="7881" width="15.42578125" style="3" customWidth="1"/>
    <col min="7882" max="7884" width="14.85546875" style="3" customWidth="1"/>
    <col min="7885" max="7885" width="0.7109375" style="3" customWidth="1"/>
    <col min="7886" max="7886" width="11" style="3"/>
    <col min="7887" max="7887" width="15.7109375" style="3" customWidth="1"/>
    <col min="7888" max="7889" width="14.85546875" style="3" customWidth="1"/>
    <col min="7890" max="7890" width="3.28515625" style="3" customWidth="1"/>
    <col min="7891" max="7891" width="20.140625" style="3" customWidth="1"/>
    <col min="7892" max="7892" width="3.28515625" style="3" customWidth="1"/>
    <col min="7893" max="7897" width="11" style="3"/>
    <col min="7898" max="7910" width="4.7109375" style="3" customWidth="1"/>
    <col min="7911" max="8120" width="11" style="3"/>
    <col min="8121" max="8121" width="0.7109375" style="3" customWidth="1"/>
    <col min="8122" max="8122" width="6.5703125" style="3" customWidth="1"/>
    <col min="8123" max="8123" width="13.5703125" style="3" customWidth="1"/>
    <col min="8124" max="8124" width="13.42578125" style="3" customWidth="1"/>
    <col min="8125" max="8126" width="12.5703125" style="3" customWidth="1"/>
    <col min="8127" max="8127" width="14.85546875" style="3" customWidth="1"/>
    <col min="8128" max="8128" width="20.7109375" style="3" customWidth="1"/>
    <col min="8129" max="8129" width="12.5703125" style="3" customWidth="1"/>
    <col min="8130" max="8130" width="13" style="3" customWidth="1"/>
    <col min="8131" max="8131" width="16" style="3" customWidth="1"/>
    <col min="8132" max="8132" width="6.42578125" style="3" customWidth="1"/>
    <col min="8133" max="8133" width="16" style="3" customWidth="1"/>
    <col min="8134" max="8134" width="2.85546875" style="3" customWidth="1"/>
    <col min="8135" max="8135" width="0.85546875" style="3" customWidth="1"/>
    <col min="8136" max="8136" width="11" style="3"/>
    <col min="8137" max="8137" width="15.42578125" style="3" customWidth="1"/>
    <col min="8138" max="8140" width="14.85546875" style="3" customWidth="1"/>
    <col min="8141" max="8141" width="0.7109375" style="3" customWidth="1"/>
    <col min="8142" max="8142" width="11" style="3"/>
    <col min="8143" max="8143" width="15.7109375" style="3" customWidth="1"/>
    <col min="8144" max="8145" width="14.85546875" style="3" customWidth="1"/>
    <col min="8146" max="8146" width="3.28515625" style="3" customWidth="1"/>
    <col min="8147" max="8147" width="20.140625" style="3" customWidth="1"/>
    <col min="8148" max="8148" width="3.28515625" style="3" customWidth="1"/>
    <col min="8149" max="8153" width="11" style="3"/>
    <col min="8154" max="8166" width="4.7109375" style="3" customWidth="1"/>
    <col min="8167" max="8376" width="11" style="3"/>
    <col min="8377" max="8377" width="0.7109375" style="3" customWidth="1"/>
    <col min="8378" max="8378" width="6.5703125" style="3" customWidth="1"/>
    <col min="8379" max="8379" width="13.5703125" style="3" customWidth="1"/>
    <col min="8380" max="8380" width="13.42578125" style="3" customWidth="1"/>
    <col min="8381" max="8382" width="12.5703125" style="3" customWidth="1"/>
    <col min="8383" max="8383" width="14.85546875" style="3" customWidth="1"/>
    <col min="8384" max="8384" width="20.7109375" style="3" customWidth="1"/>
    <col min="8385" max="8385" width="12.5703125" style="3" customWidth="1"/>
    <col min="8386" max="8386" width="13" style="3" customWidth="1"/>
    <col min="8387" max="8387" width="16" style="3" customWidth="1"/>
    <col min="8388" max="8388" width="6.42578125" style="3" customWidth="1"/>
    <col min="8389" max="8389" width="16" style="3" customWidth="1"/>
    <col min="8390" max="8390" width="2.85546875" style="3" customWidth="1"/>
    <col min="8391" max="8391" width="0.85546875" style="3" customWidth="1"/>
    <col min="8392" max="8392" width="11" style="3"/>
    <col min="8393" max="8393" width="15.42578125" style="3" customWidth="1"/>
    <col min="8394" max="8396" width="14.85546875" style="3" customWidth="1"/>
    <col min="8397" max="8397" width="0.7109375" style="3" customWidth="1"/>
    <col min="8398" max="8398" width="11" style="3"/>
    <col min="8399" max="8399" width="15.7109375" style="3" customWidth="1"/>
    <col min="8400" max="8401" width="14.85546875" style="3" customWidth="1"/>
    <col min="8402" max="8402" width="3.28515625" style="3" customWidth="1"/>
    <col min="8403" max="8403" width="20.140625" style="3" customWidth="1"/>
    <col min="8404" max="8404" width="3.28515625" style="3" customWidth="1"/>
    <col min="8405" max="8409" width="11" style="3"/>
    <col min="8410" max="8422" width="4.7109375" style="3" customWidth="1"/>
    <col min="8423" max="8632" width="11" style="3"/>
    <col min="8633" max="8633" width="0.7109375" style="3" customWidth="1"/>
    <col min="8634" max="8634" width="6.5703125" style="3" customWidth="1"/>
    <col min="8635" max="8635" width="13.5703125" style="3" customWidth="1"/>
    <col min="8636" max="8636" width="13.42578125" style="3" customWidth="1"/>
    <col min="8637" max="8638" width="12.5703125" style="3" customWidth="1"/>
    <col min="8639" max="8639" width="14.85546875" style="3" customWidth="1"/>
    <col min="8640" max="8640" width="20.7109375" style="3" customWidth="1"/>
    <col min="8641" max="8641" width="12.5703125" style="3" customWidth="1"/>
    <col min="8642" max="8642" width="13" style="3" customWidth="1"/>
    <col min="8643" max="8643" width="16" style="3" customWidth="1"/>
    <col min="8644" max="8644" width="6.42578125" style="3" customWidth="1"/>
    <col min="8645" max="8645" width="16" style="3" customWidth="1"/>
    <col min="8646" max="8646" width="2.85546875" style="3" customWidth="1"/>
    <col min="8647" max="8647" width="0.85546875" style="3" customWidth="1"/>
    <col min="8648" max="8648" width="11" style="3"/>
    <col min="8649" max="8649" width="15.42578125" style="3" customWidth="1"/>
    <col min="8650" max="8652" width="14.85546875" style="3" customWidth="1"/>
    <col min="8653" max="8653" width="0.7109375" style="3" customWidth="1"/>
    <col min="8654" max="8654" width="11" style="3"/>
    <col min="8655" max="8655" width="15.7109375" style="3" customWidth="1"/>
    <col min="8656" max="8657" width="14.85546875" style="3" customWidth="1"/>
    <col min="8658" max="8658" width="3.28515625" style="3" customWidth="1"/>
    <col min="8659" max="8659" width="20.140625" style="3" customWidth="1"/>
    <col min="8660" max="8660" width="3.28515625" style="3" customWidth="1"/>
    <col min="8661" max="8665" width="11" style="3"/>
    <col min="8666" max="8678" width="4.7109375" style="3" customWidth="1"/>
    <col min="8679" max="8888" width="11" style="3"/>
    <col min="8889" max="8889" width="0.7109375" style="3" customWidth="1"/>
    <col min="8890" max="8890" width="6.5703125" style="3" customWidth="1"/>
    <col min="8891" max="8891" width="13.5703125" style="3" customWidth="1"/>
    <col min="8892" max="8892" width="13.42578125" style="3" customWidth="1"/>
    <col min="8893" max="8894" width="12.5703125" style="3" customWidth="1"/>
    <col min="8895" max="8895" width="14.85546875" style="3" customWidth="1"/>
    <col min="8896" max="8896" width="20.7109375" style="3" customWidth="1"/>
    <col min="8897" max="8897" width="12.5703125" style="3" customWidth="1"/>
    <col min="8898" max="8898" width="13" style="3" customWidth="1"/>
    <col min="8899" max="8899" width="16" style="3" customWidth="1"/>
    <col min="8900" max="8900" width="6.42578125" style="3" customWidth="1"/>
    <col min="8901" max="8901" width="16" style="3" customWidth="1"/>
    <col min="8902" max="8902" width="2.85546875" style="3" customWidth="1"/>
    <col min="8903" max="8903" width="0.85546875" style="3" customWidth="1"/>
    <col min="8904" max="8904" width="11" style="3"/>
    <col min="8905" max="8905" width="15.42578125" style="3" customWidth="1"/>
    <col min="8906" max="8908" width="14.85546875" style="3" customWidth="1"/>
    <col min="8909" max="8909" width="0.7109375" style="3" customWidth="1"/>
    <col min="8910" max="8910" width="11" style="3"/>
    <col min="8911" max="8911" width="15.7109375" style="3" customWidth="1"/>
    <col min="8912" max="8913" width="14.85546875" style="3" customWidth="1"/>
    <col min="8914" max="8914" width="3.28515625" style="3" customWidth="1"/>
    <col min="8915" max="8915" width="20.140625" style="3" customWidth="1"/>
    <col min="8916" max="8916" width="3.28515625" style="3" customWidth="1"/>
    <col min="8917" max="8921" width="11" style="3"/>
    <col min="8922" max="8934" width="4.7109375" style="3" customWidth="1"/>
    <col min="8935" max="9144" width="11" style="3"/>
    <col min="9145" max="9145" width="0.7109375" style="3" customWidth="1"/>
    <col min="9146" max="9146" width="6.5703125" style="3" customWidth="1"/>
    <col min="9147" max="9147" width="13.5703125" style="3" customWidth="1"/>
    <col min="9148" max="9148" width="13.42578125" style="3" customWidth="1"/>
    <col min="9149" max="9150" width="12.5703125" style="3" customWidth="1"/>
    <col min="9151" max="9151" width="14.85546875" style="3" customWidth="1"/>
    <col min="9152" max="9152" width="20.7109375" style="3" customWidth="1"/>
    <col min="9153" max="9153" width="12.5703125" style="3" customWidth="1"/>
    <col min="9154" max="9154" width="13" style="3" customWidth="1"/>
    <col min="9155" max="9155" width="16" style="3" customWidth="1"/>
    <col min="9156" max="9156" width="6.42578125" style="3" customWidth="1"/>
    <col min="9157" max="9157" width="16" style="3" customWidth="1"/>
    <col min="9158" max="9158" width="2.85546875" style="3" customWidth="1"/>
    <col min="9159" max="9159" width="0.85546875" style="3" customWidth="1"/>
    <col min="9160" max="9160" width="11" style="3"/>
    <col min="9161" max="9161" width="15.42578125" style="3" customWidth="1"/>
    <col min="9162" max="9164" width="14.85546875" style="3" customWidth="1"/>
    <col min="9165" max="9165" width="0.7109375" style="3" customWidth="1"/>
    <col min="9166" max="9166" width="11" style="3"/>
    <col min="9167" max="9167" width="15.7109375" style="3" customWidth="1"/>
    <col min="9168" max="9169" width="14.85546875" style="3" customWidth="1"/>
    <col min="9170" max="9170" width="3.28515625" style="3" customWidth="1"/>
    <col min="9171" max="9171" width="20.140625" style="3" customWidth="1"/>
    <col min="9172" max="9172" width="3.28515625" style="3" customWidth="1"/>
    <col min="9173" max="9177" width="11" style="3"/>
    <col min="9178" max="9190" width="4.7109375" style="3" customWidth="1"/>
    <col min="9191" max="9400" width="11" style="3"/>
    <col min="9401" max="9401" width="0.7109375" style="3" customWidth="1"/>
    <col min="9402" max="9402" width="6.5703125" style="3" customWidth="1"/>
    <col min="9403" max="9403" width="13.5703125" style="3" customWidth="1"/>
    <col min="9404" max="9404" width="13.42578125" style="3" customWidth="1"/>
    <col min="9405" max="9406" width="12.5703125" style="3" customWidth="1"/>
    <col min="9407" max="9407" width="14.85546875" style="3" customWidth="1"/>
    <col min="9408" max="9408" width="20.7109375" style="3" customWidth="1"/>
    <col min="9409" max="9409" width="12.5703125" style="3" customWidth="1"/>
    <col min="9410" max="9410" width="13" style="3" customWidth="1"/>
    <col min="9411" max="9411" width="16" style="3" customWidth="1"/>
    <col min="9412" max="9412" width="6.42578125" style="3" customWidth="1"/>
    <col min="9413" max="9413" width="16" style="3" customWidth="1"/>
    <col min="9414" max="9414" width="2.85546875" style="3" customWidth="1"/>
    <col min="9415" max="9415" width="0.85546875" style="3" customWidth="1"/>
    <col min="9416" max="9416" width="11" style="3"/>
    <col min="9417" max="9417" width="15.42578125" style="3" customWidth="1"/>
    <col min="9418" max="9420" width="14.85546875" style="3" customWidth="1"/>
    <col min="9421" max="9421" width="0.7109375" style="3" customWidth="1"/>
    <col min="9422" max="9422" width="11" style="3"/>
    <col min="9423" max="9423" width="15.7109375" style="3" customWidth="1"/>
    <col min="9424" max="9425" width="14.85546875" style="3" customWidth="1"/>
    <col min="9426" max="9426" width="3.28515625" style="3" customWidth="1"/>
    <col min="9427" max="9427" width="20.140625" style="3" customWidth="1"/>
    <col min="9428" max="9428" width="3.28515625" style="3" customWidth="1"/>
    <col min="9429" max="9433" width="11" style="3"/>
    <col min="9434" max="9446" width="4.7109375" style="3" customWidth="1"/>
    <col min="9447" max="9656" width="11" style="3"/>
    <col min="9657" max="9657" width="0.7109375" style="3" customWidth="1"/>
    <col min="9658" max="9658" width="6.5703125" style="3" customWidth="1"/>
    <col min="9659" max="9659" width="13.5703125" style="3" customWidth="1"/>
    <col min="9660" max="9660" width="13.42578125" style="3" customWidth="1"/>
    <col min="9661" max="9662" width="12.5703125" style="3" customWidth="1"/>
    <col min="9663" max="9663" width="14.85546875" style="3" customWidth="1"/>
    <col min="9664" max="9664" width="20.7109375" style="3" customWidth="1"/>
    <col min="9665" max="9665" width="12.5703125" style="3" customWidth="1"/>
    <col min="9666" max="9666" width="13" style="3" customWidth="1"/>
    <col min="9667" max="9667" width="16" style="3" customWidth="1"/>
    <col min="9668" max="9668" width="6.42578125" style="3" customWidth="1"/>
    <col min="9669" max="9669" width="16" style="3" customWidth="1"/>
    <col min="9670" max="9670" width="2.85546875" style="3" customWidth="1"/>
    <col min="9671" max="9671" width="0.85546875" style="3" customWidth="1"/>
    <col min="9672" max="9672" width="11" style="3"/>
    <col min="9673" max="9673" width="15.42578125" style="3" customWidth="1"/>
    <col min="9674" max="9676" width="14.85546875" style="3" customWidth="1"/>
    <col min="9677" max="9677" width="0.7109375" style="3" customWidth="1"/>
    <col min="9678" max="9678" width="11" style="3"/>
    <col min="9679" max="9679" width="15.7109375" style="3" customWidth="1"/>
    <col min="9680" max="9681" width="14.85546875" style="3" customWidth="1"/>
    <col min="9682" max="9682" width="3.28515625" style="3" customWidth="1"/>
    <col min="9683" max="9683" width="20.140625" style="3" customWidth="1"/>
    <col min="9684" max="9684" width="3.28515625" style="3" customWidth="1"/>
    <col min="9685" max="9689" width="11" style="3"/>
    <col min="9690" max="9702" width="4.7109375" style="3" customWidth="1"/>
    <col min="9703" max="9912" width="11" style="3"/>
    <col min="9913" max="9913" width="0.7109375" style="3" customWidth="1"/>
    <col min="9914" max="9914" width="6.5703125" style="3" customWidth="1"/>
    <col min="9915" max="9915" width="13.5703125" style="3" customWidth="1"/>
    <col min="9916" max="9916" width="13.42578125" style="3" customWidth="1"/>
    <col min="9917" max="9918" width="12.5703125" style="3" customWidth="1"/>
    <col min="9919" max="9919" width="14.85546875" style="3" customWidth="1"/>
    <col min="9920" max="9920" width="20.7109375" style="3" customWidth="1"/>
    <col min="9921" max="9921" width="12.5703125" style="3" customWidth="1"/>
    <col min="9922" max="9922" width="13" style="3" customWidth="1"/>
    <col min="9923" max="9923" width="16" style="3" customWidth="1"/>
    <col min="9924" max="9924" width="6.42578125" style="3" customWidth="1"/>
    <col min="9925" max="9925" width="16" style="3" customWidth="1"/>
    <col min="9926" max="9926" width="2.85546875" style="3" customWidth="1"/>
    <col min="9927" max="9927" width="0.85546875" style="3" customWidth="1"/>
    <col min="9928" max="9928" width="11" style="3"/>
    <col min="9929" max="9929" width="15.42578125" style="3" customWidth="1"/>
    <col min="9930" max="9932" width="14.85546875" style="3" customWidth="1"/>
    <col min="9933" max="9933" width="0.7109375" style="3" customWidth="1"/>
    <col min="9934" max="9934" width="11" style="3"/>
    <col min="9935" max="9935" width="15.7109375" style="3" customWidth="1"/>
    <col min="9936" max="9937" width="14.85546875" style="3" customWidth="1"/>
    <col min="9938" max="9938" width="3.28515625" style="3" customWidth="1"/>
    <col min="9939" max="9939" width="20.140625" style="3" customWidth="1"/>
    <col min="9940" max="9940" width="3.28515625" style="3" customWidth="1"/>
    <col min="9941" max="9945" width="11" style="3"/>
    <col min="9946" max="9958" width="4.7109375" style="3" customWidth="1"/>
    <col min="9959" max="10168" width="11" style="3"/>
    <col min="10169" max="10169" width="0.7109375" style="3" customWidth="1"/>
    <col min="10170" max="10170" width="6.5703125" style="3" customWidth="1"/>
    <col min="10171" max="10171" width="13.5703125" style="3" customWidth="1"/>
    <col min="10172" max="10172" width="13.42578125" style="3" customWidth="1"/>
    <col min="10173" max="10174" width="12.5703125" style="3" customWidth="1"/>
    <col min="10175" max="10175" width="14.85546875" style="3" customWidth="1"/>
    <col min="10176" max="10176" width="20.7109375" style="3" customWidth="1"/>
    <col min="10177" max="10177" width="12.5703125" style="3" customWidth="1"/>
    <col min="10178" max="10178" width="13" style="3" customWidth="1"/>
    <col min="10179" max="10179" width="16" style="3" customWidth="1"/>
    <col min="10180" max="10180" width="6.42578125" style="3" customWidth="1"/>
    <col min="10181" max="10181" width="16" style="3" customWidth="1"/>
    <col min="10182" max="10182" width="2.85546875" style="3" customWidth="1"/>
    <col min="10183" max="10183" width="0.85546875" style="3" customWidth="1"/>
    <col min="10184" max="10184" width="11" style="3"/>
    <col min="10185" max="10185" width="15.42578125" style="3" customWidth="1"/>
    <col min="10186" max="10188" width="14.85546875" style="3" customWidth="1"/>
    <col min="10189" max="10189" width="0.7109375" style="3" customWidth="1"/>
    <col min="10190" max="10190" width="11" style="3"/>
    <col min="10191" max="10191" width="15.7109375" style="3" customWidth="1"/>
    <col min="10192" max="10193" width="14.85546875" style="3" customWidth="1"/>
    <col min="10194" max="10194" width="3.28515625" style="3" customWidth="1"/>
    <col min="10195" max="10195" width="20.140625" style="3" customWidth="1"/>
    <col min="10196" max="10196" width="3.28515625" style="3" customWidth="1"/>
    <col min="10197" max="10201" width="11" style="3"/>
    <col min="10202" max="10214" width="4.7109375" style="3" customWidth="1"/>
    <col min="10215" max="10424" width="11" style="3"/>
    <col min="10425" max="10425" width="0.7109375" style="3" customWidth="1"/>
    <col min="10426" max="10426" width="6.5703125" style="3" customWidth="1"/>
    <col min="10427" max="10427" width="13.5703125" style="3" customWidth="1"/>
    <col min="10428" max="10428" width="13.42578125" style="3" customWidth="1"/>
    <col min="10429" max="10430" width="12.5703125" style="3" customWidth="1"/>
    <col min="10431" max="10431" width="14.85546875" style="3" customWidth="1"/>
    <col min="10432" max="10432" width="20.7109375" style="3" customWidth="1"/>
    <col min="10433" max="10433" width="12.5703125" style="3" customWidth="1"/>
    <col min="10434" max="10434" width="13" style="3" customWidth="1"/>
    <col min="10435" max="10435" width="16" style="3" customWidth="1"/>
    <col min="10436" max="10436" width="6.42578125" style="3" customWidth="1"/>
    <col min="10437" max="10437" width="16" style="3" customWidth="1"/>
    <col min="10438" max="10438" width="2.85546875" style="3" customWidth="1"/>
    <col min="10439" max="10439" width="0.85546875" style="3" customWidth="1"/>
    <col min="10440" max="10440" width="11" style="3"/>
    <col min="10441" max="10441" width="15.42578125" style="3" customWidth="1"/>
    <col min="10442" max="10444" width="14.85546875" style="3" customWidth="1"/>
    <col min="10445" max="10445" width="0.7109375" style="3" customWidth="1"/>
    <col min="10446" max="10446" width="11" style="3"/>
    <col min="10447" max="10447" width="15.7109375" style="3" customWidth="1"/>
    <col min="10448" max="10449" width="14.85546875" style="3" customWidth="1"/>
    <col min="10450" max="10450" width="3.28515625" style="3" customWidth="1"/>
    <col min="10451" max="10451" width="20.140625" style="3" customWidth="1"/>
    <col min="10452" max="10452" width="3.28515625" style="3" customWidth="1"/>
    <col min="10453" max="10457" width="11" style="3"/>
    <col min="10458" max="10470" width="4.7109375" style="3" customWidth="1"/>
    <col min="10471" max="10680" width="11" style="3"/>
    <col min="10681" max="10681" width="0.7109375" style="3" customWidth="1"/>
    <col min="10682" max="10682" width="6.5703125" style="3" customWidth="1"/>
    <col min="10683" max="10683" width="13.5703125" style="3" customWidth="1"/>
    <col min="10684" max="10684" width="13.42578125" style="3" customWidth="1"/>
    <col min="10685" max="10686" width="12.5703125" style="3" customWidth="1"/>
    <col min="10687" max="10687" width="14.85546875" style="3" customWidth="1"/>
    <col min="10688" max="10688" width="20.7109375" style="3" customWidth="1"/>
    <col min="10689" max="10689" width="12.5703125" style="3" customWidth="1"/>
    <col min="10690" max="10690" width="13" style="3" customWidth="1"/>
    <col min="10691" max="10691" width="16" style="3" customWidth="1"/>
    <col min="10692" max="10692" width="6.42578125" style="3" customWidth="1"/>
    <col min="10693" max="10693" width="16" style="3" customWidth="1"/>
    <col min="10694" max="10694" width="2.85546875" style="3" customWidth="1"/>
    <col min="10695" max="10695" width="0.85546875" style="3" customWidth="1"/>
    <col min="10696" max="10696" width="11" style="3"/>
    <col min="10697" max="10697" width="15.42578125" style="3" customWidth="1"/>
    <col min="10698" max="10700" width="14.85546875" style="3" customWidth="1"/>
    <col min="10701" max="10701" width="0.7109375" style="3" customWidth="1"/>
    <col min="10702" max="10702" width="11" style="3"/>
    <col min="10703" max="10703" width="15.7109375" style="3" customWidth="1"/>
    <col min="10704" max="10705" width="14.85546875" style="3" customWidth="1"/>
    <col min="10706" max="10706" width="3.28515625" style="3" customWidth="1"/>
    <col min="10707" max="10707" width="20.140625" style="3" customWidth="1"/>
    <col min="10708" max="10708" width="3.28515625" style="3" customWidth="1"/>
    <col min="10709" max="10713" width="11" style="3"/>
    <col min="10714" max="10726" width="4.7109375" style="3" customWidth="1"/>
    <col min="10727" max="10936" width="11" style="3"/>
    <col min="10937" max="10937" width="0.7109375" style="3" customWidth="1"/>
    <col min="10938" max="10938" width="6.5703125" style="3" customWidth="1"/>
    <col min="10939" max="10939" width="13.5703125" style="3" customWidth="1"/>
    <col min="10940" max="10940" width="13.42578125" style="3" customWidth="1"/>
    <col min="10941" max="10942" width="12.5703125" style="3" customWidth="1"/>
    <col min="10943" max="10943" width="14.85546875" style="3" customWidth="1"/>
    <col min="10944" max="10944" width="20.7109375" style="3" customWidth="1"/>
    <col min="10945" max="10945" width="12.5703125" style="3" customWidth="1"/>
    <col min="10946" max="10946" width="13" style="3" customWidth="1"/>
    <col min="10947" max="10947" width="16" style="3" customWidth="1"/>
    <col min="10948" max="10948" width="6.42578125" style="3" customWidth="1"/>
    <col min="10949" max="10949" width="16" style="3" customWidth="1"/>
    <col min="10950" max="10950" width="2.85546875" style="3" customWidth="1"/>
    <col min="10951" max="10951" width="0.85546875" style="3" customWidth="1"/>
    <col min="10952" max="10952" width="11" style="3"/>
    <col min="10953" max="10953" width="15.42578125" style="3" customWidth="1"/>
    <col min="10954" max="10956" width="14.85546875" style="3" customWidth="1"/>
    <col min="10957" max="10957" width="0.7109375" style="3" customWidth="1"/>
    <col min="10958" max="10958" width="11" style="3"/>
    <col min="10959" max="10959" width="15.7109375" style="3" customWidth="1"/>
    <col min="10960" max="10961" width="14.85546875" style="3" customWidth="1"/>
    <col min="10962" max="10962" width="3.28515625" style="3" customWidth="1"/>
    <col min="10963" max="10963" width="20.140625" style="3" customWidth="1"/>
    <col min="10964" max="10964" width="3.28515625" style="3" customWidth="1"/>
    <col min="10965" max="10969" width="11" style="3"/>
    <col min="10970" max="10982" width="4.7109375" style="3" customWidth="1"/>
    <col min="10983" max="11192" width="11" style="3"/>
    <col min="11193" max="11193" width="0.7109375" style="3" customWidth="1"/>
    <col min="11194" max="11194" width="6.5703125" style="3" customWidth="1"/>
    <col min="11195" max="11195" width="13.5703125" style="3" customWidth="1"/>
    <col min="11196" max="11196" width="13.42578125" style="3" customWidth="1"/>
    <col min="11197" max="11198" width="12.5703125" style="3" customWidth="1"/>
    <col min="11199" max="11199" width="14.85546875" style="3" customWidth="1"/>
    <col min="11200" max="11200" width="20.7109375" style="3" customWidth="1"/>
    <col min="11201" max="11201" width="12.5703125" style="3" customWidth="1"/>
    <col min="11202" max="11202" width="13" style="3" customWidth="1"/>
    <col min="11203" max="11203" width="16" style="3" customWidth="1"/>
    <col min="11204" max="11204" width="6.42578125" style="3" customWidth="1"/>
    <col min="11205" max="11205" width="16" style="3" customWidth="1"/>
    <col min="11206" max="11206" width="2.85546875" style="3" customWidth="1"/>
    <col min="11207" max="11207" width="0.85546875" style="3" customWidth="1"/>
    <col min="11208" max="11208" width="11" style="3"/>
    <col min="11209" max="11209" width="15.42578125" style="3" customWidth="1"/>
    <col min="11210" max="11212" width="14.85546875" style="3" customWidth="1"/>
    <col min="11213" max="11213" width="0.7109375" style="3" customWidth="1"/>
    <col min="11214" max="11214" width="11" style="3"/>
    <col min="11215" max="11215" width="15.7109375" style="3" customWidth="1"/>
    <col min="11216" max="11217" width="14.85546875" style="3" customWidth="1"/>
    <col min="11218" max="11218" width="3.28515625" style="3" customWidth="1"/>
    <col min="11219" max="11219" width="20.140625" style="3" customWidth="1"/>
    <col min="11220" max="11220" width="3.28515625" style="3" customWidth="1"/>
    <col min="11221" max="11225" width="11" style="3"/>
    <col min="11226" max="11238" width="4.7109375" style="3" customWidth="1"/>
    <col min="11239" max="11448" width="11" style="3"/>
    <col min="11449" max="11449" width="0.7109375" style="3" customWidth="1"/>
    <col min="11450" max="11450" width="6.5703125" style="3" customWidth="1"/>
    <col min="11451" max="11451" width="13.5703125" style="3" customWidth="1"/>
    <col min="11452" max="11452" width="13.42578125" style="3" customWidth="1"/>
    <col min="11453" max="11454" width="12.5703125" style="3" customWidth="1"/>
    <col min="11455" max="11455" width="14.85546875" style="3" customWidth="1"/>
    <col min="11456" max="11456" width="20.7109375" style="3" customWidth="1"/>
    <col min="11457" max="11457" width="12.5703125" style="3" customWidth="1"/>
    <col min="11458" max="11458" width="13" style="3" customWidth="1"/>
    <col min="11459" max="11459" width="16" style="3" customWidth="1"/>
    <col min="11460" max="11460" width="6.42578125" style="3" customWidth="1"/>
    <col min="11461" max="11461" width="16" style="3" customWidth="1"/>
    <col min="11462" max="11462" width="2.85546875" style="3" customWidth="1"/>
    <col min="11463" max="11463" width="0.85546875" style="3" customWidth="1"/>
    <col min="11464" max="11464" width="11" style="3"/>
    <col min="11465" max="11465" width="15.42578125" style="3" customWidth="1"/>
    <col min="11466" max="11468" width="14.85546875" style="3" customWidth="1"/>
    <col min="11469" max="11469" width="0.7109375" style="3" customWidth="1"/>
    <col min="11470" max="11470" width="11" style="3"/>
    <col min="11471" max="11471" width="15.7109375" style="3" customWidth="1"/>
    <col min="11472" max="11473" width="14.85546875" style="3" customWidth="1"/>
    <col min="11474" max="11474" width="3.28515625" style="3" customWidth="1"/>
    <col min="11475" max="11475" width="20.140625" style="3" customWidth="1"/>
    <col min="11476" max="11476" width="3.28515625" style="3" customWidth="1"/>
    <col min="11477" max="11481" width="11" style="3"/>
    <col min="11482" max="11494" width="4.7109375" style="3" customWidth="1"/>
    <col min="11495" max="11704" width="11" style="3"/>
    <col min="11705" max="11705" width="0.7109375" style="3" customWidth="1"/>
    <col min="11706" max="11706" width="6.5703125" style="3" customWidth="1"/>
    <col min="11707" max="11707" width="13.5703125" style="3" customWidth="1"/>
    <col min="11708" max="11708" width="13.42578125" style="3" customWidth="1"/>
    <col min="11709" max="11710" width="12.5703125" style="3" customWidth="1"/>
    <col min="11711" max="11711" width="14.85546875" style="3" customWidth="1"/>
    <col min="11712" max="11712" width="20.7109375" style="3" customWidth="1"/>
    <col min="11713" max="11713" width="12.5703125" style="3" customWidth="1"/>
    <col min="11714" max="11714" width="13" style="3" customWidth="1"/>
    <col min="11715" max="11715" width="16" style="3" customWidth="1"/>
    <col min="11716" max="11716" width="6.42578125" style="3" customWidth="1"/>
    <col min="11717" max="11717" width="16" style="3" customWidth="1"/>
    <col min="11718" max="11718" width="2.85546875" style="3" customWidth="1"/>
    <col min="11719" max="11719" width="0.85546875" style="3" customWidth="1"/>
    <col min="11720" max="11720" width="11" style="3"/>
    <col min="11721" max="11721" width="15.42578125" style="3" customWidth="1"/>
    <col min="11722" max="11724" width="14.85546875" style="3" customWidth="1"/>
    <col min="11725" max="11725" width="0.7109375" style="3" customWidth="1"/>
    <col min="11726" max="11726" width="11" style="3"/>
    <col min="11727" max="11727" width="15.7109375" style="3" customWidth="1"/>
    <col min="11728" max="11729" width="14.85546875" style="3" customWidth="1"/>
    <col min="11730" max="11730" width="3.28515625" style="3" customWidth="1"/>
    <col min="11731" max="11731" width="20.140625" style="3" customWidth="1"/>
    <col min="11732" max="11732" width="3.28515625" style="3" customWidth="1"/>
    <col min="11733" max="11737" width="11" style="3"/>
    <col min="11738" max="11750" width="4.7109375" style="3" customWidth="1"/>
    <col min="11751" max="11960" width="11" style="3"/>
    <col min="11961" max="11961" width="0.7109375" style="3" customWidth="1"/>
    <col min="11962" max="11962" width="6.5703125" style="3" customWidth="1"/>
    <col min="11963" max="11963" width="13.5703125" style="3" customWidth="1"/>
    <col min="11964" max="11964" width="13.42578125" style="3" customWidth="1"/>
    <col min="11965" max="11966" width="12.5703125" style="3" customWidth="1"/>
    <col min="11967" max="11967" width="14.85546875" style="3" customWidth="1"/>
    <col min="11968" max="11968" width="20.7109375" style="3" customWidth="1"/>
    <col min="11969" max="11969" width="12.5703125" style="3" customWidth="1"/>
    <col min="11970" max="11970" width="13" style="3" customWidth="1"/>
    <col min="11971" max="11971" width="16" style="3" customWidth="1"/>
    <col min="11972" max="11972" width="6.42578125" style="3" customWidth="1"/>
    <col min="11973" max="11973" width="16" style="3" customWidth="1"/>
    <col min="11974" max="11974" width="2.85546875" style="3" customWidth="1"/>
    <col min="11975" max="11975" width="0.85546875" style="3" customWidth="1"/>
    <col min="11976" max="11976" width="11" style="3"/>
    <col min="11977" max="11977" width="15.42578125" style="3" customWidth="1"/>
    <col min="11978" max="11980" width="14.85546875" style="3" customWidth="1"/>
    <col min="11981" max="11981" width="0.7109375" style="3" customWidth="1"/>
    <col min="11982" max="11982" width="11" style="3"/>
    <col min="11983" max="11983" width="15.7109375" style="3" customWidth="1"/>
    <col min="11984" max="11985" width="14.85546875" style="3" customWidth="1"/>
    <col min="11986" max="11986" width="3.28515625" style="3" customWidth="1"/>
    <col min="11987" max="11987" width="20.140625" style="3" customWidth="1"/>
    <col min="11988" max="11988" width="3.28515625" style="3" customWidth="1"/>
    <col min="11989" max="11993" width="11" style="3"/>
    <col min="11994" max="12006" width="4.7109375" style="3" customWidth="1"/>
    <col min="12007" max="12216" width="11" style="3"/>
    <col min="12217" max="12217" width="0.7109375" style="3" customWidth="1"/>
    <col min="12218" max="12218" width="6.5703125" style="3" customWidth="1"/>
    <col min="12219" max="12219" width="13.5703125" style="3" customWidth="1"/>
    <col min="12220" max="12220" width="13.42578125" style="3" customWidth="1"/>
    <col min="12221" max="12222" width="12.5703125" style="3" customWidth="1"/>
    <col min="12223" max="12223" width="14.85546875" style="3" customWidth="1"/>
    <col min="12224" max="12224" width="20.7109375" style="3" customWidth="1"/>
    <col min="12225" max="12225" width="12.5703125" style="3" customWidth="1"/>
    <col min="12226" max="12226" width="13" style="3" customWidth="1"/>
    <col min="12227" max="12227" width="16" style="3" customWidth="1"/>
    <col min="12228" max="12228" width="6.42578125" style="3" customWidth="1"/>
    <col min="12229" max="12229" width="16" style="3" customWidth="1"/>
    <col min="12230" max="12230" width="2.85546875" style="3" customWidth="1"/>
    <col min="12231" max="12231" width="0.85546875" style="3" customWidth="1"/>
    <col min="12232" max="12232" width="11" style="3"/>
    <col min="12233" max="12233" width="15.42578125" style="3" customWidth="1"/>
    <col min="12234" max="12236" width="14.85546875" style="3" customWidth="1"/>
    <col min="12237" max="12237" width="0.7109375" style="3" customWidth="1"/>
    <col min="12238" max="12238" width="11" style="3"/>
    <col min="12239" max="12239" width="15.7109375" style="3" customWidth="1"/>
    <col min="12240" max="12241" width="14.85546875" style="3" customWidth="1"/>
    <col min="12242" max="12242" width="3.28515625" style="3" customWidth="1"/>
    <col min="12243" max="12243" width="20.140625" style="3" customWidth="1"/>
    <col min="12244" max="12244" width="3.28515625" style="3" customWidth="1"/>
    <col min="12245" max="12249" width="11" style="3"/>
    <col min="12250" max="12262" width="4.7109375" style="3" customWidth="1"/>
    <col min="12263" max="12472" width="11" style="3"/>
    <col min="12473" max="12473" width="0.7109375" style="3" customWidth="1"/>
    <col min="12474" max="12474" width="6.5703125" style="3" customWidth="1"/>
    <col min="12475" max="12475" width="13.5703125" style="3" customWidth="1"/>
    <col min="12476" max="12476" width="13.42578125" style="3" customWidth="1"/>
    <col min="12477" max="12478" width="12.5703125" style="3" customWidth="1"/>
    <col min="12479" max="12479" width="14.85546875" style="3" customWidth="1"/>
    <col min="12480" max="12480" width="20.7109375" style="3" customWidth="1"/>
    <col min="12481" max="12481" width="12.5703125" style="3" customWidth="1"/>
    <col min="12482" max="12482" width="13" style="3" customWidth="1"/>
    <col min="12483" max="12483" width="16" style="3" customWidth="1"/>
    <col min="12484" max="12484" width="6.42578125" style="3" customWidth="1"/>
    <col min="12485" max="12485" width="16" style="3" customWidth="1"/>
    <col min="12486" max="12486" width="2.85546875" style="3" customWidth="1"/>
    <col min="12487" max="12487" width="0.85546875" style="3" customWidth="1"/>
    <col min="12488" max="12488" width="11" style="3"/>
    <col min="12489" max="12489" width="15.42578125" style="3" customWidth="1"/>
    <col min="12490" max="12492" width="14.85546875" style="3" customWidth="1"/>
    <col min="12493" max="12493" width="0.7109375" style="3" customWidth="1"/>
    <col min="12494" max="12494" width="11" style="3"/>
    <col min="12495" max="12495" width="15.7109375" style="3" customWidth="1"/>
    <col min="12496" max="12497" width="14.85546875" style="3" customWidth="1"/>
    <col min="12498" max="12498" width="3.28515625" style="3" customWidth="1"/>
    <col min="12499" max="12499" width="20.140625" style="3" customWidth="1"/>
    <col min="12500" max="12500" width="3.28515625" style="3" customWidth="1"/>
    <col min="12501" max="12505" width="11" style="3"/>
    <col min="12506" max="12518" width="4.7109375" style="3" customWidth="1"/>
    <col min="12519" max="12728" width="11" style="3"/>
    <col min="12729" max="12729" width="0.7109375" style="3" customWidth="1"/>
    <col min="12730" max="12730" width="6.5703125" style="3" customWidth="1"/>
    <col min="12731" max="12731" width="13.5703125" style="3" customWidth="1"/>
    <col min="12732" max="12732" width="13.42578125" style="3" customWidth="1"/>
    <col min="12733" max="12734" width="12.5703125" style="3" customWidth="1"/>
    <col min="12735" max="12735" width="14.85546875" style="3" customWidth="1"/>
    <col min="12736" max="12736" width="20.7109375" style="3" customWidth="1"/>
    <col min="12737" max="12737" width="12.5703125" style="3" customWidth="1"/>
    <col min="12738" max="12738" width="13" style="3" customWidth="1"/>
    <col min="12739" max="12739" width="16" style="3" customWidth="1"/>
    <col min="12740" max="12740" width="6.42578125" style="3" customWidth="1"/>
    <col min="12741" max="12741" width="16" style="3" customWidth="1"/>
    <col min="12742" max="12742" width="2.85546875" style="3" customWidth="1"/>
    <col min="12743" max="12743" width="0.85546875" style="3" customWidth="1"/>
    <col min="12744" max="12744" width="11" style="3"/>
    <col min="12745" max="12745" width="15.42578125" style="3" customWidth="1"/>
    <col min="12746" max="12748" width="14.85546875" style="3" customWidth="1"/>
    <col min="12749" max="12749" width="0.7109375" style="3" customWidth="1"/>
    <col min="12750" max="12750" width="11" style="3"/>
    <col min="12751" max="12751" width="15.7109375" style="3" customWidth="1"/>
    <col min="12752" max="12753" width="14.85546875" style="3" customWidth="1"/>
    <col min="12754" max="12754" width="3.28515625" style="3" customWidth="1"/>
    <col min="12755" max="12755" width="20.140625" style="3" customWidth="1"/>
    <col min="12756" max="12756" width="3.28515625" style="3" customWidth="1"/>
    <col min="12757" max="12761" width="11" style="3"/>
    <col min="12762" max="12774" width="4.7109375" style="3" customWidth="1"/>
    <col min="12775" max="12984" width="11" style="3"/>
    <col min="12985" max="12985" width="0.7109375" style="3" customWidth="1"/>
    <col min="12986" max="12986" width="6.5703125" style="3" customWidth="1"/>
    <col min="12987" max="12987" width="13.5703125" style="3" customWidth="1"/>
    <col min="12988" max="12988" width="13.42578125" style="3" customWidth="1"/>
    <col min="12989" max="12990" width="12.5703125" style="3" customWidth="1"/>
    <col min="12991" max="12991" width="14.85546875" style="3" customWidth="1"/>
    <col min="12992" max="12992" width="20.7109375" style="3" customWidth="1"/>
    <col min="12993" max="12993" width="12.5703125" style="3" customWidth="1"/>
    <col min="12994" max="12994" width="13" style="3" customWidth="1"/>
    <col min="12995" max="12995" width="16" style="3" customWidth="1"/>
    <col min="12996" max="12996" width="6.42578125" style="3" customWidth="1"/>
    <col min="12997" max="12997" width="16" style="3" customWidth="1"/>
    <col min="12998" max="12998" width="2.85546875" style="3" customWidth="1"/>
    <col min="12999" max="12999" width="0.85546875" style="3" customWidth="1"/>
    <col min="13000" max="13000" width="11" style="3"/>
    <col min="13001" max="13001" width="15.42578125" style="3" customWidth="1"/>
    <col min="13002" max="13004" width="14.85546875" style="3" customWidth="1"/>
    <col min="13005" max="13005" width="0.7109375" style="3" customWidth="1"/>
    <col min="13006" max="13006" width="11" style="3"/>
    <col min="13007" max="13007" width="15.7109375" style="3" customWidth="1"/>
    <col min="13008" max="13009" width="14.85546875" style="3" customWidth="1"/>
    <col min="13010" max="13010" width="3.28515625" style="3" customWidth="1"/>
    <col min="13011" max="13011" width="20.140625" style="3" customWidth="1"/>
    <col min="13012" max="13012" width="3.28515625" style="3" customWidth="1"/>
    <col min="13013" max="13017" width="11" style="3"/>
    <col min="13018" max="13030" width="4.7109375" style="3" customWidth="1"/>
    <col min="13031" max="13240" width="11" style="3"/>
    <col min="13241" max="13241" width="0.7109375" style="3" customWidth="1"/>
    <col min="13242" max="13242" width="6.5703125" style="3" customWidth="1"/>
    <col min="13243" max="13243" width="13.5703125" style="3" customWidth="1"/>
    <col min="13244" max="13244" width="13.42578125" style="3" customWidth="1"/>
    <col min="13245" max="13246" width="12.5703125" style="3" customWidth="1"/>
    <col min="13247" max="13247" width="14.85546875" style="3" customWidth="1"/>
    <col min="13248" max="13248" width="20.7109375" style="3" customWidth="1"/>
    <col min="13249" max="13249" width="12.5703125" style="3" customWidth="1"/>
    <col min="13250" max="13250" width="13" style="3" customWidth="1"/>
    <col min="13251" max="13251" width="16" style="3" customWidth="1"/>
    <col min="13252" max="13252" width="6.42578125" style="3" customWidth="1"/>
    <col min="13253" max="13253" width="16" style="3" customWidth="1"/>
    <col min="13254" max="13254" width="2.85546875" style="3" customWidth="1"/>
    <col min="13255" max="13255" width="0.85546875" style="3" customWidth="1"/>
    <col min="13256" max="13256" width="11" style="3"/>
    <col min="13257" max="13257" width="15.42578125" style="3" customWidth="1"/>
    <col min="13258" max="13260" width="14.85546875" style="3" customWidth="1"/>
    <col min="13261" max="13261" width="0.7109375" style="3" customWidth="1"/>
    <col min="13262" max="13262" width="11" style="3"/>
    <col min="13263" max="13263" width="15.7109375" style="3" customWidth="1"/>
    <col min="13264" max="13265" width="14.85546875" style="3" customWidth="1"/>
    <col min="13266" max="13266" width="3.28515625" style="3" customWidth="1"/>
    <col min="13267" max="13267" width="20.140625" style="3" customWidth="1"/>
    <col min="13268" max="13268" width="3.28515625" style="3" customWidth="1"/>
    <col min="13269" max="13273" width="11" style="3"/>
    <col min="13274" max="13286" width="4.7109375" style="3" customWidth="1"/>
    <col min="13287" max="13496" width="11" style="3"/>
    <col min="13497" max="13497" width="0.7109375" style="3" customWidth="1"/>
    <col min="13498" max="13498" width="6.5703125" style="3" customWidth="1"/>
    <col min="13499" max="13499" width="13.5703125" style="3" customWidth="1"/>
    <col min="13500" max="13500" width="13.42578125" style="3" customWidth="1"/>
    <col min="13501" max="13502" width="12.5703125" style="3" customWidth="1"/>
    <col min="13503" max="13503" width="14.85546875" style="3" customWidth="1"/>
    <col min="13504" max="13504" width="20.7109375" style="3" customWidth="1"/>
    <col min="13505" max="13505" width="12.5703125" style="3" customWidth="1"/>
    <col min="13506" max="13506" width="13" style="3" customWidth="1"/>
    <col min="13507" max="13507" width="16" style="3" customWidth="1"/>
    <col min="13508" max="13508" width="6.42578125" style="3" customWidth="1"/>
    <col min="13509" max="13509" width="16" style="3" customWidth="1"/>
    <col min="13510" max="13510" width="2.85546875" style="3" customWidth="1"/>
    <col min="13511" max="13511" width="0.85546875" style="3" customWidth="1"/>
    <col min="13512" max="13512" width="11" style="3"/>
    <col min="13513" max="13513" width="15.42578125" style="3" customWidth="1"/>
    <col min="13514" max="13516" width="14.85546875" style="3" customWidth="1"/>
    <col min="13517" max="13517" width="0.7109375" style="3" customWidth="1"/>
    <col min="13518" max="13518" width="11" style="3"/>
    <col min="13519" max="13519" width="15.7109375" style="3" customWidth="1"/>
    <col min="13520" max="13521" width="14.85546875" style="3" customWidth="1"/>
    <col min="13522" max="13522" width="3.28515625" style="3" customWidth="1"/>
    <col min="13523" max="13523" width="20.140625" style="3" customWidth="1"/>
    <col min="13524" max="13524" width="3.28515625" style="3" customWidth="1"/>
    <col min="13525" max="13529" width="11" style="3"/>
    <col min="13530" max="13542" width="4.7109375" style="3" customWidth="1"/>
    <col min="13543" max="13752" width="11" style="3"/>
    <col min="13753" max="13753" width="0.7109375" style="3" customWidth="1"/>
    <col min="13754" max="13754" width="6.5703125" style="3" customWidth="1"/>
    <col min="13755" max="13755" width="13.5703125" style="3" customWidth="1"/>
    <col min="13756" max="13756" width="13.42578125" style="3" customWidth="1"/>
    <col min="13757" max="13758" width="12.5703125" style="3" customWidth="1"/>
    <col min="13759" max="13759" width="14.85546875" style="3" customWidth="1"/>
    <col min="13760" max="13760" width="20.7109375" style="3" customWidth="1"/>
    <col min="13761" max="13761" width="12.5703125" style="3" customWidth="1"/>
    <col min="13762" max="13762" width="13" style="3" customWidth="1"/>
    <col min="13763" max="13763" width="16" style="3" customWidth="1"/>
    <col min="13764" max="13764" width="6.42578125" style="3" customWidth="1"/>
    <col min="13765" max="13765" width="16" style="3" customWidth="1"/>
    <col min="13766" max="13766" width="2.85546875" style="3" customWidth="1"/>
    <col min="13767" max="13767" width="0.85546875" style="3" customWidth="1"/>
    <col min="13768" max="13768" width="11" style="3"/>
    <col min="13769" max="13769" width="15.42578125" style="3" customWidth="1"/>
    <col min="13770" max="13772" width="14.85546875" style="3" customWidth="1"/>
    <col min="13773" max="13773" width="0.7109375" style="3" customWidth="1"/>
    <col min="13774" max="13774" width="11" style="3"/>
    <col min="13775" max="13775" width="15.7109375" style="3" customWidth="1"/>
    <col min="13776" max="13777" width="14.85546875" style="3" customWidth="1"/>
    <col min="13778" max="13778" width="3.28515625" style="3" customWidth="1"/>
    <col min="13779" max="13779" width="20.140625" style="3" customWidth="1"/>
    <col min="13780" max="13780" width="3.28515625" style="3" customWidth="1"/>
    <col min="13781" max="13785" width="11" style="3"/>
    <col min="13786" max="13798" width="4.7109375" style="3" customWidth="1"/>
    <col min="13799" max="14008" width="11" style="3"/>
    <col min="14009" max="14009" width="0.7109375" style="3" customWidth="1"/>
    <col min="14010" max="14010" width="6.5703125" style="3" customWidth="1"/>
    <col min="14011" max="14011" width="13.5703125" style="3" customWidth="1"/>
    <col min="14012" max="14012" width="13.42578125" style="3" customWidth="1"/>
    <col min="14013" max="14014" width="12.5703125" style="3" customWidth="1"/>
    <col min="14015" max="14015" width="14.85546875" style="3" customWidth="1"/>
    <col min="14016" max="14016" width="20.7109375" style="3" customWidth="1"/>
    <col min="14017" max="14017" width="12.5703125" style="3" customWidth="1"/>
    <col min="14018" max="14018" width="13" style="3" customWidth="1"/>
    <col min="14019" max="14019" width="16" style="3" customWidth="1"/>
    <col min="14020" max="14020" width="6.42578125" style="3" customWidth="1"/>
    <col min="14021" max="14021" width="16" style="3" customWidth="1"/>
    <col min="14022" max="14022" width="2.85546875" style="3" customWidth="1"/>
    <col min="14023" max="14023" width="0.85546875" style="3" customWidth="1"/>
    <col min="14024" max="14024" width="11" style="3"/>
    <col min="14025" max="14025" width="15.42578125" style="3" customWidth="1"/>
    <col min="14026" max="14028" width="14.85546875" style="3" customWidth="1"/>
    <col min="14029" max="14029" width="0.7109375" style="3" customWidth="1"/>
    <col min="14030" max="14030" width="11" style="3"/>
    <col min="14031" max="14031" width="15.7109375" style="3" customWidth="1"/>
    <col min="14032" max="14033" width="14.85546875" style="3" customWidth="1"/>
    <col min="14034" max="14034" width="3.28515625" style="3" customWidth="1"/>
    <col min="14035" max="14035" width="20.140625" style="3" customWidth="1"/>
    <col min="14036" max="14036" width="3.28515625" style="3" customWidth="1"/>
    <col min="14037" max="14041" width="11" style="3"/>
    <col min="14042" max="14054" width="4.7109375" style="3" customWidth="1"/>
    <col min="14055" max="14264" width="11" style="3"/>
    <col min="14265" max="14265" width="0.7109375" style="3" customWidth="1"/>
    <col min="14266" max="14266" width="6.5703125" style="3" customWidth="1"/>
    <col min="14267" max="14267" width="13.5703125" style="3" customWidth="1"/>
    <col min="14268" max="14268" width="13.42578125" style="3" customWidth="1"/>
    <col min="14269" max="14270" width="12.5703125" style="3" customWidth="1"/>
    <col min="14271" max="14271" width="14.85546875" style="3" customWidth="1"/>
    <col min="14272" max="14272" width="20.7109375" style="3" customWidth="1"/>
    <col min="14273" max="14273" width="12.5703125" style="3" customWidth="1"/>
    <col min="14274" max="14274" width="13" style="3" customWidth="1"/>
    <col min="14275" max="14275" width="16" style="3" customWidth="1"/>
    <col min="14276" max="14276" width="6.42578125" style="3" customWidth="1"/>
    <col min="14277" max="14277" width="16" style="3" customWidth="1"/>
    <col min="14278" max="14278" width="2.85546875" style="3" customWidth="1"/>
    <col min="14279" max="14279" width="0.85546875" style="3" customWidth="1"/>
    <col min="14280" max="14280" width="11" style="3"/>
    <col min="14281" max="14281" width="15.42578125" style="3" customWidth="1"/>
    <col min="14282" max="14284" width="14.85546875" style="3" customWidth="1"/>
    <col min="14285" max="14285" width="0.7109375" style="3" customWidth="1"/>
    <col min="14286" max="14286" width="11" style="3"/>
    <col min="14287" max="14287" width="15.7109375" style="3" customWidth="1"/>
    <col min="14288" max="14289" width="14.85546875" style="3" customWidth="1"/>
    <col min="14290" max="14290" width="3.28515625" style="3" customWidth="1"/>
    <col min="14291" max="14291" width="20.140625" style="3" customWidth="1"/>
    <col min="14292" max="14292" width="3.28515625" style="3" customWidth="1"/>
    <col min="14293" max="14297" width="11" style="3"/>
    <col min="14298" max="14310" width="4.7109375" style="3" customWidth="1"/>
    <col min="14311" max="14520" width="11" style="3"/>
    <col min="14521" max="14521" width="0.7109375" style="3" customWidth="1"/>
    <col min="14522" max="14522" width="6.5703125" style="3" customWidth="1"/>
    <col min="14523" max="14523" width="13.5703125" style="3" customWidth="1"/>
    <col min="14524" max="14524" width="13.42578125" style="3" customWidth="1"/>
    <col min="14525" max="14526" width="12.5703125" style="3" customWidth="1"/>
    <col min="14527" max="14527" width="14.85546875" style="3" customWidth="1"/>
    <col min="14528" max="14528" width="20.7109375" style="3" customWidth="1"/>
    <col min="14529" max="14529" width="12.5703125" style="3" customWidth="1"/>
    <col min="14530" max="14530" width="13" style="3" customWidth="1"/>
    <col min="14531" max="14531" width="16" style="3" customWidth="1"/>
    <col min="14532" max="14532" width="6.42578125" style="3" customWidth="1"/>
    <col min="14533" max="14533" width="16" style="3" customWidth="1"/>
    <col min="14534" max="14534" width="2.85546875" style="3" customWidth="1"/>
    <col min="14535" max="14535" width="0.85546875" style="3" customWidth="1"/>
    <col min="14536" max="14536" width="11" style="3"/>
    <col min="14537" max="14537" width="15.42578125" style="3" customWidth="1"/>
    <col min="14538" max="14540" width="14.85546875" style="3" customWidth="1"/>
    <col min="14541" max="14541" width="0.7109375" style="3" customWidth="1"/>
    <col min="14542" max="14542" width="11" style="3"/>
    <col min="14543" max="14543" width="15.7109375" style="3" customWidth="1"/>
    <col min="14544" max="14545" width="14.85546875" style="3" customWidth="1"/>
    <col min="14546" max="14546" width="3.28515625" style="3" customWidth="1"/>
    <col min="14547" max="14547" width="20.140625" style="3" customWidth="1"/>
    <col min="14548" max="14548" width="3.28515625" style="3" customWidth="1"/>
    <col min="14549" max="14553" width="11" style="3"/>
    <col min="14554" max="14566" width="4.7109375" style="3" customWidth="1"/>
    <col min="14567" max="14776" width="11" style="3"/>
    <col min="14777" max="14777" width="0.7109375" style="3" customWidth="1"/>
    <col min="14778" max="14778" width="6.5703125" style="3" customWidth="1"/>
    <col min="14779" max="14779" width="13.5703125" style="3" customWidth="1"/>
    <col min="14780" max="14780" width="13.42578125" style="3" customWidth="1"/>
    <col min="14781" max="14782" width="12.5703125" style="3" customWidth="1"/>
    <col min="14783" max="14783" width="14.85546875" style="3" customWidth="1"/>
    <col min="14784" max="14784" width="20.7109375" style="3" customWidth="1"/>
    <col min="14785" max="14785" width="12.5703125" style="3" customWidth="1"/>
    <col min="14786" max="14786" width="13" style="3" customWidth="1"/>
    <col min="14787" max="14787" width="16" style="3" customWidth="1"/>
    <col min="14788" max="14788" width="6.42578125" style="3" customWidth="1"/>
    <col min="14789" max="14789" width="16" style="3" customWidth="1"/>
    <col min="14790" max="14790" width="2.85546875" style="3" customWidth="1"/>
    <col min="14791" max="14791" width="0.85546875" style="3" customWidth="1"/>
    <col min="14792" max="14792" width="11" style="3"/>
    <col min="14793" max="14793" width="15.42578125" style="3" customWidth="1"/>
    <col min="14794" max="14796" width="14.85546875" style="3" customWidth="1"/>
    <col min="14797" max="14797" width="0.7109375" style="3" customWidth="1"/>
    <col min="14798" max="14798" width="11" style="3"/>
    <col min="14799" max="14799" width="15.7109375" style="3" customWidth="1"/>
    <col min="14800" max="14801" width="14.85546875" style="3" customWidth="1"/>
    <col min="14802" max="14802" width="3.28515625" style="3" customWidth="1"/>
    <col min="14803" max="14803" width="20.140625" style="3" customWidth="1"/>
    <col min="14804" max="14804" width="3.28515625" style="3" customWidth="1"/>
    <col min="14805" max="14809" width="11" style="3"/>
    <col min="14810" max="14822" width="4.7109375" style="3" customWidth="1"/>
    <col min="14823" max="15032" width="11" style="3"/>
    <col min="15033" max="15033" width="0.7109375" style="3" customWidth="1"/>
    <col min="15034" max="15034" width="6.5703125" style="3" customWidth="1"/>
    <col min="15035" max="15035" width="13.5703125" style="3" customWidth="1"/>
    <col min="15036" max="15036" width="13.42578125" style="3" customWidth="1"/>
    <col min="15037" max="15038" width="12.5703125" style="3" customWidth="1"/>
    <col min="15039" max="15039" width="14.85546875" style="3" customWidth="1"/>
    <col min="15040" max="15040" width="20.7109375" style="3" customWidth="1"/>
    <col min="15041" max="15041" width="12.5703125" style="3" customWidth="1"/>
    <col min="15042" max="15042" width="13" style="3" customWidth="1"/>
    <col min="15043" max="15043" width="16" style="3" customWidth="1"/>
    <col min="15044" max="15044" width="6.42578125" style="3" customWidth="1"/>
    <col min="15045" max="15045" width="16" style="3" customWidth="1"/>
    <col min="15046" max="15046" width="2.85546875" style="3" customWidth="1"/>
    <col min="15047" max="15047" width="0.85546875" style="3" customWidth="1"/>
    <col min="15048" max="15048" width="11" style="3"/>
    <col min="15049" max="15049" width="15.42578125" style="3" customWidth="1"/>
    <col min="15050" max="15052" width="14.85546875" style="3" customWidth="1"/>
    <col min="15053" max="15053" width="0.7109375" style="3" customWidth="1"/>
    <col min="15054" max="15054" width="11" style="3"/>
    <col min="15055" max="15055" width="15.7109375" style="3" customWidth="1"/>
    <col min="15056" max="15057" width="14.85546875" style="3" customWidth="1"/>
    <col min="15058" max="15058" width="3.28515625" style="3" customWidth="1"/>
    <col min="15059" max="15059" width="20.140625" style="3" customWidth="1"/>
    <col min="15060" max="15060" width="3.28515625" style="3" customWidth="1"/>
    <col min="15061" max="15065" width="11" style="3"/>
    <col min="15066" max="15078" width="4.7109375" style="3" customWidth="1"/>
    <col min="15079" max="15288" width="11" style="3"/>
    <col min="15289" max="15289" width="0.7109375" style="3" customWidth="1"/>
    <col min="15290" max="15290" width="6.5703125" style="3" customWidth="1"/>
    <col min="15291" max="15291" width="13.5703125" style="3" customWidth="1"/>
    <col min="15292" max="15292" width="13.42578125" style="3" customWidth="1"/>
    <col min="15293" max="15294" width="12.5703125" style="3" customWidth="1"/>
    <col min="15295" max="15295" width="14.85546875" style="3" customWidth="1"/>
    <col min="15296" max="15296" width="20.7109375" style="3" customWidth="1"/>
    <col min="15297" max="15297" width="12.5703125" style="3" customWidth="1"/>
    <col min="15298" max="15298" width="13" style="3" customWidth="1"/>
    <col min="15299" max="15299" width="16" style="3" customWidth="1"/>
    <col min="15300" max="15300" width="6.42578125" style="3" customWidth="1"/>
    <col min="15301" max="15301" width="16" style="3" customWidth="1"/>
    <col min="15302" max="15302" width="2.85546875" style="3" customWidth="1"/>
    <col min="15303" max="15303" width="0.85546875" style="3" customWidth="1"/>
    <col min="15304" max="15304" width="11" style="3"/>
    <col min="15305" max="15305" width="15.42578125" style="3" customWidth="1"/>
    <col min="15306" max="15308" width="14.85546875" style="3" customWidth="1"/>
    <col min="15309" max="15309" width="0.7109375" style="3" customWidth="1"/>
    <col min="15310" max="15310" width="11" style="3"/>
    <col min="15311" max="15311" width="15.7109375" style="3" customWidth="1"/>
    <col min="15312" max="15313" width="14.85546875" style="3" customWidth="1"/>
    <col min="15314" max="15314" width="3.28515625" style="3" customWidth="1"/>
    <col min="15315" max="15315" width="20.140625" style="3" customWidth="1"/>
    <col min="15316" max="15316" width="3.28515625" style="3" customWidth="1"/>
    <col min="15317" max="15321" width="11" style="3"/>
    <col min="15322" max="15334" width="4.7109375" style="3" customWidth="1"/>
    <col min="15335" max="15544" width="11" style="3"/>
    <col min="15545" max="15545" width="0.7109375" style="3" customWidth="1"/>
    <col min="15546" max="15546" width="6.5703125" style="3" customWidth="1"/>
    <col min="15547" max="15547" width="13.5703125" style="3" customWidth="1"/>
    <col min="15548" max="15548" width="13.42578125" style="3" customWidth="1"/>
    <col min="15549" max="15550" width="12.5703125" style="3" customWidth="1"/>
    <col min="15551" max="15551" width="14.85546875" style="3" customWidth="1"/>
    <col min="15552" max="15552" width="20.7109375" style="3" customWidth="1"/>
    <col min="15553" max="15553" width="12.5703125" style="3" customWidth="1"/>
    <col min="15554" max="15554" width="13" style="3" customWidth="1"/>
    <col min="15555" max="15555" width="16" style="3" customWidth="1"/>
    <col min="15556" max="15556" width="6.42578125" style="3" customWidth="1"/>
    <col min="15557" max="15557" width="16" style="3" customWidth="1"/>
    <col min="15558" max="15558" width="2.85546875" style="3" customWidth="1"/>
    <col min="15559" max="15559" width="0.85546875" style="3" customWidth="1"/>
    <col min="15560" max="15560" width="11" style="3"/>
    <col min="15561" max="15561" width="15.42578125" style="3" customWidth="1"/>
    <col min="15562" max="15564" width="14.85546875" style="3" customWidth="1"/>
    <col min="15565" max="15565" width="0.7109375" style="3" customWidth="1"/>
    <col min="15566" max="15566" width="11" style="3"/>
    <col min="15567" max="15567" width="15.7109375" style="3" customWidth="1"/>
    <col min="15568" max="15569" width="14.85546875" style="3" customWidth="1"/>
    <col min="15570" max="15570" width="3.28515625" style="3" customWidth="1"/>
    <col min="15571" max="15571" width="20.140625" style="3" customWidth="1"/>
    <col min="15572" max="15572" width="3.28515625" style="3" customWidth="1"/>
    <col min="15573" max="15577" width="11" style="3"/>
    <col min="15578" max="15590" width="4.7109375" style="3" customWidth="1"/>
    <col min="15591" max="15800" width="11" style="3"/>
    <col min="15801" max="15801" width="0.7109375" style="3" customWidth="1"/>
    <col min="15802" max="15802" width="6.5703125" style="3" customWidth="1"/>
    <col min="15803" max="15803" width="13.5703125" style="3" customWidth="1"/>
    <col min="15804" max="15804" width="13.42578125" style="3" customWidth="1"/>
    <col min="15805" max="15806" width="12.5703125" style="3" customWidth="1"/>
    <col min="15807" max="15807" width="14.85546875" style="3" customWidth="1"/>
    <col min="15808" max="15808" width="20.7109375" style="3" customWidth="1"/>
    <col min="15809" max="15809" width="12.5703125" style="3" customWidth="1"/>
    <col min="15810" max="15810" width="13" style="3" customWidth="1"/>
    <col min="15811" max="15811" width="16" style="3" customWidth="1"/>
    <col min="15812" max="15812" width="6.42578125" style="3" customWidth="1"/>
    <col min="15813" max="15813" width="16" style="3" customWidth="1"/>
    <col min="15814" max="15814" width="2.85546875" style="3" customWidth="1"/>
    <col min="15815" max="15815" width="0.85546875" style="3" customWidth="1"/>
    <col min="15816" max="15816" width="11" style="3"/>
    <col min="15817" max="15817" width="15.42578125" style="3" customWidth="1"/>
    <col min="15818" max="15820" width="14.85546875" style="3" customWidth="1"/>
    <col min="15821" max="15821" width="0.7109375" style="3" customWidth="1"/>
    <col min="15822" max="15822" width="11" style="3"/>
    <col min="15823" max="15823" width="15.7109375" style="3" customWidth="1"/>
    <col min="15824" max="15825" width="14.85546875" style="3" customWidth="1"/>
    <col min="15826" max="15826" width="3.28515625" style="3" customWidth="1"/>
    <col min="15827" max="15827" width="20.140625" style="3" customWidth="1"/>
    <col min="15828" max="15828" width="3.28515625" style="3" customWidth="1"/>
    <col min="15829" max="15833" width="11" style="3"/>
    <col min="15834" max="15846" width="4.7109375" style="3" customWidth="1"/>
    <col min="15847" max="16056" width="11" style="3"/>
    <col min="16057" max="16057" width="0.7109375" style="3" customWidth="1"/>
    <col min="16058" max="16058" width="6.5703125" style="3" customWidth="1"/>
    <col min="16059" max="16059" width="13.5703125" style="3" customWidth="1"/>
    <col min="16060" max="16060" width="13.42578125" style="3" customWidth="1"/>
    <col min="16061" max="16062" width="12.5703125" style="3" customWidth="1"/>
    <col min="16063" max="16063" width="14.85546875" style="3" customWidth="1"/>
    <col min="16064" max="16064" width="20.7109375" style="3" customWidth="1"/>
    <col min="16065" max="16065" width="12.5703125" style="3" customWidth="1"/>
    <col min="16066" max="16066" width="13" style="3" customWidth="1"/>
    <col min="16067" max="16067" width="16" style="3" customWidth="1"/>
    <col min="16068" max="16068" width="6.42578125" style="3" customWidth="1"/>
    <col min="16069" max="16069" width="16" style="3" customWidth="1"/>
    <col min="16070" max="16070" width="2.85546875" style="3" customWidth="1"/>
    <col min="16071" max="16071" width="0.85546875" style="3" customWidth="1"/>
    <col min="16072" max="16072" width="11" style="3"/>
    <col min="16073" max="16073" width="15.42578125" style="3" customWidth="1"/>
    <col min="16074" max="16076" width="14.85546875" style="3" customWidth="1"/>
    <col min="16077" max="16077" width="0.7109375" style="3" customWidth="1"/>
    <col min="16078" max="16078" width="11" style="3"/>
    <col min="16079" max="16079" width="15.7109375" style="3" customWidth="1"/>
    <col min="16080" max="16081" width="14.85546875" style="3" customWidth="1"/>
    <col min="16082" max="16082" width="3.28515625" style="3" customWidth="1"/>
    <col min="16083" max="16083" width="20.140625" style="3" customWidth="1"/>
    <col min="16084" max="16084" width="3.28515625" style="3" customWidth="1"/>
    <col min="16085" max="16089" width="11" style="3"/>
    <col min="16090" max="16102" width="4.7109375" style="3" customWidth="1"/>
    <col min="16103" max="16384" width="11" style="3"/>
  </cols>
  <sheetData>
    <row r="1" spans="1:28" s="1" customFormat="1" ht="19.5" customHeight="1">
      <c r="A1" s="236"/>
      <c r="B1" s="237"/>
      <c r="C1" s="179" t="s">
        <v>0</v>
      </c>
      <c r="D1" s="179"/>
      <c r="E1" s="179"/>
      <c r="F1" s="179"/>
      <c r="G1" s="179"/>
      <c r="H1" s="179"/>
      <c r="I1" s="179"/>
      <c r="J1" s="179"/>
      <c r="K1" s="180" t="s">
        <v>1</v>
      </c>
      <c r="L1" s="181"/>
      <c r="O1" s="80"/>
      <c r="P1" s="80"/>
      <c r="Q1" s="80"/>
      <c r="R1" s="80"/>
      <c r="S1" s="80"/>
      <c r="T1" s="80"/>
      <c r="U1" s="80"/>
      <c r="V1" s="80"/>
      <c r="W1" s="80"/>
      <c r="X1" s="80"/>
      <c r="Y1" s="80"/>
      <c r="Z1" s="80"/>
      <c r="AA1" s="80"/>
    </row>
    <row r="2" spans="1:28" s="1" customFormat="1" ht="19.5" customHeight="1">
      <c r="A2" s="238"/>
      <c r="B2" s="186"/>
      <c r="C2" s="241" t="s">
        <v>2</v>
      </c>
      <c r="D2" s="241"/>
      <c r="E2" s="241"/>
      <c r="F2" s="241"/>
      <c r="G2" s="241"/>
      <c r="H2" s="241"/>
      <c r="I2" s="241"/>
      <c r="J2" s="241"/>
      <c r="K2" s="182" t="s">
        <v>89</v>
      </c>
      <c r="L2" s="183"/>
      <c r="O2" s="80"/>
      <c r="P2" s="80"/>
      <c r="Q2" s="80"/>
      <c r="R2" s="80"/>
      <c r="S2" s="80"/>
      <c r="T2" s="80"/>
      <c r="U2" s="80"/>
      <c r="V2" s="80"/>
      <c r="W2" s="80"/>
      <c r="X2" s="80"/>
      <c r="Y2" s="80"/>
      <c r="Z2" s="80"/>
      <c r="AA2" s="80"/>
    </row>
    <row r="3" spans="1:28" s="1" customFormat="1" ht="19.5" customHeight="1">
      <c r="A3" s="238"/>
      <c r="B3" s="186"/>
      <c r="C3" s="241"/>
      <c r="D3" s="241"/>
      <c r="E3" s="241"/>
      <c r="F3" s="241"/>
      <c r="G3" s="241"/>
      <c r="H3" s="241"/>
      <c r="I3" s="241"/>
      <c r="J3" s="241"/>
      <c r="K3" s="182" t="s">
        <v>3</v>
      </c>
      <c r="L3" s="183"/>
      <c r="Q3" s="132"/>
      <c r="R3" s="80"/>
      <c r="T3" s="132" t="s">
        <v>4</v>
      </c>
      <c r="U3" s="132"/>
      <c r="V3" s="80"/>
      <c r="W3" s="80"/>
      <c r="X3" s="80"/>
      <c r="Y3" s="80"/>
      <c r="Z3" s="80"/>
      <c r="AA3" s="80"/>
    </row>
    <row r="4" spans="1:28" s="1" customFormat="1" ht="19.5" customHeight="1" thickBot="1">
      <c r="A4" s="239"/>
      <c r="B4" s="240"/>
      <c r="C4" s="242"/>
      <c r="D4" s="242"/>
      <c r="E4" s="242"/>
      <c r="F4" s="242"/>
      <c r="G4" s="242"/>
      <c r="H4" s="242"/>
      <c r="I4" s="242"/>
      <c r="J4" s="242"/>
      <c r="K4" s="184" t="s">
        <v>88</v>
      </c>
      <c r="L4" s="185"/>
      <c r="Q4" s="132"/>
      <c r="R4" s="80"/>
      <c r="S4" s="132"/>
      <c r="T4" s="132"/>
      <c r="U4" s="132"/>
      <c r="V4" s="80"/>
      <c r="W4" s="80"/>
      <c r="X4" s="80"/>
      <c r="Y4" s="80"/>
      <c r="Z4" s="80"/>
      <c r="AA4" s="80"/>
    </row>
    <row r="5" spans="1:28" s="1" customFormat="1" ht="3.95" customHeight="1" thickBot="1">
      <c r="A5" s="5"/>
      <c r="B5" s="186"/>
      <c r="C5" s="186"/>
      <c r="D5" s="186"/>
      <c r="E5" s="186"/>
      <c r="F5" s="186"/>
      <c r="G5" s="186"/>
      <c r="H5" s="186"/>
      <c r="I5" s="186"/>
      <c r="J5" s="186"/>
      <c r="K5" s="186"/>
      <c r="L5" s="81"/>
      <c r="Q5" s="132"/>
      <c r="R5" s="132"/>
      <c r="T5" s="132"/>
      <c r="U5" s="132"/>
      <c r="V5" s="80"/>
      <c r="W5" s="80"/>
      <c r="X5" s="80"/>
      <c r="Y5" s="80"/>
      <c r="Z5" s="80"/>
      <c r="AA5" s="80"/>
      <c r="AB5" s="80"/>
    </row>
    <row r="6" spans="1:28" s="1" customFormat="1" ht="22.5" customHeight="1">
      <c r="A6" s="6"/>
      <c r="B6" s="7" t="s">
        <v>5</v>
      </c>
      <c r="C6" s="273" t="s">
        <v>91</v>
      </c>
      <c r="D6" s="273"/>
      <c r="E6" s="273"/>
      <c r="F6" s="273"/>
      <c r="G6" s="273"/>
      <c r="H6" s="188" t="s">
        <v>6</v>
      </c>
      <c r="I6" s="188"/>
      <c r="J6" s="189">
        <v>45884</v>
      </c>
      <c r="K6" s="189"/>
      <c r="L6" s="190"/>
      <c r="Q6" s="80"/>
      <c r="R6" s="80"/>
      <c r="T6" s="133" t="s">
        <v>7</v>
      </c>
      <c r="U6" s="80"/>
      <c r="V6" s="80"/>
      <c r="W6" s="80"/>
      <c r="X6" s="80"/>
      <c r="Y6" s="80"/>
      <c r="Z6" s="80"/>
      <c r="AA6" s="80"/>
      <c r="AB6" s="80"/>
    </row>
    <row r="7" spans="1:28" s="1" customFormat="1" ht="24.75" customHeight="1">
      <c r="A7" s="5"/>
      <c r="B7" s="9" t="s">
        <v>8</v>
      </c>
      <c r="C7" s="274" t="s">
        <v>92</v>
      </c>
      <c r="D7" s="274"/>
      <c r="E7" s="274"/>
      <c r="F7" s="274"/>
      <c r="G7" s="274"/>
      <c r="H7" s="192" t="s">
        <v>9</v>
      </c>
      <c r="I7" s="192"/>
      <c r="J7" s="193">
        <v>45924</v>
      </c>
      <c r="K7" s="193"/>
      <c r="L7" s="194"/>
      <c r="Q7" s="80"/>
      <c r="R7" s="80"/>
      <c r="T7" s="133" t="s">
        <v>10</v>
      </c>
      <c r="U7" s="80"/>
      <c r="V7" s="80"/>
      <c r="W7" s="80"/>
      <c r="X7" s="80"/>
      <c r="Y7" s="80"/>
      <c r="Z7" s="80"/>
      <c r="AA7" s="80"/>
      <c r="AB7" s="80"/>
    </row>
    <row r="8" spans="1:28" s="1" customFormat="1" ht="22.5" customHeight="1">
      <c r="A8" s="5"/>
      <c r="B8" s="9" t="s">
        <v>11</v>
      </c>
      <c r="C8" s="271" t="s">
        <v>12</v>
      </c>
      <c r="D8" s="272"/>
      <c r="E8" s="272"/>
      <c r="F8" s="272"/>
      <c r="G8" s="272"/>
      <c r="H8" s="192" t="s">
        <v>13</v>
      </c>
      <c r="I8" s="192"/>
      <c r="J8" s="193">
        <v>45932</v>
      </c>
      <c r="K8" s="193"/>
      <c r="L8" s="194"/>
      <c r="Q8" s="80"/>
      <c r="R8" s="80"/>
      <c r="S8" s="1">
        <f>17-2.57</f>
        <v>14.43</v>
      </c>
      <c r="T8" s="133" t="s">
        <v>14</v>
      </c>
      <c r="U8" s="80"/>
      <c r="V8" s="80"/>
      <c r="W8" s="80"/>
      <c r="X8" s="80"/>
      <c r="Y8" s="80"/>
      <c r="Z8" s="80"/>
      <c r="AA8" s="80"/>
      <c r="AB8" s="80"/>
    </row>
    <row r="9" spans="1:28" s="1" customFormat="1" ht="22.5" customHeight="1">
      <c r="A9" s="5"/>
      <c r="B9" s="9" t="s">
        <v>15</v>
      </c>
      <c r="C9" s="202" t="s">
        <v>93</v>
      </c>
      <c r="D9" s="202"/>
      <c r="E9" s="202"/>
      <c r="F9" s="202"/>
      <c r="G9" s="202"/>
      <c r="H9" s="192" t="s">
        <v>16</v>
      </c>
      <c r="I9" s="192"/>
      <c r="J9" s="82" t="s">
        <v>17</v>
      </c>
      <c r="K9" s="83" t="s">
        <v>90</v>
      </c>
      <c r="L9" s="84" t="s">
        <v>85</v>
      </c>
      <c r="Q9" s="80"/>
      <c r="R9" s="80"/>
      <c r="T9" s="133" t="s">
        <v>18</v>
      </c>
      <c r="U9" s="80"/>
      <c r="V9" s="80"/>
      <c r="W9" s="80"/>
      <c r="X9" s="80"/>
      <c r="Y9" s="80"/>
      <c r="Z9" s="80"/>
      <c r="AA9" s="80"/>
      <c r="AB9" s="80"/>
    </row>
    <row r="10" spans="1:28" s="1" customFormat="1" ht="22.5" customHeight="1">
      <c r="A10" s="5"/>
      <c r="B10" s="10" t="s">
        <v>19</v>
      </c>
      <c r="C10" s="202" t="s">
        <v>20</v>
      </c>
      <c r="D10" s="202"/>
      <c r="E10" s="202"/>
      <c r="F10" s="202"/>
      <c r="G10" s="202"/>
      <c r="H10" s="196" t="s">
        <v>21</v>
      </c>
      <c r="I10" s="196"/>
      <c r="J10" s="197" t="str">
        <f>CONCATENATE(K9,," ",L9,"-",D12,"-",F12)</f>
        <v>056 25-:CIAT AP1-3</v>
      </c>
      <c r="K10" s="197"/>
      <c r="L10" s="198"/>
      <c r="Q10" s="80"/>
      <c r="R10" s="80"/>
      <c r="T10" s="133" t="s">
        <v>22</v>
      </c>
      <c r="U10" s="80"/>
      <c r="V10" s="80"/>
      <c r="W10" s="80"/>
      <c r="X10" s="80"/>
      <c r="Y10" s="80"/>
      <c r="Z10" s="80"/>
      <c r="AA10" s="80"/>
      <c r="AB10" s="80"/>
    </row>
    <row r="11" spans="1:28" s="1" customFormat="1" ht="3.95" customHeight="1" thickBot="1">
      <c r="A11" s="11"/>
      <c r="B11" s="199"/>
      <c r="C11" s="199"/>
      <c r="D11" s="199"/>
      <c r="E11" s="199"/>
      <c r="F11" s="199"/>
      <c r="G11" s="199"/>
      <c r="H11" s="199"/>
      <c r="I11" s="199"/>
      <c r="J11" s="199"/>
      <c r="K11" s="199"/>
      <c r="L11" s="85"/>
      <c r="Q11" s="80"/>
      <c r="R11" s="80"/>
      <c r="T11" s="133"/>
      <c r="U11" s="80"/>
      <c r="V11" s="80"/>
      <c r="W11" s="80"/>
      <c r="X11" s="80"/>
      <c r="Y11" s="80"/>
      <c r="Z11" s="80"/>
      <c r="AA11" s="80"/>
      <c r="AB11" s="80"/>
    </row>
    <row r="12" spans="1:28" s="1" customFormat="1" ht="22.5" customHeight="1">
      <c r="A12" s="6"/>
      <c r="B12" s="7" t="s">
        <v>23</v>
      </c>
      <c r="C12" s="12" t="s">
        <v>10</v>
      </c>
      <c r="D12" s="13" t="s">
        <v>101</v>
      </c>
      <c r="E12" s="14" t="s">
        <v>24</v>
      </c>
      <c r="F12" s="200">
        <v>3</v>
      </c>
      <c r="G12" s="200"/>
      <c r="H12" s="201" t="s">
        <v>25</v>
      </c>
      <c r="I12" s="201"/>
      <c r="J12" s="86">
        <v>1.2</v>
      </c>
      <c r="K12" s="87" t="s">
        <v>26</v>
      </c>
      <c r="L12" s="88">
        <v>1.5</v>
      </c>
      <c r="Q12" s="80"/>
      <c r="R12" s="80"/>
      <c r="T12" s="133"/>
      <c r="U12" s="80"/>
      <c r="V12" s="80"/>
      <c r="W12" s="80"/>
      <c r="X12" s="80"/>
      <c r="Y12" s="80"/>
      <c r="Z12" s="80"/>
      <c r="AA12" s="80"/>
      <c r="AB12" s="80"/>
    </row>
    <row r="13" spans="1:28" s="1" customFormat="1" ht="22.5" customHeight="1">
      <c r="A13" s="5"/>
      <c r="B13" s="9" t="s">
        <v>27</v>
      </c>
      <c r="C13" s="202" t="s">
        <v>110</v>
      </c>
      <c r="D13" s="202"/>
      <c r="E13" s="202"/>
      <c r="F13" s="202"/>
      <c r="G13" s="202"/>
      <c r="H13" s="202"/>
      <c r="I13" s="202"/>
      <c r="J13" s="202"/>
      <c r="K13" s="202"/>
      <c r="L13" s="203"/>
      <c r="O13" s="1">
        <f>-MOD1</f>
        <v>0</v>
      </c>
      <c r="Q13" s="80"/>
      <c r="R13" s="80"/>
      <c r="T13" s="133"/>
      <c r="U13" s="80"/>
      <c r="V13" s="80"/>
      <c r="W13" s="80"/>
      <c r="X13" s="80"/>
      <c r="Y13" s="80"/>
      <c r="Z13" s="80"/>
      <c r="AA13" s="80"/>
      <c r="AB13" s="80"/>
    </row>
    <row r="14" spans="1:28" s="1" customFormat="1" ht="6.95" customHeight="1" thickBot="1">
      <c r="A14" s="11"/>
      <c r="B14" s="15"/>
      <c r="C14" s="16"/>
      <c r="D14" s="16"/>
      <c r="E14" s="16"/>
      <c r="F14" s="16"/>
      <c r="G14" s="16"/>
      <c r="H14" s="16"/>
      <c r="I14" s="16"/>
      <c r="J14" s="16"/>
      <c r="K14" s="16"/>
      <c r="L14" s="89"/>
      <c r="P14" s="80"/>
      <c r="Q14" s="80"/>
      <c r="R14" s="80"/>
      <c r="S14" s="80"/>
      <c r="T14" s="80"/>
      <c r="U14" s="80"/>
      <c r="V14" s="80"/>
      <c r="W14" s="80"/>
      <c r="X14" s="80"/>
      <c r="Y14" s="80"/>
      <c r="Z14" s="80"/>
      <c r="AA14" s="80"/>
      <c r="AB14" s="80"/>
    </row>
    <row r="15" spans="1:28" ht="14.25" customHeight="1" thickBot="1">
      <c r="A15" s="17"/>
      <c r="B15" s="18"/>
      <c r="C15" s="18"/>
      <c r="D15" s="18"/>
      <c r="E15" s="18"/>
      <c r="F15" s="18"/>
      <c r="G15" s="18"/>
      <c r="H15" s="18"/>
      <c r="I15" s="18"/>
      <c r="J15" s="18"/>
      <c r="K15" s="18"/>
      <c r="L15" s="90"/>
    </row>
    <row r="16" spans="1:28" ht="22.5" customHeight="1" thickBot="1">
      <c r="A16" s="204"/>
      <c r="B16" s="205"/>
      <c r="C16" s="205"/>
      <c r="D16" s="205"/>
      <c r="E16" s="205"/>
      <c r="F16" s="205"/>
      <c r="G16" s="205"/>
      <c r="H16" s="205"/>
      <c r="I16" s="205"/>
      <c r="J16" s="205"/>
      <c r="K16" s="205"/>
      <c r="L16" s="206"/>
    </row>
    <row r="17" spans="1:19" ht="22.5" customHeight="1" thickBot="1">
      <c r="A17" s="17"/>
      <c r="B17" s="18"/>
      <c r="C17" s="18"/>
      <c r="D17" s="18"/>
      <c r="E17" s="18"/>
      <c r="F17" s="18"/>
      <c r="G17" s="19"/>
      <c r="H17" s="19"/>
      <c r="I17" s="19"/>
      <c r="J17" s="19"/>
      <c r="K17" s="19"/>
      <c r="L17" s="91"/>
    </row>
    <row r="18" spans="1:19" s="2" customFormat="1" ht="22.5" customHeight="1" thickBot="1">
      <c r="A18" s="207" t="s">
        <v>28</v>
      </c>
      <c r="B18" s="208"/>
      <c r="C18" s="208"/>
      <c r="D18" s="208"/>
      <c r="E18" s="209"/>
      <c r="F18" s="20"/>
      <c r="G18" s="207" t="s">
        <v>28</v>
      </c>
      <c r="H18" s="208"/>
      <c r="I18" s="208"/>
      <c r="J18" s="208"/>
      <c r="K18" s="208"/>
      <c r="L18" s="209"/>
      <c r="O18" s="92"/>
    </row>
    <row r="19" spans="1:19" s="2" customFormat="1" ht="27.75" customHeight="1" thickBot="1">
      <c r="A19" s="210"/>
      <c r="B19" s="211"/>
      <c r="C19" s="211"/>
      <c r="D19" s="22" t="s">
        <v>29</v>
      </c>
      <c r="E19" s="23" t="s">
        <v>30</v>
      </c>
      <c r="F19" s="24"/>
      <c r="G19" s="243" t="s">
        <v>31</v>
      </c>
      <c r="H19" s="244"/>
      <c r="I19" s="212" t="s">
        <v>32</v>
      </c>
      <c r="J19" s="213"/>
      <c r="K19" s="214" t="s">
        <v>33</v>
      </c>
      <c r="L19" s="215"/>
    </row>
    <row r="20" spans="1:19" s="2" customFormat="1" ht="22.5" customHeight="1">
      <c r="A20" s="216" t="s">
        <v>34</v>
      </c>
      <c r="B20" s="217"/>
      <c r="C20" s="25"/>
      <c r="D20" s="26">
        <v>705</v>
      </c>
      <c r="E20" s="27">
        <v>705</v>
      </c>
      <c r="F20" s="28"/>
      <c r="G20" s="245"/>
      <c r="H20" s="246"/>
      <c r="I20" s="93" t="s">
        <v>35</v>
      </c>
      <c r="J20" s="168" t="s">
        <v>36</v>
      </c>
      <c r="K20" s="95" t="s">
        <v>37</v>
      </c>
      <c r="L20" s="150" t="s">
        <v>36</v>
      </c>
      <c r="N20" s="92"/>
    </row>
    <row r="21" spans="1:19" s="2" customFormat="1" ht="22.5" customHeight="1">
      <c r="A21" s="216" t="s">
        <v>38</v>
      </c>
      <c r="B21" s="217"/>
      <c r="C21" s="25" t="s">
        <v>39</v>
      </c>
      <c r="D21" s="160">
        <v>15.3</v>
      </c>
      <c r="E21" s="161">
        <f>D21</f>
        <v>15.3</v>
      </c>
      <c r="F21" s="31"/>
      <c r="G21" s="96" t="s">
        <v>40</v>
      </c>
      <c r="H21" s="32" t="s">
        <v>41</v>
      </c>
      <c r="I21" s="96" t="s">
        <v>42</v>
      </c>
      <c r="J21" s="151" t="s">
        <v>43</v>
      </c>
      <c r="K21" s="96" t="s">
        <v>42</v>
      </c>
      <c r="L21" s="151" t="s">
        <v>43</v>
      </c>
      <c r="N21" s="97"/>
    </row>
    <row r="22" spans="1:19" s="2" customFormat="1" ht="22.5" customHeight="1">
      <c r="A22" s="216" t="s">
        <v>44</v>
      </c>
      <c r="B22" s="217"/>
      <c r="C22" s="25" t="s">
        <v>39</v>
      </c>
      <c r="D22" s="160">
        <v>14.7</v>
      </c>
      <c r="E22" s="161">
        <f>D22+E39</f>
        <v>14.7</v>
      </c>
      <c r="F22" s="31"/>
      <c r="G22" s="145">
        <v>0</v>
      </c>
      <c r="H22" s="33">
        <v>0</v>
      </c>
      <c r="I22" s="144">
        <v>0</v>
      </c>
      <c r="J22" s="152">
        <v>0</v>
      </c>
      <c r="K22" s="144">
        <v>0</v>
      </c>
      <c r="L22" s="152">
        <v>0</v>
      </c>
      <c r="N22" s="97"/>
      <c r="O22" s="2">
        <v>2.5999999999999999E-2</v>
      </c>
      <c r="S22" s="2">
        <v>2.1000000000000001E-2</v>
      </c>
    </row>
    <row r="23" spans="1:19" s="2" customFormat="1" ht="22.5" customHeight="1">
      <c r="A23" s="216" t="s">
        <v>45</v>
      </c>
      <c r="B23" s="217"/>
      <c r="C23" s="34" t="s">
        <v>46</v>
      </c>
      <c r="D23" s="35">
        <v>10612</v>
      </c>
      <c r="E23" s="36">
        <v>10860</v>
      </c>
      <c r="F23" s="31"/>
      <c r="G23" s="145">
        <v>5.0000000000000001E-3</v>
      </c>
      <c r="H23" s="33">
        <v>0.127</v>
      </c>
      <c r="I23" s="144">
        <v>0.14499999999999999</v>
      </c>
      <c r="J23" s="153">
        <f t="shared" ref="J23:J34" si="0">((I23/19.32)*10)</f>
        <v>7.5051759834368514E-2</v>
      </c>
      <c r="K23" s="98">
        <v>2.5999999999999999E-2</v>
      </c>
      <c r="L23" s="153">
        <f t="shared" ref="L23:L34" si="1">((K23/19.32)*10)</f>
        <v>1.3457556935817804E-2</v>
      </c>
      <c r="N23" s="97"/>
      <c r="O23" s="2">
        <v>6.6000000000000003E-2</v>
      </c>
      <c r="S23" s="2">
        <v>7.5999999999999998E-2</v>
      </c>
    </row>
    <row r="24" spans="1:19" s="2" customFormat="1" ht="22.5" customHeight="1">
      <c r="A24" s="216" t="s">
        <v>47</v>
      </c>
      <c r="B24" s="217"/>
      <c r="C24" s="34" t="s">
        <v>46</v>
      </c>
      <c r="D24" s="162">
        <v>5892</v>
      </c>
      <c r="E24" s="173">
        <f>D24</f>
        <v>5892</v>
      </c>
      <c r="F24" s="38"/>
      <c r="G24" s="145">
        <v>2.5000000000000001E-2</v>
      </c>
      <c r="H24" s="33">
        <v>0.63500000000000001</v>
      </c>
      <c r="I24" s="144">
        <v>0.224</v>
      </c>
      <c r="J24" s="153">
        <f t="shared" si="0"/>
        <v>0.11594202898550725</v>
      </c>
      <c r="K24" s="98">
        <v>6.6000000000000003E-2</v>
      </c>
      <c r="L24" s="153">
        <f t="shared" si="1"/>
        <v>3.4161490683229816E-2</v>
      </c>
      <c r="N24" s="97"/>
      <c r="O24" s="2">
        <v>0.113</v>
      </c>
      <c r="S24" s="2">
        <v>0.16</v>
      </c>
    </row>
    <row r="25" spans="1:19" s="2" customFormat="1" ht="22.5" customHeight="1">
      <c r="A25" s="216" t="s">
        <v>48</v>
      </c>
      <c r="B25" s="217"/>
      <c r="C25" s="34" t="s">
        <v>46</v>
      </c>
      <c r="D25" s="39">
        <f>+D23-D24</f>
        <v>4720</v>
      </c>
      <c r="E25" s="174">
        <f>E23-E24</f>
        <v>4968</v>
      </c>
      <c r="F25" s="41"/>
      <c r="G25" s="145">
        <v>0.05</v>
      </c>
      <c r="H25" s="33">
        <v>1.27</v>
      </c>
      <c r="I25" s="144">
        <v>0.309</v>
      </c>
      <c r="J25" s="153">
        <f t="shared" si="0"/>
        <v>0.15993788819875776</v>
      </c>
      <c r="K25" s="98">
        <v>0.113</v>
      </c>
      <c r="L25" s="153">
        <f t="shared" si="1"/>
        <v>5.8488612836438927E-2</v>
      </c>
      <c r="N25" s="97"/>
      <c r="O25" s="2">
        <v>0.151</v>
      </c>
      <c r="S25" s="2">
        <v>0.27200000000000002</v>
      </c>
    </row>
    <row r="26" spans="1:19" s="2" customFormat="1" ht="22.5" customHeight="1">
      <c r="A26" s="216" t="s">
        <v>49</v>
      </c>
      <c r="B26" s="217"/>
      <c r="C26" s="34" t="s">
        <v>50</v>
      </c>
      <c r="D26" s="39">
        <f>((PI()*(D21*D21))/4)*D22</f>
        <v>2702.6516842247174</v>
      </c>
      <c r="E26" s="174">
        <f>((PI()*(E21*E21))/4)*E22</f>
        <v>2702.6516842247174</v>
      </c>
      <c r="F26" s="41"/>
      <c r="G26" s="145">
        <v>7.4999999999999997E-2</v>
      </c>
      <c r="H26" s="33">
        <v>1.905</v>
      </c>
      <c r="I26" s="144">
        <v>0.40100000000000002</v>
      </c>
      <c r="J26" s="153">
        <f t="shared" si="0"/>
        <v>0.20755693581780538</v>
      </c>
      <c r="K26" s="98">
        <v>0.151</v>
      </c>
      <c r="L26" s="153">
        <f t="shared" si="1"/>
        <v>7.8157349896480335E-2</v>
      </c>
      <c r="N26" s="97"/>
      <c r="O26" s="2">
        <v>0.17499999999999999</v>
      </c>
      <c r="S26" s="2">
        <v>0.40500000000000003</v>
      </c>
    </row>
    <row r="27" spans="1:19" s="2" customFormat="1" ht="22.5" customHeight="1">
      <c r="A27" s="216" t="s">
        <v>51</v>
      </c>
      <c r="B27" s="217"/>
      <c r="C27" s="34" t="s">
        <v>52</v>
      </c>
      <c r="D27" s="42">
        <f>D25/D26</f>
        <v>1.7464329671301979</v>
      </c>
      <c r="E27" s="175">
        <f>E25/E26</f>
        <v>1.8381946993014455</v>
      </c>
      <c r="F27" s="44"/>
      <c r="G27" s="146">
        <v>0.1</v>
      </c>
      <c r="H27" s="45">
        <v>2.54</v>
      </c>
      <c r="I27" s="154">
        <v>0.48099999999999998</v>
      </c>
      <c r="J27" s="155">
        <f t="shared" si="0"/>
        <v>0.24896480331262938</v>
      </c>
      <c r="K27" s="158">
        <v>0.17499999999999999</v>
      </c>
      <c r="L27" s="155">
        <f t="shared" si="1"/>
        <v>9.0579710144927522E-2</v>
      </c>
      <c r="N27" s="97"/>
      <c r="O27" s="2">
        <v>0.2</v>
      </c>
      <c r="S27" s="2">
        <v>0.58099999999999996</v>
      </c>
    </row>
    <row r="28" spans="1:19" s="2" customFormat="1" ht="22.5" customHeight="1" thickBot="1">
      <c r="A28" s="218" t="s">
        <v>53</v>
      </c>
      <c r="B28" s="219"/>
      <c r="C28" s="46" t="s">
        <v>52</v>
      </c>
      <c r="D28" s="47">
        <f>D27/(1+D34/100)</f>
        <v>1.3824060851924642</v>
      </c>
      <c r="E28" s="48">
        <f>E27/(1+E34/100)</f>
        <v>1.4221121323191728</v>
      </c>
      <c r="F28" s="49"/>
      <c r="G28" s="145">
        <v>0.125</v>
      </c>
      <c r="H28" s="33">
        <v>3.1749999999999998</v>
      </c>
      <c r="I28" s="144">
        <v>0.55600000000000005</v>
      </c>
      <c r="J28" s="153">
        <f t="shared" si="0"/>
        <v>0.28778467908902694</v>
      </c>
      <c r="K28" s="98">
        <v>0.2</v>
      </c>
      <c r="L28" s="153">
        <f t="shared" si="1"/>
        <v>0.10351966873706003</v>
      </c>
      <c r="N28" s="97"/>
      <c r="O28" s="2">
        <v>0.221</v>
      </c>
      <c r="S28" s="2">
        <v>0.78</v>
      </c>
    </row>
    <row r="29" spans="1:19" s="2" customFormat="1" ht="22.5" customHeight="1" thickBot="1">
      <c r="A29" s="207" t="s">
        <v>54</v>
      </c>
      <c r="B29" s="208" t="s">
        <v>54</v>
      </c>
      <c r="C29" s="208"/>
      <c r="D29" s="208"/>
      <c r="E29" s="209"/>
      <c r="F29" s="49"/>
      <c r="G29" s="147">
        <v>0.15</v>
      </c>
      <c r="H29" s="33">
        <v>3.81</v>
      </c>
      <c r="I29" s="144">
        <v>0.61799999999999999</v>
      </c>
      <c r="J29" s="153">
        <f t="shared" si="0"/>
        <v>0.31987577639751552</v>
      </c>
      <c r="K29" s="98">
        <v>0.221</v>
      </c>
      <c r="L29" s="153">
        <f>((K29/19.32)*10)</f>
        <v>0.11438923395445136</v>
      </c>
      <c r="N29" s="97"/>
      <c r="O29" s="2">
        <v>0.23599999999999999</v>
      </c>
      <c r="S29" s="2">
        <v>0.98499999999999999</v>
      </c>
    </row>
    <row r="30" spans="1:19" s="2" customFormat="1" ht="22.5" customHeight="1">
      <c r="A30" s="258" t="s">
        <v>55</v>
      </c>
      <c r="B30" s="259"/>
      <c r="C30" s="50"/>
      <c r="D30" s="171">
        <v>672</v>
      </c>
      <c r="E30" s="172">
        <v>208</v>
      </c>
      <c r="F30" s="44"/>
      <c r="G30" s="145">
        <v>0.17499999999999999</v>
      </c>
      <c r="H30" s="33">
        <v>4.4450000000000003</v>
      </c>
      <c r="I30" s="144">
        <v>0.67800000000000005</v>
      </c>
      <c r="J30" s="153">
        <f t="shared" si="0"/>
        <v>0.35093167701863354</v>
      </c>
      <c r="K30" s="98">
        <v>0.23599999999999999</v>
      </c>
      <c r="L30" s="153">
        <f t="shared" si="1"/>
        <v>0.12215320910973083</v>
      </c>
      <c r="N30" s="97"/>
      <c r="O30" s="2">
        <v>0.251</v>
      </c>
      <c r="S30" s="2">
        <v>1.1599999999999999</v>
      </c>
    </row>
    <row r="31" spans="1:19" s="2" customFormat="1" ht="22.5" customHeight="1">
      <c r="A31" s="216" t="s">
        <v>56</v>
      </c>
      <c r="B31" s="217"/>
      <c r="C31" s="143" t="s">
        <v>46</v>
      </c>
      <c r="D31" s="53">
        <v>195.86</v>
      </c>
      <c r="E31" s="54">
        <v>495.36</v>
      </c>
      <c r="F31" s="41"/>
      <c r="G31" s="146">
        <v>0.2</v>
      </c>
      <c r="H31" s="45">
        <v>5.08</v>
      </c>
      <c r="I31" s="154">
        <v>0.73399999999999999</v>
      </c>
      <c r="J31" s="155">
        <f t="shared" si="0"/>
        <v>0.37991718426501037</v>
      </c>
      <c r="K31" s="158">
        <v>0.251</v>
      </c>
      <c r="L31" s="155">
        <f t="shared" si="1"/>
        <v>0.12991718426501037</v>
      </c>
      <c r="N31" s="97"/>
      <c r="O31" s="2">
        <v>0.30199999999999999</v>
      </c>
      <c r="S31" s="2">
        <v>1.2969999999999999</v>
      </c>
    </row>
    <row r="32" spans="1:19" s="2" customFormat="1" ht="22.5" customHeight="1">
      <c r="A32" s="216" t="s">
        <v>57</v>
      </c>
      <c r="B32" s="217"/>
      <c r="C32" s="143" t="s">
        <v>46</v>
      </c>
      <c r="D32" s="53">
        <v>163.36000000000001</v>
      </c>
      <c r="E32" s="54">
        <v>396.93</v>
      </c>
      <c r="F32" s="49"/>
      <c r="G32" s="145">
        <v>0.3</v>
      </c>
      <c r="H32" s="33">
        <v>7.62</v>
      </c>
      <c r="I32" s="144">
        <v>0.93899999999999995</v>
      </c>
      <c r="J32" s="153">
        <f t="shared" si="0"/>
        <v>0.48602484472049684</v>
      </c>
      <c r="K32" s="98">
        <v>0.30199999999999999</v>
      </c>
      <c r="L32" s="153">
        <f t="shared" si="1"/>
        <v>0.15631469979296067</v>
      </c>
      <c r="N32" s="97"/>
      <c r="O32" s="2">
        <v>0.34599999999999997</v>
      </c>
      <c r="S32" s="2">
        <v>1.2529999999999999</v>
      </c>
    </row>
    <row r="33" spans="1:19" s="2" customFormat="1" ht="22.5" customHeight="1">
      <c r="A33" s="216" t="s">
        <v>58</v>
      </c>
      <c r="B33" s="217"/>
      <c r="C33" s="143" t="s">
        <v>46</v>
      </c>
      <c r="D33" s="53">
        <v>39.94</v>
      </c>
      <c r="E33" s="54">
        <v>60.51</v>
      </c>
      <c r="F33" s="49"/>
      <c r="G33" s="145">
        <v>0.4</v>
      </c>
      <c r="H33" s="33">
        <v>10.16</v>
      </c>
      <c r="I33" s="144">
        <v>1.115</v>
      </c>
      <c r="J33" s="153">
        <f t="shared" si="0"/>
        <v>0.57712215320910965</v>
      </c>
      <c r="K33" s="98">
        <v>0.34599999999999997</v>
      </c>
      <c r="L33" s="153">
        <f t="shared" si="1"/>
        <v>0.17908902691511386</v>
      </c>
      <c r="N33" s="97"/>
      <c r="O33" s="2">
        <v>0.38700000000000001</v>
      </c>
      <c r="S33" s="2">
        <v>1.2529999999999999</v>
      </c>
    </row>
    <row r="34" spans="1:19" s="2" customFormat="1" ht="22.5" customHeight="1" thickBot="1">
      <c r="A34" s="218" t="s">
        <v>59</v>
      </c>
      <c r="B34" s="219"/>
      <c r="C34" s="170" t="s">
        <v>60</v>
      </c>
      <c r="D34" s="47">
        <f>((D31-D32)/(D32-D33))*100</f>
        <v>26.332847188462161</v>
      </c>
      <c r="E34" s="48">
        <f>((E31-E32)/(E32-E33))*100</f>
        <v>29.258070269306224</v>
      </c>
      <c r="F34" s="49"/>
      <c r="G34" s="148">
        <v>0.5</v>
      </c>
      <c r="H34" s="149">
        <v>12.7</v>
      </c>
      <c r="I34" s="156">
        <v>1.268</v>
      </c>
      <c r="J34" s="157">
        <f t="shared" si="0"/>
        <v>0.65631469979296075</v>
      </c>
      <c r="K34" s="159">
        <v>0.38700000000000001</v>
      </c>
      <c r="L34" s="157">
        <f t="shared" si="1"/>
        <v>0.2003105590062112</v>
      </c>
      <c r="N34" s="97"/>
    </row>
    <row r="35" spans="1:19" s="2" customFormat="1" ht="11.25" customHeight="1" thickBot="1">
      <c r="A35" s="55"/>
      <c r="B35" s="56"/>
      <c r="C35" s="57"/>
      <c r="D35" s="58"/>
      <c r="E35" s="58"/>
      <c r="F35" s="59"/>
      <c r="G35" s="58"/>
      <c r="H35" s="58"/>
      <c r="I35" s="58"/>
      <c r="J35" s="58"/>
      <c r="K35" s="58"/>
      <c r="L35" s="99"/>
      <c r="N35" s="97"/>
    </row>
    <row r="36" spans="1:19" s="2" customFormat="1" ht="22.5" customHeight="1" thickBot="1">
      <c r="A36" s="247" t="s">
        <v>61</v>
      </c>
      <c r="B36" s="248"/>
      <c r="C36" s="248"/>
      <c r="D36" s="248"/>
      <c r="E36" s="249"/>
      <c r="F36" s="60"/>
      <c r="G36" s="60"/>
      <c r="H36" s="207" t="s">
        <v>62</v>
      </c>
      <c r="I36" s="208"/>
      <c r="J36" s="208"/>
      <c r="K36" s="209"/>
      <c r="L36" s="100"/>
    </row>
    <row r="37" spans="1:19" s="2" customFormat="1" ht="22.5" customHeight="1" thickBot="1">
      <c r="A37" s="250" t="s">
        <v>63</v>
      </c>
      <c r="B37" s="251"/>
      <c r="C37" s="61" t="s">
        <v>64</v>
      </c>
      <c r="D37" s="277">
        <v>0.33200000000000002</v>
      </c>
      <c r="E37" s="278"/>
      <c r="F37" s="62"/>
      <c r="G37" s="62"/>
      <c r="H37" s="63" t="s">
        <v>65</v>
      </c>
      <c r="I37" s="101" t="s">
        <v>86</v>
      </c>
      <c r="J37" s="63" t="s">
        <v>66</v>
      </c>
      <c r="K37" s="102" t="s">
        <v>67</v>
      </c>
      <c r="L37" s="99"/>
    </row>
    <row r="38" spans="1:19" s="2" customFormat="1" ht="22.5" customHeight="1" thickBot="1">
      <c r="A38" s="224" t="s">
        <v>68</v>
      </c>
      <c r="B38" s="225"/>
      <c r="C38" s="64" t="s">
        <v>64</v>
      </c>
      <c r="D38" s="279">
        <v>0.34799999999999998</v>
      </c>
      <c r="E38" s="280"/>
      <c r="F38" s="62"/>
      <c r="G38" s="62"/>
      <c r="H38" s="256" t="s">
        <v>69</v>
      </c>
      <c r="I38" s="257"/>
      <c r="J38" s="256" t="s">
        <v>70</v>
      </c>
      <c r="K38" s="257"/>
      <c r="L38" s="99"/>
    </row>
    <row r="39" spans="1:19" s="2" customFormat="1" ht="22.5" customHeight="1" thickBot="1">
      <c r="A39" s="224" t="s">
        <v>71</v>
      </c>
      <c r="B39" s="225"/>
      <c r="C39" s="65" t="s">
        <v>39</v>
      </c>
      <c r="D39" s="226">
        <f>(D38-D37)*2.54</f>
        <v>4.0639999999999898E-2</v>
      </c>
      <c r="E39" s="227"/>
      <c r="F39" s="31"/>
      <c r="G39" s="31"/>
      <c r="H39" s="163" t="s">
        <v>72</v>
      </c>
      <c r="I39" s="164">
        <v>4555</v>
      </c>
      <c r="J39" s="275">
        <v>4</v>
      </c>
      <c r="K39" s="229"/>
      <c r="L39" s="99"/>
    </row>
    <row r="40" spans="1:19" s="2" customFormat="1" ht="22.5" customHeight="1" thickBot="1">
      <c r="A40" s="230" t="s">
        <v>73</v>
      </c>
      <c r="B40" s="231"/>
      <c r="C40" s="67" t="s">
        <v>60</v>
      </c>
      <c r="D40" s="232">
        <f>IF(D39&lt;&gt;"",IF(D22&lt;&gt;"",D39/D22*100,""),"")</f>
        <v>0.27646258503401294</v>
      </c>
      <c r="E40" s="233"/>
      <c r="F40" s="68"/>
      <c r="G40" s="68"/>
      <c r="H40" s="165" t="s">
        <v>33</v>
      </c>
      <c r="I40" s="166">
        <v>4555</v>
      </c>
      <c r="J40" s="276">
        <v>4</v>
      </c>
      <c r="K40" s="235"/>
      <c r="L40" s="99"/>
      <c r="P40" s="105"/>
      <c r="Q40" s="105"/>
      <c r="R40" s="134"/>
    </row>
    <row r="41" spans="1:19" s="2" customFormat="1" ht="33" customHeight="1" thickBot="1">
      <c r="A41" s="70"/>
      <c r="B41" s="58"/>
      <c r="C41" s="58"/>
      <c r="D41" s="58"/>
      <c r="E41" s="58"/>
      <c r="F41" s="71"/>
      <c r="G41" s="58"/>
      <c r="H41" s="70"/>
      <c r="I41" s="58"/>
      <c r="J41" s="107" t="str">
        <f>I19</f>
        <v>ANTES DE INMERSIÓN</v>
      </c>
      <c r="K41" s="107" t="str">
        <f>K19</f>
        <v xml:space="preserve">DESPUÉS DE INMERSIÓN </v>
      </c>
      <c r="L41" s="108"/>
      <c r="M41" s="20"/>
      <c r="P41" s="109"/>
      <c r="Q41" s="135"/>
      <c r="R41" s="136"/>
    </row>
    <row r="42" spans="1:19" s="2" customFormat="1" ht="22.5" customHeight="1">
      <c r="A42" s="70"/>
      <c r="B42" s="58"/>
      <c r="C42" s="58"/>
      <c r="D42" s="58"/>
      <c r="E42" s="58"/>
      <c r="F42" s="58"/>
      <c r="G42" s="58"/>
      <c r="H42" s="21" t="s">
        <v>74</v>
      </c>
      <c r="I42" s="110" t="s">
        <v>60</v>
      </c>
      <c r="J42" s="111">
        <f>(J27/6.9)*100</f>
        <v>3.6081855552554982</v>
      </c>
      <c r="K42" s="112">
        <f>(L27/6.9)*100</f>
        <v>1.3127494223902538</v>
      </c>
      <c r="L42" s="99"/>
      <c r="P42" s="113"/>
      <c r="Q42" s="137"/>
      <c r="R42" s="136"/>
    </row>
    <row r="43" spans="1:19" s="2" customFormat="1" ht="22.5" customHeight="1" thickBot="1">
      <c r="A43" s="70"/>
      <c r="B43" s="73"/>
      <c r="C43" s="58"/>
      <c r="D43" s="58"/>
      <c r="E43" s="58"/>
      <c r="F43" s="58"/>
      <c r="G43" s="58"/>
      <c r="H43" s="74" t="s">
        <v>75</v>
      </c>
      <c r="I43" s="114" t="s">
        <v>60</v>
      </c>
      <c r="J43" s="115">
        <f>(J31/10.3)*100</f>
        <v>3.6885163520874795</v>
      </c>
      <c r="K43" s="116">
        <f>(L31/10.3)*100</f>
        <v>1.2613318860680618</v>
      </c>
      <c r="L43" s="99"/>
      <c r="P43" s="117"/>
      <c r="Q43" s="138"/>
      <c r="R43" s="139"/>
    </row>
    <row r="44" spans="1:19" s="2" customFormat="1" ht="22.5" customHeight="1" thickBot="1">
      <c r="A44" s="70"/>
      <c r="B44" s="73"/>
      <c r="C44" s="73"/>
      <c r="D44" s="73"/>
      <c r="E44" s="58"/>
      <c r="F44" s="58"/>
      <c r="G44" s="58"/>
      <c r="H44" s="74" t="s">
        <v>76</v>
      </c>
      <c r="I44" s="114"/>
      <c r="J44" s="118">
        <f>IF(J42&lt;J43,J42,J43)</f>
        <v>3.6081855552554982</v>
      </c>
      <c r="K44" s="119">
        <f>IF(K42&lt;K43,K42,K43)</f>
        <v>1.2613318860680618</v>
      </c>
      <c r="L44" s="120"/>
      <c r="M44" s="121"/>
    </row>
    <row r="45" spans="1:19" s="2" customFormat="1" ht="22.5" customHeight="1">
      <c r="A45" s="70"/>
      <c r="B45" s="58"/>
      <c r="C45" s="58"/>
      <c r="D45" s="59"/>
      <c r="E45" s="59"/>
      <c r="F45" s="59"/>
      <c r="G45" s="58"/>
      <c r="H45" s="4"/>
      <c r="I45" s="122"/>
      <c r="J45" s="122"/>
      <c r="K45" s="122"/>
      <c r="L45" s="99"/>
    </row>
    <row r="46" spans="1:19" s="2" customFormat="1" ht="22.5" customHeight="1">
      <c r="A46" s="70"/>
      <c r="B46" s="58"/>
      <c r="C46" s="58"/>
      <c r="D46" s="59"/>
      <c r="E46" s="59"/>
      <c r="F46" s="59"/>
      <c r="G46" s="58"/>
      <c r="H46" s="222" t="s">
        <v>77</v>
      </c>
      <c r="I46" s="222"/>
      <c r="J46" s="222" t="s">
        <v>78</v>
      </c>
      <c r="K46" s="222"/>
      <c r="L46" s="223"/>
    </row>
    <row r="47" spans="1:19" s="2" customFormat="1" ht="22.5" customHeight="1">
      <c r="A47" s="70"/>
      <c r="B47" s="56"/>
      <c r="C47" s="75"/>
      <c r="D47" s="76"/>
      <c r="E47" s="59"/>
      <c r="F47" s="59"/>
      <c r="G47" s="59"/>
      <c r="H47" s="77"/>
      <c r="I47" s="123"/>
      <c r="J47" s="77"/>
      <c r="K47" s="123"/>
      <c r="L47" s="124"/>
    </row>
    <row r="48" spans="1:19" s="2" customFormat="1" ht="22.5" customHeight="1">
      <c r="A48" s="70"/>
      <c r="B48" s="56"/>
      <c r="C48" s="75"/>
      <c r="D48" s="76"/>
      <c r="E48" s="59"/>
      <c r="F48" s="59"/>
      <c r="G48" s="59"/>
      <c r="H48" s="77"/>
      <c r="I48" s="123"/>
      <c r="J48" s="77"/>
      <c r="K48" s="123"/>
      <c r="L48" s="124"/>
    </row>
    <row r="49" spans="1:15" s="2" customFormat="1" ht="22.5" customHeight="1">
      <c r="A49" s="70"/>
      <c r="B49" s="56"/>
      <c r="C49" s="75"/>
      <c r="D49" s="76"/>
      <c r="E49" s="59"/>
      <c r="F49" s="59"/>
      <c r="G49" s="59"/>
      <c r="H49" s="77"/>
      <c r="I49" s="123"/>
      <c r="J49" s="77"/>
      <c r="K49"/>
      <c r="L49" s="124"/>
    </row>
    <row r="50" spans="1:15" s="2" customFormat="1" ht="22.5" customHeight="1">
      <c r="A50" s="70"/>
      <c r="B50" s="56"/>
      <c r="C50" s="75"/>
      <c r="D50" s="76"/>
      <c r="E50" s="59"/>
      <c r="F50" s="59"/>
      <c r="G50" s="59"/>
      <c r="H50" s="78"/>
      <c r="I50" s="78"/>
      <c r="J50" s="77"/>
      <c r="K50" s="123"/>
      <c r="L50" s="124"/>
    </row>
    <row r="51" spans="1:15" s="2" customFormat="1" ht="22.5" customHeight="1">
      <c r="A51" s="70"/>
      <c r="B51" s="56"/>
      <c r="C51" s="75"/>
      <c r="D51" s="76"/>
      <c r="E51" s="59"/>
      <c r="F51" s="59"/>
      <c r="G51" s="59"/>
      <c r="H51" s="220" t="s">
        <v>79</v>
      </c>
      <c r="I51" s="220"/>
      <c r="J51" s="220" t="s">
        <v>87</v>
      </c>
      <c r="K51" s="220"/>
      <c r="L51" s="221"/>
    </row>
    <row r="52" spans="1:15" s="2" customFormat="1" ht="22.5" customHeight="1">
      <c r="A52" s="70"/>
      <c r="B52" s="56"/>
      <c r="C52" s="75"/>
      <c r="D52" s="76"/>
      <c r="E52" s="59"/>
      <c r="F52" s="59"/>
      <c r="G52" s="59"/>
      <c r="H52" s="222" t="s">
        <v>80</v>
      </c>
      <c r="I52" s="222"/>
      <c r="J52" s="222" t="s">
        <v>81</v>
      </c>
      <c r="K52" s="222"/>
      <c r="L52" s="223"/>
    </row>
    <row r="53" spans="1:15" s="2" customFormat="1" ht="22.5" customHeight="1">
      <c r="A53" s="70"/>
      <c r="B53" s="56"/>
      <c r="C53" s="75"/>
      <c r="D53" s="76"/>
      <c r="E53" s="59"/>
      <c r="F53" s="59"/>
      <c r="G53" s="59"/>
      <c r="H53" s="186"/>
      <c r="I53" s="186"/>
      <c r="J53" s="186"/>
      <c r="K53" s="186"/>
      <c r="L53" s="99"/>
    </row>
    <row r="54" spans="1:15" s="2" customFormat="1" ht="22.5" customHeight="1">
      <c r="A54" s="70"/>
      <c r="B54" s="56"/>
      <c r="C54" s="75"/>
      <c r="D54" s="76"/>
      <c r="E54" s="59"/>
      <c r="F54" s="59"/>
      <c r="G54" s="59"/>
      <c r="H54" s="58"/>
      <c r="I54" s="58"/>
      <c r="J54" s="125"/>
      <c r="K54" s="58"/>
      <c r="L54" s="99"/>
      <c r="M54" s="126"/>
      <c r="N54" s="3"/>
    </row>
    <row r="55" spans="1:15" s="2" customFormat="1" ht="22.5" customHeight="1">
      <c r="A55" s="70"/>
      <c r="B55" s="56"/>
      <c r="C55" s="75"/>
      <c r="D55" s="76"/>
      <c r="E55" s="59"/>
      <c r="F55" s="59"/>
      <c r="G55" s="59"/>
      <c r="H55" s="58"/>
      <c r="I55" s="58"/>
      <c r="J55" s="127"/>
      <c r="K55" s="125"/>
      <c r="L55" s="128"/>
      <c r="M55" s="129"/>
      <c r="N55" s="3"/>
    </row>
    <row r="56" spans="1:15" s="2" customFormat="1" ht="22.5" customHeight="1">
      <c r="A56" s="264" t="s">
        <v>82</v>
      </c>
      <c r="B56" s="265"/>
      <c r="C56" s="265"/>
      <c r="D56" s="265"/>
      <c r="E56" s="265"/>
      <c r="F56" s="265"/>
      <c r="G56" s="265"/>
      <c r="H56" s="265"/>
      <c r="I56" s="265"/>
      <c r="J56" s="265"/>
      <c r="K56" s="265"/>
      <c r="L56" s="266"/>
      <c r="M56" s="130"/>
      <c r="N56" s="3"/>
      <c r="O56" s="3"/>
    </row>
    <row r="57" spans="1:15" s="2" customFormat="1" ht="22.5" customHeight="1">
      <c r="A57" s="261" t="s">
        <v>83</v>
      </c>
      <c r="B57" s="262"/>
      <c r="C57" s="262"/>
      <c r="D57" s="262"/>
      <c r="E57" s="262"/>
      <c r="F57" s="262"/>
      <c r="G57" s="262"/>
      <c r="H57" s="262"/>
      <c r="I57" s="262"/>
      <c r="J57" s="262"/>
      <c r="K57" s="262"/>
      <c r="L57" s="263"/>
      <c r="M57" s="3"/>
      <c r="N57" s="3"/>
      <c r="O57" s="3"/>
    </row>
    <row r="58" spans="1:15" s="2" customFormat="1" ht="22.5" customHeight="1">
      <c r="A58" s="261"/>
      <c r="B58" s="262"/>
      <c r="C58" s="262"/>
      <c r="D58" s="262"/>
      <c r="E58" s="262"/>
      <c r="F58" s="262"/>
      <c r="G58" s="262"/>
      <c r="H58" s="262"/>
      <c r="I58" s="262"/>
      <c r="J58" s="262"/>
      <c r="K58" s="262"/>
      <c r="L58" s="263"/>
      <c r="M58" s="3"/>
      <c r="N58" s="3"/>
      <c r="O58" s="3"/>
    </row>
    <row r="59" spans="1:15" ht="15" thickBot="1">
      <c r="A59" s="267" t="s">
        <v>84</v>
      </c>
      <c r="B59" s="268"/>
      <c r="C59" s="268"/>
      <c r="D59" s="268"/>
      <c r="E59" s="268"/>
      <c r="F59" s="268"/>
      <c r="G59" s="268"/>
      <c r="H59" s="268"/>
      <c r="I59" s="268"/>
      <c r="J59" s="268"/>
      <c r="K59" s="268"/>
      <c r="L59" s="269"/>
    </row>
    <row r="63" spans="1:15">
      <c r="I63" s="79"/>
      <c r="J63" s="79"/>
      <c r="K63" s="79"/>
      <c r="L63" s="79"/>
      <c r="M63" s="79"/>
      <c r="N63" s="79"/>
    </row>
    <row r="64" spans="1:15" ht="15" customHeight="1">
      <c r="E64" s="79"/>
      <c r="F64" s="79"/>
      <c r="G64" s="79"/>
      <c r="H64" s="79"/>
      <c r="I64" s="131"/>
      <c r="J64" s="131"/>
      <c r="K64" s="131"/>
      <c r="L64" s="131"/>
      <c r="M64" s="131"/>
      <c r="N64" s="131"/>
    </row>
    <row r="65" spans="2:18" ht="15" customHeight="1">
      <c r="E65" s="131"/>
      <c r="F65" s="131"/>
      <c r="G65" s="131"/>
      <c r="H65" s="131"/>
      <c r="I65" s="131"/>
      <c r="J65" s="131"/>
      <c r="K65" s="131"/>
      <c r="L65" s="131"/>
      <c r="M65" s="131"/>
      <c r="N65" s="131"/>
    </row>
    <row r="66" spans="2:18" ht="15" customHeight="1">
      <c r="E66" s="131"/>
      <c r="F66" s="131"/>
      <c r="G66" s="131"/>
      <c r="H66" s="131"/>
      <c r="I66" s="131"/>
      <c r="J66" s="131"/>
      <c r="K66" s="131"/>
      <c r="L66" s="131"/>
      <c r="M66" s="131"/>
      <c r="N66" s="131"/>
    </row>
    <row r="67" spans="2:18" ht="30.75" customHeight="1">
      <c r="E67" s="131"/>
      <c r="F67" s="131"/>
      <c r="G67" s="131"/>
      <c r="H67" s="131"/>
      <c r="I67" s="140"/>
      <c r="J67" s="140"/>
      <c r="K67" s="140"/>
      <c r="L67" s="140"/>
      <c r="M67" s="140"/>
      <c r="N67" s="140"/>
    </row>
    <row r="68" spans="2:18" ht="15" customHeight="1">
      <c r="E68" s="140"/>
      <c r="F68" s="140"/>
      <c r="G68" s="140"/>
      <c r="H68" s="140"/>
      <c r="I68" s="140"/>
      <c r="J68" s="140"/>
      <c r="K68" s="140"/>
      <c r="L68" s="140"/>
      <c r="M68" s="140"/>
      <c r="N68" s="140"/>
    </row>
    <row r="69" spans="2:18" ht="15" customHeight="1">
      <c r="E69" s="140"/>
      <c r="F69" s="140"/>
      <c r="G69" s="140"/>
      <c r="H69" s="140"/>
    </row>
    <row r="70" spans="2:18" ht="31.5" customHeight="1">
      <c r="E70" s="270"/>
      <c r="F70" s="270"/>
      <c r="G70" s="270"/>
      <c r="H70" s="270"/>
      <c r="I70" s="270"/>
      <c r="J70" s="270"/>
      <c r="K70" s="270"/>
      <c r="L70" s="270"/>
      <c r="M70" s="270"/>
      <c r="N70" s="270"/>
      <c r="O70" s="270"/>
      <c r="P70" s="270"/>
    </row>
    <row r="71" spans="2:18" ht="24" customHeight="1">
      <c r="B71" s="141"/>
      <c r="C71" s="142"/>
      <c r="D71" s="142"/>
      <c r="E71" s="142"/>
      <c r="F71" s="142"/>
      <c r="G71" s="142"/>
      <c r="H71" s="142"/>
      <c r="I71" s="142"/>
      <c r="J71" s="142"/>
      <c r="K71" s="142"/>
      <c r="L71" s="142"/>
      <c r="M71" s="142"/>
      <c r="N71" s="142"/>
      <c r="O71" s="142"/>
      <c r="P71" s="142"/>
      <c r="Q71" s="142"/>
      <c r="R71" s="142"/>
    </row>
    <row r="72" spans="2:18" ht="15" customHeight="1">
      <c r="B72" s="142"/>
      <c r="C72" s="142"/>
      <c r="D72" s="260"/>
      <c r="E72" s="260"/>
      <c r="F72" s="260"/>
      <c r="G72" s="260"/>
      <c r="H72" s="260"/>
      <c r="I72" s="260"/>
      <c r="J72" s="260"/>
      <c r="K72" s="260"/>
      <c r="L72" s="260"/>
      <c r="M72" s="260"/>
      <c r="N72" s="260"/>
      <c r="O72" s="260"/>
      <c r="P72" s="142"/>
      <c r="Q72" s="142"/>
      <c r="R72" s="142"/>
    </row>
    <row r="73" spans="2:18">
      <c r="D73" s="260"/>
      <c r="E73" s="260"/>
      <c r="F73" s="260"/>
      <c r="G73" s="260"/>
      <c r="H73" s="260"/>
      <c r="I73" s="260"/>
      <c r="J73" s="260"/>
      <c r="K73" s="260"/>
      <c r="L73" s="260"/>
      <c r="M73" s="260"/>
      <c r="N73" s="260"/>
      <c r="O73" s="260"/>
    </row>
  </sheetData>
  <sheetProtection formatCells="0" formatColumns="0" insertColumns="0" insertRows="0" deleteColumns="0" deleteRows="0"/>
  <mergeCells count="74">
    <mergeCell ref="A1:B4"/>
    <mergeCell ref="C1:J1"/>
    <mergeCell ref="K1:L1"/>
    <mergeCell ref="C2:J4"/>
    <mergeCell ref="K2:L2"/>
    <mergeCell ref="K3:L3"/>
    <mergeCell ref="K4:L4"/>
    <mergeCell ref="B5:K5"/>
    <mergeCell ref="C6:G6"/>
    <mergeCell ref="H6:I6"/>
    <mergeCell ref="J6:L6"/>
    <mergeCell ref="C7:G7"/>
    <mergeCell ref="H7:I7"/>
    <mergeCell ref="J7:L7"/>
    <mergeCell ref="A18:E18"/>
    <mergeCell ref="G18:L18"/>
    <mergeCell ref="C8:G8"/>
    <mergeCell ref="H8:I8"/>
    <mergeCell ref="J8:L8"/>
    <mergeCell ref="C9:G9"/>
    <mergeCell ref="H9:I9"/>
    <mergeCell ref="C10:G10"/>
    <mergeCell ref="H10:I10"/>
    <mergeCell ref="J10:L10"/>
    <mergeCell ref="B11:K11"/>
    <mergeCell ref="F12:G12"/>
    <mergeCell ref="H12:I12"/>
    <mergeCell ref="C13:L13"/>
    <mergeCell ref="A16:L16"/>
    <mergeCell ref="A27:B27"/>
    <mergeCell ref="A19:C19"/>
    <mergeCell ref="G19:H20"/>
    <mergeCell ref="I19:J19"/>
    <mergeCell ref="K19:L19"/>
    <mergeCell ref="A20:B20"/>
    <mergeCell ref="A21:B21"/>
    <mergeCell ref="A22:B22"/>
    <mergeCell ref="A23:B23"/>
    <mergeCell ref="A24:B24"/>
    <mergeCell ref="A25:B25"/>
    <mergeCell ref="A26:B26"/>
    <mergeCell ref="A38:B38"/>
    <mergeCell ref="D38:E38"/>
    <mergeCell ref="H38:I38"/>
    <mergeCell ref="J38:K38"/>
    <mergeCell ref="A28:B28"/>
    <mergeCell ref="A29:E29"/>
    <mergeCell ref="A30:B30"/>
    <mergeCell ref="A31:B31"/>
    <mergeCell ref="A32:B32"/>
    <mergeCell ref="A33:B33"/>
    <mergeCell ref="A34:B34"/>
    <mergeCell ref="A36:E36"/>
    <mergeCell ref="H36:K36"/>
    <mergeCell ref="A37:B37"/>
    <mergeCell ref="D37:E37"/>
    <mergeCell ref="A39:B39"/>
    <mergeCell ref="D39:E39"/>
    <mergeCell ref="J39:K39"/>
    <mergeCell ref="A40:B40"/>
    <mergeCell ref="D40:E40"/>
    <mergeCell ref="J40:K40"/>
    <mergeCell ref="D72:O73"/>
    <mergeCell ref="H46:I46"/>
    <mergeCell ref="J46:L46"/>
    <mergeCell ref="H51:I51"/>
    <mergeCell ref="J51:L51"/>
    <mergeCell ref="H52:I52"/>
    <mergeCell ref="J52:L52"/>
    <mergeCell ref="H53:K53"/>
    <mergeCell ref="A56:L56"/>
    <mergeCell ref="A57:L58"/>
    <mergeCell ref="A59:L59"/>
    <mergeCell ref="E70:P70"/>
  </mergeCells>
  <conditionalFormatting sqref="C6:G10">
    <cfRule type="containsBlanks" dxfId="139" priority="10">
      <formula>LEN(TRIM(C6))=0</formula>
    </cfRule>
  </conditionalFormatting>
  <conditionalFormatting sqref="C13:L13">
    <cfRule type="containsBlanks" dxfId="138" priority="9">
      <formula>LEN(TRIM(C13))=0</formula>
    </cfRule>
  </conditionalFormatting>
  <conditionalFormatting sqref="D20:D24">
    <cfRule type="containsBlanks" dxfId="137" priority="4">
      <formula>LEN(TRIM(D20))=0</formula>
    </cfRule>
  </conditionalFormatting>
  <conditionalFormatting sqref="D37:D38">
    <cfRule type="containsBlanks" dxfId="136" priority="3">
      <formula>LEN(TRIM(D37))=0</formula>
    </cfRule>
  </conditionalFormatting>
  <conditionalFormatting sqref="D30:E33">
    <cfRule type="containsBlanks" dxfId="135" priority="1">
      <formula>LEN(TRIM(D30))=0</formula>
    </cfRule>
  </conditionalFormatting>
  <conditionalFormatting sqref="E23">
    <cfRule type="containsBlanks" dxfId="134" priority="5">
      <formula>LEN(TRIM(E23))=0</formula>
    </cfRule>
  </conditionalFormatting>
  <conditionalFormatting sqref="F12:G12">
    <cfRule type="containsBlanks" dxfId="133" priority="8">
      <formula>LEN(TRIM(F12))=0</formula>
    </cfRule>
  </conditionalFormatting>
  <conditionalFormatting sqref="I22:I34">
    <cfRule type="containsBlanks" dxfId="132" priority="7">
      <formula>LEN(TRIM(I22))=0</formula>
    </cfRule>
  </conditionalFormatting>
  <conditionalFormatting sqref="I37">
    <cfRule type="containsBlanks" dxfId="131" priority="2">
      <formula>LEN(TRIM(I37))=0</formula>
    </cfRule>
  </conditionalFormatting>
  <conditionalFormatting sqref="K22:K34">
    <cfRule type="containsBlanks" dxfId="130" priority="6">
      <formula>LEN(TRIM(K22))=0</formula>
    </cfRule>
  </conditionalFormatting>
  <dataValidations count="2">
    <dataValidation type="list" allowBlank="1" showInputMessage="1" showErrorMessage="1" sqref="C12" xr:uid="{00000000-0002-0000-0900-000000000000}">
      <formula1>$T$6:$T$13</formula1>
    </dataValidation>
    <dataValidation type="list" allowBlank="1" showInputMessage="1" showErrorMessage="1" sqref="I37" xr:uid="{00000000-0002-0000-0900-000001000000}">
      <formula1>"5 kN, 50 kN"</formula1>
    </dataValidation>
  </dataValidations>
  <printOptions horizontalCentered="1" verticalCentered="1"/>
  <pageMargins left="0.31496062992126" right="0.31496062992126" top="0.15748031496063" bottom="0.55118110236220497" header="0" footer="0.118110236220472"/>
  <pageSetup scale="42" fitToWidth="0" fitToHeight="0" orientation="landscape" r:id="rId1"/>
  <headerFooter>
    <oddFooter>&amp;C&amp;"Arial,Normal"&amp;10GEODELTA S.A.S. Calle 68 B bis No 70 C 95, Móvil: 318 7902368 Bogotá DC - Colombia
e-mail: laboratoriogeodelta@gmail.com</oddFooter>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B73"/>
  <sheetViews>
    <sheetView showGridLines="0" view="pageBreakPreview" topLeftCell="A4" zoomScale="59" zoomScaleNormal="50" zoomScaleSheetLayoutView="100" zoomScalePageLayoutView="50" workbookViewId="0">
      <selection activeCell="J15" sqref="J15"/>
    </sheetView>
  </sheetViews>
  <sheetFormatPr baseColWidth="10" defaultColWidth="11" defaultRowHeight="14.25"/>
  <cols>
    <col min="1" max="1" width="10.5703125" style="3" customWidth="1"/>
    <col min="2" max="2" width="35.42578125" style="3" customWidth="1"/>
    <col min="3" max="3" width="20.85546875" style="3" customWidth="1"/>
    <col min="4" max="5" width="26.7109375" style="3" customWidth="1"/>
    <col min="6" max="6" width="3.7109375" style="3" customWidth="1"/>
    <col min="7" max="7" width="29.140625" style="3" customWidth="1"/>
    <col min="8" max="8" width="27.140625" style="3" customWidth="1"/>
    <col min="9" max="10" width="24.28515625" style="3" customWidth="1"/>
    <col min="11" max="12" width="22.42578125" style="3" customWidth="1"/>
    <col min="13" max="13" width="1.85546875" style="3" customWidth="1"/>
    <col min="14" max="16" width="12.85546875" style="3" customWidth="1"/>
    <col min="17" max="17" width="6.5703125" style="3" customWidth="1"/>
    <col min="18" max="18" width="6.28515625" style="3" customWidth="1"/>
    <col min="19" max="184" width="11" style="3"/>
    <col min="185" max="185" width="0.7109375" style="3" customWidth="1"/>
    <col min="186" max="186" width="6.5703125" style="3" customWidth="1"/>
    <col min="187" max="187" width="13.5703125" style="3" customWidth="1"/>
    <col min="188" max="188" width="13.42578125" style="3" customWidth="1"/>
    <col min="189" max="190" width="12.5703125" style="3" customWidth="1"/>
    <col min="191" max="191" width="14.85546875" style="3" customWidth="1"/>
    <col min="192" max="192" width="20.7109375" style="3" customWidth="1"/>
    <col min="193" max="193" width="12.5703125" style="3" customWidth="1"/>
    <col min="194" max="194" width="13" style="3" customWidth="1"/>
    <col min="195" max="195" width="16" style="3" customWidth="1"/>
    <col min="196" max="196" width="6.42578125" style="3" customWidth="1"/>
    <col min="197" max="197" width="16" style="3" customWidth="1"/>
    <col min="198" max="198" width="2.85546875" style="3" customWidth="1"/>
    <col min="199" max="199" width="0.85546875" style="3" customWidth="1"/>
    <col min="200" max="200" width="11" style="3"/>
    <col min="201" max="201" width="15.42578125" style="3" customWidth="1"/>
    <col min="202" max="204" width="14.85546875" style="3" customWidth="1"/>
    <col min="205" max="205" width="0.7109375" style="3" customWidth="1"/>
    <col min="206" max="206" width="11" style="3"/>
    <col min="207" max="207" width="15.7109375" style="3" customWidth="1"/>
    <col min="208" max="209" width="14.85546875" style="3" customWidth="1"/>
    <col min="210" max="210" width="3.28515625" style="3" customWidth="1"/>
    <col min="211" max="211" width="20.140625" style="3" customWidth="1"/>
    <col min="212" max="212" width="3.28515625" style="3" customWidth="1"/>
    <col min="213" max="217" width="11" style="3"/>
    <col min="218" max="230" width="4.7109375" style="3" customWidth="1"/>
    <col min="231" max="440" width="11" style="3"/>
    <col min="441" max="441" width="0.7109375" style="3" customWidth="1"/>
    <col min="442" max="442" width="6.5703125" style="3" customWidth="1"/>
    <col min="443" max="443" width="13.5703125" style="3" customWidth="1"/>
    <col min="444" max="444" width="13.42578125" style="3" customWidth="1"/>
    <col min="445" max="446" width="12.5703125" style="3" customWidth="1"/>
    <col min="447" max="447" width="14.85546875" style="3" customWidth="1"/>
    <col min="448" max="448" width="20.7109375" style="3" customWidth="1"/>
    <col min="449" max="449" width="12.5703125" style="3" customWidth="1"/>
    <col min="450" max="450" width="13" style="3" customWidth="1"/>
    <col min="451" max="451" width="16" style="3" customWidth="1"/>
    <col min="452" max="452" width="6.42578125" style="3" customWidth="1"/>
    <col min="453" max="453" width="16" style="3" customWidth="1"/>
    <col min="454" max="454" width="2.85546875" style="3" customWidth="1"/>
    <col min="455" max="455" width="0.85546875" style="3" customWidth="1"/>
    <col min="456" max="456" width="11" style="3"/>
    <col min="457" max="457" width="15.42578125" style="3" customWidth="1"/>
    <col min="458" max="460" width="14.85546875" style="3" customWidth="1"/>
    <col min="461" max="461" width="0.7109375" style="3" customWidth="1"/>
    <col min="462" max="462" width="11" style="3"/>
    <col min="463" max="463" width="15.7109375" style="3" customWidth="1"/>
    <col min="464" max="465" width="14.85546875" style="3" customWidth="1"/>
    <col min="466" max="466" width="3.28515625" style="3" customWidth="1"/>
    <col min="467" max="467" width="20.140625" style="3" customWidth="1"/>
    <col min="468" max="468" width="3.28515625" style="3" customWidth="1"/>
    <col min="469" max="473" width="11" style="3"/>
    <col min="474" max="486" width="4.7109375" style="3" customWidth="1"/>
    <col min="487" max="696" width="11" style="3"/>
    <col min="697" max="697" width="0.7109375" style="3" customWidth="1"/>
    <col min="698" max="698" width="6.5703125" style="3" customWidth="1"/>
    <col min="699" max="699" width="13.5703125" style="3" customWidth="1"/>
    <col min="700" max="700" width="13.42578125" style="3" customWidth="1"/>
    <col min="701" max="702" width="12.5703125" style="3" customWidth="1"/>
    <col min="703" max="703" width="14.85546875" style="3" customWidth="1"/>
    <col min="704" max="704" width="20.7109375" style="3" customWidth="1"/>
    <col min="705" max="705" width="12.5703125" style="3" customWidth="1"/>
    <col min="706" max="706" width="13" style="3" customWidth="1"/>
    <col min="707" max="707" width="16" style="3" customWidth="1"/>
    <col min="708" max="708" width="6.42578125" style="3" customWidth="1"/>
    <col min="709" max="709" width="16" style="3" customWidth="1"/>
    <col min="710" max="710" width="2.85546875" style="3" customWidth="1"/>
    <col min="711" max="711" width="0.85546875" style="3" customWidth="1"/>
    <col min="712" max="712" width="11" style="3"/>
    <col min="713" max="713" width="15.42578125" style="3" customWidth="1"/>
    <col min="714" max="716" width="14.85546875" style="3" customWidth="1"/>
    <col min="717" max="717" width="0.7109375" style="3" customWidth="1"/>
    <col min="718" max="718" width="11" style="3"/>
    <col min="719" max="719" width="15.7109375" style="3" customWidth="1"/>
    <col min="720" max="721" width="14.85546875" style="3" customWidth="1"/>
    <col min="722" max="722" width="3.28515625" style="3" customWidth="1"/>
    <col min="723" max="723" width="20.140625" style="3" customWidth="1"/>
    <col min="724" max="724" width="3.28515625" style="3" customWidth="1"/>
    <col min="725" max="729" width="11" style="3"/>
    <col min="730" max="742" width="4.7109375" style="3" customWidth="1"/>
    <col min="743" max="952" width="11" style="3"/>
    <col min="953" max="953" width="0.7109375" style="3" customWidth="1"/>
    <col min="954" max="954" width="6.5703125" style="3" customWidth="1"/>
    <col min="955" max="955" width="13.5703125" style="3" customWidth="1"/>
    <col min="956" max="956" width="13.42578125" style="3" customWidth="1"/>
    <col min="957" max="958" width="12.5703125" style="3" customWidth="1"/>
    <col min="959" max="959" width="14.85546875" style="3" customWidth="1"/>
    <col min="960" max="960" width="20.7109375" style="3" customWidth="1"/>
    <col min="961" max="961" width="12.5703125" style="3" customWidth="1"/>
    <col min="962" max="962" width="13" style="3" customWidth="1"/>
    <col min="963" max="963" width="16" style="3" customWidth="1"/>
    <col min="964" max="964" width="6.42578125" style="3" customWidth="1"/>
    <col min="965" max="965" width="16" style="3" customWidth="1"/>
    <col min="966" max="966" width="2.85546875" style="3" customWidth="1"/>
    <col min="967" max="967" width="0.85546875" style="3" customWidth="1"/>
    <col min="968" max="968" width="11" style="3"/>
    <col min="969" max="969" width="15.42578125" style="3" customWidth="1"/>
    <col min="970" max="972" width="14.85546875" style="3" customWidth="1"/>
    <col min="973" max="973" width="0.7109375" style="3" customWidth="1"/>
    <col min="974" max="974" width="11" style="3"/>
    <col min="975" max="975" width="15.7109375" style="3" customWidth="1"/>
    <col min="976" max="977" width="14.85546875" style="3" customWidth="1"/>
    <col min="978" max="978" width="3.28515625" style="3" customWidth="1"/>
    <col min="979" max="979" width="20.140625" style="3" customWidth="1"/>
    <col min="980" max="980" width="3.28515625" style="3" customWidth="1"/>
    <col min="981" max="985" width="11" style="3"/>
    <col min="986" max="998" width="4.7109375" style="3" customWidth="1"/>
    <col min="999" max="1208" width="11" style="3"/>
    <col min="1209" max="1209" width="0.7109375" style="3" customWidth="1"/>
    <col min="1210" max="1210" width="6.5703125" style="3" customWidth="1"/>
    <col min="1211" max="1211" width="13.5703125" style="3" customWidth="1"/>
    <col min="1212" max="1212" width="13.42578125" style="3" customWidth="1"/>
    <col min="1213" max="1214" width="12.5703125" style="3" customWidth="1"/>
    <col min="1215" max="1215" width="14.85546875" style="3" customWidth="1"/>
    <col min="1216" max="1216" width="20.7109375" style="3" customWidth="1"/>
    <col min="1217" max="1217" width="12.5703125" style="3" customWidth="1"/>
    <col min="1218" max="1218" width="13" style="3" customWidth="1"/>
    <col min="1219" max="1219" width="16" style="3" customWidth="1"/>
    <col min="1220" max="1220" width="6.42578125" style="3" customWidth="1"/>
    <col min="1221" max="1221" width="16" style="3" customWidth="1"/>
    <col min="1222" max="1222" width="2.85546875" style="3" customWidth="1"/>
    <col min="1223" max="1223" width="0.85546875" style="3" customWidth="1"/>
    <col min="1224" max="1224" width="11" style="3"/>
    <col min="1225" max="1225" width="15.42578125" style="3" customWidth="1"/>
    <col min="1226" max="1228" width="14.85546875" style="3" customWidth="1"/>
    <col min="1229" max="1229" width="0.7109375" style="3" customWidth="1"/>
    <col min="1230" max="1230" width="11" style="3"/>
    <col min="1231" max="1231" width="15.7109375" style="3" customWidth="1"/>
    <col min="1232" max="1233" width="14.85546875" style="3" customWidth="1"/>
    <col min="1234" max="1234" width="3.28515625" style="3" customWidth="1"/>
    <col min="1235" max="1235" width="20.140625" style="3" customWidth="1"/>
    <col min="1236" max="1236" width="3.28515625" style="3" customWidth="1"/>
    <col min="1237" max="1241" width="11" style="3"/>
    <col min="1242" max="1254" width="4.7109375" style="3" customWidth="1"/>
    <col min="1255" max="1464" width="11" style="3"/>
    <col min="1465" max="1465" width="0.7109375" style="3" customWidth="1"/>
    <col min="1466" max="1466" width="6.5703125" style="3" customWidth="1"/>
    <col min="1467" max="1467" width="13.5703125" style="3" customWidth="1"/>
    <col min="1468" max="1468" width="13.42578125" style="3" customWidth="1"/>
    <col min="1469" max="1470" width="12.5703125" style="3" customWidth="1"/>
    <col min="1471" max="1471" width="14.85546875" style="3" customWidth="1"/>
    <col min="1472" max="1472" width="20.7109375" style="3" customWidth="1"/>
    <col min="1473" max="1473" width="12.5703125" style="3" customWidth="1"/>
    <col min="1474" max="1474" width="13" style="3" customWidth="1"/>
    <col min="1475" max="1475" width="16" style="3" customWidth="1"/>
    <col min="1476" max="1476" width="6.42578125" style="3" customWidth="1"/>
    <col min="1477" max="1477" width="16" style="3" customWidth="1"/>
    <col min="1478" max="1478" width="2.85546875" style="3" customWidth="1"/>
    <col min="1479" max="1479" width="0.85546875" style="3" customWidth="1"/>
    <col min="1480" max="1480" width="11" style="3"/>
    <col min="1481" max="1481" width="15.42578125" style="3" customWidth="1"/>
    <col min="1482" max="1484" width="14.85546875" style="3" customWidth="1"/>
    <col min="1485" max="1485" width="0.7109375" style="3" customWidth="1"/>
    <col min="1486" max="1486" width="11" style="3"/>
    <col min="1487" max="1487" width="15.7109375" style="3" customWidth="1"/>
    <col min="1488" max="1489" width="14.85546875" style="3" customWidth="1"/>
    <col min="1490" max="1490" width="3.28515625" style="3" customWidth="1"/>
    <col min="1491" max="1491" width="20.140625" style="3" customWidth="1"/>
    <col min="1492" max="1492" width="3.28515625" style="3" customWidth="1"/>
    <col min="1493" max="1497" width="11" style="3"/>
    <col min="1498" max="1510" width="4.7109375" style="3" customWidth="1"/>
    <col min="1511" max="1720" width="11" style="3"/>
    <col min="1721" max="1721" width="0.7109375" style="3" customWidth="1"/>
    <col min="1722" max="1722" width="6.5703125" style="3" customWidth="1"/>
    <col min="1723" max="1723" width="13.5703125" style="3" customWidth="1"/>
    <col min="1724" max="1724" width="13.42578125" style="3" customWidth="1"/>
    <col min="1725" max="1726" width="12.5703125" style="3" customWidth="1"/>
    <col min="1727" max="1727" width="14.85546875" style="3" customWidth="1"/>
    <col min="1728" max="1728" width="20.7109375" style="3" customWidth="1"/>
    <col min="1729" max="1729" width="12.5703125" style="3" customWidth="1"/>
    <col min="1730" max="1730" width="13" style="3" customWidth="1"/>
    <col min="1731" max="1731" width="16" style="3" customWidth="1"/>
    <col min="1732" max="1732" width="6.42578125" style="3" customWidth="1"/>
    <col min="1733" max="1733" width="16" style="3" customWidth="1"/>
    <col min="1734" max="1734" width="2.85546875" style="3" customWidth="1"/>
    <col min="1735" max="1735" width="0.85546875" style="3" customWidth="1"/>
    <col min="1736" max="1736" width="11" style="3"/>
    <col min="1737" max="1737" width="15.42578125" style="3" customWidth="1"/>
    <col min="1738" max="1740" width="14.85546875" style="3" customWidth="1"/>
    <col min="1741" max="1741" width="0.7109375" style="3" customWidth="1"/>
    <col min="1742" max="1742" width="11" style="3"/>
    <col min="1743" max="1743" width="15.7109375" style="3" customWidth="1"/>
    <col min="1744" max="1745" width="14.85546875" style="3" customWidth="1"/>
    <col min="1746" max="1746" width="3.28515625" style="3" customWidth="1"/>
    <col min="1747" max="1747" width="20.140625" style="3" customWidth="1"/>
    <col min="1748" max="1748" width="3.28515625" style="3" customWidth="1"/>
    <col min="1749" max="1753" width="11" style="3"/>
    <col min="1754" max="1766" width="4.7109375" style="3" customWidth="1"/>
    <col min="1767" max="1976" width="11" style="3"/>
    <col min="1977" max="1977" width="0.7109375" style="3" customWidth="1"/>
    <col min="1978" max="1978" width="6.5703125" style="3" customWidth="1"/>
    <col min="1979" max="1979" width="13.5703125" style="3" customWidth="1"/>
    <col min="1980" max="1980" width="13.42578125" style="3" customWidth="1"/>
    <col min="1981" max="1982" width="12.5703125" style="3" customWidth="1"/>
    <col min="1983" max="1983" width="14.85546875" style="3" customWidth="1"/>
    <col min="1984" max="1984" width="20.7109375" style="3" customWidth="1"/>
    <col min="1985" max="1985" width="12.5703125" style="3" customWidth="1"/>
    <col min="1986" max="1986" width="13" style="3" customWidth="1"/>
    <col min="1987" max="1987" width="16" style="3" customWidth="1"/>
    <col min="1988" max="1988" width="6.42578125" style="3" customWidth="1"/>
    <col min="1989" max="1989" width="16" style="3" customWidth="1"/>
    <col min="1990" max="1990" width="2.85546875" style="3" customWidth="1"/>
    <col min="1991" max="1991" width="0.85546875" style="3" customWidth="1"/>
    <col min="1992" max="1992" width="11" style="3"/>
    <col min="1993" max="1993" width="15.42578125" style="3" customWidth="1"/>
    <col min="1994" max="1996" width="14.85546875" style="3" customWidth="1"/>
    <col min="1997" max="1997" width="0.7109375" style="3" customWidth="1"/>
    <col min="1998" max="1998" width="11" style="3"/>
    <col min="1999" max="1999" width="15.7109375" style="3" customWidth="1"/>
    <col min="2000" max="2001" width="14.85546875" style="3" customWidth="1"/>
    <col min="2002" max="2002" width="3.28515625" style="3" customWidth="1"/>
    <col min="2003" max="2003" width="20.140625" style="3" customWidth="1"/>
    <col min="2004" max="2004" width="3.28515625" style="3" customWidth="1"/>
    <col min="2005" max="2009" width="11" style="3"/>
    <col min="2010" max="2022" width="4.7109375" style="3" customWidth="1"/>
    <col min="2023" max="2232" width="11" style="3"/>
    <col min="2233" max="2233" width="0.7109375" style="3" customWidth="1"/>
    <col min="2234" max="2234" width="6.5703125" style="3" customWidth="1"/>
    <col min="2235" max="2235" width="13.5703125" style="3" customWidth="1"/>
    <col min="2236" max="2236" width="13.42578125" style="3" customWidth="1"/>
    <col min="2237" max="2238" width="12.5703125" style="3" customWidth="1"/>
    <col min="2239" max="2239" width="14.85546875" style="3" customWidth="1"/>
    <col min="2240" max="2240" width="20.7109375" style="3" customWidth="1"/>
    <col min="2241" max="2241" width="12.5703125" style="3" customWidth="1"/>
    <col min="2242" max="2242" width="13" style="3" customWidth="1"/>
    <col min="2243" max="2243" width="16" style="3" customWidth="1"/>
    <col min="2244" max="2244" width="6.42578125" style="3" customWidth="1"/>
    <col min="2245" max="2245" width="16" style="3" customWidth="1"/>
    <col min="2246" max="2246" width="2.85546875" style="3" customWidth="1"/>
    <col min="2247" max="2247" width="0.85546875" style="3" customWidth="1"/>
    <col min="2248" max="2248" width="11" style="3"/>
    <col min="2249" max="2249" width="15.42578125" style="3" customWidth="1"/>
    <col min="2250" max="2252" width="14.85546875" style="3" customWidth="1"/>
    <col min="2253" max="2253" width="0.7109375" style="3" customWidth="1"/>
    <col min="2254" max="2254" width="11" style="3"/>
    <col min="2255" max="2255" width="15.7109375" style="3" customWidth="1"/>
    <col min="2256" max="2257" width="14.85546875" style="3" customWidth="1"/>
    <col min="2258" max="2258" width="3.28515625" style="3" customWidth="1"/>
    <col min="2259" max="2259" width="20.140625" style="3" customWidth="1"/>
    <col min="2260" max="2260" width="3.28515625" style="3" customWidth="1"/>
    <col min="2261" max="2265" width="11" style="3"/>
    <col min="2266" max="2278" width="4.7109375" style="3" customWidth="1"/>
    <col min="2279" max="2488" width="11" style="3"/>
    <col min="2489" max="2489" width="0.7109375" style="3" customWidth="1"/>
    <col min="2490" max="2490" width="6.5703125" style="3" customWidth="1"/>
    <col min="2491" max="2491" width="13.5703125" style="3" customWidth="1"/>
    <col min="2492" max="2492" width="13.42578125" style="3" customWidth="1"/>
    <col min="2493" max="2494" width="12.5703125" style="3" customWidth="1"/>
    <col min="2495" max="2495" width="14.85546875" style="3" customWidth="1"/>
    <col min="2496" max="2496" width="20.7109375" style="3" customWidth="1"/>
    <col min="2497" max="2497" width="12.5703125" style="3" customWidth="1"/>
    <col min="2498" max="2498" width="13" style="3" customWidth="1"/>
    <col min="2499" max="2499" width="16" style="3" customWidth="1"/>
    <col min="2500" max="2500" width="6.42578125" style="3" customWidth="1"/>
    <col min="2501" max="2501" width="16" style="3" customWidth="1"/>
    <col min="2502" max="2502" width="2.85546875" style="3" customWidth="1"/>
    <col min="2503" max="2503" width="0.85546875" style="3" customWidth="1"/>
    <col min="2504" max="2504" width="11" style="3"/>
    <col min="2505" max="2505" width="15.42578125" style="3" customWidth="1"/>
    <col min="2506" max="2508" width="14.85546875" style="3" customWidth="1"/>
    <col min="2509" max="2509" width="0.7109375" style="3" customWidth="1"/>
    <col min="2510" max="2510" width="11" style="3"/>
    <col min="2511" max="2511" width="15.7109375" style="3" customWidth="1"/>
    <col min="2512" max="2513" width="14.85546875" style="3" customWidth="1"/>
    <col min="2514" max="2514" width="3.28515625" style="3" customWidth="1"/>
    <col min="2515" max="2515" width="20.140625" style="3" customWidth="1"/>
    <col min="2516" max="2516" width="3.28515625" style="3" customWidth="1"/>
    <col min="2517" max="2521" width="11" style="3"/>
    <col min="2522" max="2534" width="4.7109375" style="3" customWidth="1"/>
    <col min="2535" max="2744" width="11" style="3"/>
    <col min="2745" max="2745" width="0.7109375" style="3" customWidth="1"/>
    <col min="2746" max="2746" width="6.5703125" style="3" customWidth="1"/>
    <col min="2747" max="2747" width="13.5703125" style="3" customWidth="1"/>
    <col min="2748" max="2748" width="13.42578125" style="3" customWidth="1"/>
    <col min="2749" max="2750" width="12.5703125" style="3" customWidth="1"/>
    <col min="2751" max="2751" width="14.85546875" style="3" customWidth="1"/>
    <col min="2752" max="2752" width="20.7109375" style="3" customWidth="1"/>
    <col min="2753" max="2753" width="12.5703125" style="3" customWidth="1"/>
    <col min="2754" max="2754" width="13" style="3" customWidth="1"/>
    <col min="2755" max="2755" width="16" style="3" customWidth="1"/>
    <col min="2756" max="2756" width="6.42578125" style="3" customWidth="1"/>
    <col min="2757" max="2757" width="16" style="3" customWidth="1"/>
    <col min="2758" max="2758" width="2.85546875" style="3" customWidth="1"/>
    <col min="2759" max="2759" width="0.85546875" style="3" customWidth="1"/>
    <col min="2760" max="2760" width="11" style="3"/>
    <col min="2761" max="2761" width="15.42578125" style="3" customWidth="1"/>
    <col min="2762" max="2764" width="14.85546875" style="3" customWidth="1"/>
    <col min="2765" max="2765" width="0.7109375" style="3" customWidth="1"/>
    <col min="2766" max="2766" width="11" style="3"/>
    <col min="2767" max="2767" width="15.7109375" style="3" customWidth="1"/>
    <col min="2768" max="2769" width="14.85546875" style="3" customWidth="1"/>
    <col min="2770" max="2770" width="3.28515625" style="3" customWidth="1"/>
    <col min="2771" max="2771" width="20.140625" style="3" customWidth="1"/>
    <col min="2772" max="2772" width="3.28515625" style="3" customWidth="1"/>
    <col min="2773" max="2777" width="11" style="3"/>
    <col min="2778" max="2790" width="4.7109375" style="3" customWidth="1"/>
    <col min="2791" max="3000" width="11" style="3"/>
    <col min="3001" max="3001" width="0.7109375" style="3" customWidth="1"/>
    <col min="3002" max="3002" width="6.5703125" style="3" customWidth="1"/>
    <col min="3003" max="3003" width="13.5703125" style="3" customWidth="1"/>
    <col min="3004" max="3004" width="13.42578125" style="3" customWidth="1"/>
    <col min="3005" max="3006" width="12.5703125" style="3" customWidth="1"/>
    <col min="3007" max="3007" width="14.85546875" style="3" customWidth="1"/>
    <col min="3008" max="3008" width="20.7109375" style="3" customWidth="1"/>
    <col min="3009" max="3009" width="12.5703125" style="3" customWidth="1"/>
    <col min="3010" max="3010" width="13" style="3" customWidth="1"/>
    <col min="3011" max="3011" width="16" style="3" customWidth="1"/>
    <col min="3012" max="3012" width="6.42578125" style="3" customWidth="1"/>
    <col min="3013" max="3013" width="16" style="3" customWidth="1"/>
    <col min="3014" max="3014" width="2.85546875" style="3" customWidth="1"/>
    <col min="3015" max="3015" width="0.85546875" style="3" customWidth="1"/>
    <col min="3016" max="3016" width="11" style="3"/>
    <col min="3017" max="3017" width="15.42578125" style="3" customWidth="1"/>
    <col min="3018" max="3020" width="14.85546875" style="3" customWidth="1"/>
    <col min="3021" max="3021" width="0.7109375" style="3" customWidth="1"/>
    <col min="3022" max="3022" width="11" style="3"/>
    <col min="3023" max="3023" width="15.7109375" style="3" customWidth="1"/>
    <col min="3024" max="3025" width="14.85546875" style="3" customWidth="1"/>
    <col min="3026" max="3026" width="3.28515625" style="3" customWidth="1"/>
    <col min="3027" max="3027" width="20.140625" style="3" customWidth="1"/>
    <col min="3028" max="3028" width="3.28515625" style="3" customWidth="1"/>
    <col min="3029" max="3033" width="11" style="3"/>
    <col min="3034" max="3046" width="4.7109375" style="3" customWidth="1"/>
    <col min="3047" max="3256" width="11" style="3"/>
    <col min="3257" max="3257" width="0.7109375" style="3" customWidth="1"/>
    <col min="3258" max="3258" width="6.5703125" style="3" customWidth="1"/>
    <col min="3259" max="3259" width="13.5703125" style="3" customWidth="1"/>
    <col min="3260" max="3260" width="13.42578125" style="3" customWidth="1"/>
    <col min="3261" max="3262" width="12.5703125" style="3" customWidth="1"/>
    <col min="3263" max="3263" width="14.85546875" style="3" customWidth="1"/>
    <col min="3264" max="3264" width="20.7109375" style="3" customWidth="1"/>
    <col min="3265" max="3265" width="12.5703125" style="3" customWidth="1"/>
    <col min="3266" max="3266" width="13" style="3" customWidth="1"/>
    <col min="3267" max="3267" width="16" style="3" customWidth="1"/>
    <col min="3268" max="3268" width="6.42578125" style="3" customWidth="1"/>
    <col min="3269" max="3269" width="16" style="3" customWidth="1"/>
    <col min="3270" max="3270" width="2.85546875" style="3" customWidth="1"/>
    <col min="3271" max="3271" width="0.85546875" style="3" customWidth="1"/>
    <col min="3272" max="3272" width="11" style="3"/>
    <col min="3273" max="3273" width="15.42578125" style="3" customWidth="1"/>
    <col min="3274" max="3276" width="14.85546875" style="3" customWidth="1"/>
    <col min="3277" max="3277" width="0.7109375" style="3" customWidth="1"/>
    <col min="3278" max="3278" width="11" style="3"/>
    <col min="3279" max="3279" width="15.7109375" style="3" customWidth="1"/>
    <col min="3280" max="3281" width="14.85546875" style="3" customWidth="1"/>
    <col min="3282" max="3282" width="3.28515625" style="3" customWidth="1"/>
    <col min="3283" max="3283" width="20.140625" style="3" customWidth="1"/>
    <col min="3284" max="3284" width="3.28515625" style="3" customWidth="1"/>
    <col min="3285" max="3289" width="11" style="3"/>
    <col min="3290" max="3302" width="4.7109375" style="3" customWidth="1"/>
    <col min="3303" max="3512" width="11" style="3"/>
    <col min="3513" max="3513" width="0.7109375" style="3" customWidth="1"/>
    <col min="3514" max="3514" width="6.5703125" style="3" customWidth="1"/>
    <col min="3515" max="3515" width="13.5703125" style="3" customWidth="1"/>
    <col min="3516" max="3516" width="13.42578125" style="3" customWidth="1"/>
    <col min="3517" max="3518" width="12.5703125" style="3" customWidth="1"/>
    <col min="3519" max="3519" width="14.85546875" style="3" customWidth="1"/>
    <col min="3520" max="3520" width="20.7109375" style="3" customWidth="1"/>
    <col min="3521" max="3521" width="12.5703125" style="3" customWidth="1"/>
    <col min="3522" max="3522" width="13" style="3" customWidth="1"/>
    <col min="3523" max="3523" width="16" style="3" customWidth="1"/>
    <col min="3524" max="3524" width="6.42578125" style="3" customWidth="1"/>
    <col min="3525" max="3525" width="16" style="3" customWidth="1"/>
    <col min="3526" max="3526" width="2.85546875" style="3" customWidth="1"/>
    <col min="3527" max="3527" width="0.85546875" style="3" customWidth="1"/>
    <col min="3528" max="3528" width="11" style="3"/>
    <col min="3529" max="3529" width="15.42578125" style="3" customWidth="1"/>
    <col min="3530" max="3532" width="14.85546875" style="3" customWidth="1"/>
    <col min="3533" max="3533" width="0.7109375" style="3" customWidth="1"/>
    <col min="3534" max="3534" width="11" style="3"/>
    <col min="3535" max="3535" width="15.7109375" style="3" customWidth="1"/>
    <col min="3536" max="3537" width="14.85546875" style="3" customWidth="1"/>
    <col min="3538" max="3538" width="3.28515625" style="3" customWidth="1"/>
    <col min="3539" max="3539" width="20.140625" style="3" customWidth="1"/>
    <col min="3540" max="3540" width="3.28515625" style="3" customWidth="1"/>
    <col min="3541" max="3545" width="11" style="3"/>
    <col min="3546" max="3558" width="4.7109375" style="3" customWidth="1"/>
    <col min="3559" max="3768" width="11" style="3"/>
    <col min="3769" max="3769" width="0.7109375" style="3" customWidth="1"/>
    <col min="3770" max="3770" width="6.5703125" style="3" customWidth="1"/>
    <col min="3771" max="3771" width="13.5703125" style="3" customWidth="1"/>
    <col min="3772" max="3772" width="13.42578125" style="3" customWidth="1"/>
    <col min="3773" max="3774" width="12.5703125" style="3" customWidth="1"/>
    <col min="3775" max="3775" width="14.85546875" style="3" customWidth="1"/>
    <col min="3776" max="3776" width="20.7109375" style="3" customWidth="1"/>
    <col min="3777" max="3777" width="12.5703125" style="3" customWidth="1"/>
    <col min="3778" max="3778" width="13" style="3" customWidth="1"/>
    <col min="3779" max="3779" width="16" style="3" customWidth="1"/>
    <col min="3780" max="3780" width="6.42578125" style="3" customWidth="1"/>
    <col min="3781" max="3781" width="16" style="3" customWidth="1"/>
    <col min="3782" max="3782" width="2.85546875" style="3" customWidth="1"/>
    <col min="3783" max="3783" width="0.85546875" style="3" customWidth="1"/>
    <col min="3784" max="3784" width="11" style="3"/>
    <col min="3785" max="3785" width="15.42578125" style="3" customWidth="1"/>
    <col min="3786" max="3788" width="14.85546875" style="3" customWidth="1"/>
    <col min="3789" max="3789" width="0.7109375" style="3" customWidth="1"/>
    <col min="3790" max="3790" width="11" style="3"/>
    <col min="3791" max="3791" width="15.7109375" style="3" customWidth="1"/>
    <col min="3792" max="3793" width="14.85546875" style="3" customWidth="1"/>
    <col min="3794" max="3794" width="3.28515625" style="3" customWidth="1"/>
    <col min="3795" max="3795" width="20.140625" style="3" customWidth="1"/>
    <col min="3796" max="3796" width="3.28515625" style="3" customWidth="1"/>
    <col min="3797" max="3801" width="11" style="3"/>
    <col min="3802" max="3814" width="4.7109375" style="3" customWidth="1"/>
    <col min="3815" max="4024" width="11" style="3"/>
    <col min="4025" max="4025" width="0.7109375" style="3" customWidth="1"/>
    <col min="4026" max="4026" width="6.5703125" style="3" customWidth="1"/>
    <col min="4027" max="4027" width="13.5703125" style="3" customWidth="1"/>
    <col min="4028" max="4028" width="13.42578125" style="3" customWidth="1"/>
    <col min="4029" max="4030" width="12.5703125" style="3" customWidth="1"/>
    <col min="4031" max="4031" width="14.85546875" style="3" customWidth="1"/>
    <col min="4032" max="4032" width="20.7109375" style="3" customWidth="1"/>
    <col min="4033" max="4033" width="12.5703125" style="3" customWidth="1"/>
    <col min="4034" max="4034" width="13" style="3" customWidth="1"/>
    <col min="4035" max="4035" width="16" style="3" customWidth="1"/>
    <col min="4036" max="4036" width="6.42578125" style="3" customWidth="1"/>
    <col min="4037" max="4037" width="16" style="3" customWidth="1"/>
    <col min="4038" max="4038" width="2.85546875" style="3" customWidth="1"/>
    <col min="4039" max="4039" width="0.85546875" style="3" customWidth="1"/>
    <col min="4040" max="4040" width="11" style="3"/>
    <col min="4041" max="4041" width="15.42578125" style="3" customWidth="1"/>
    <col min="4042" max="4044" width="14.85546875" style="3" customWidth="1"/>
    <col min="4045" max="4045" width="0.7109375" style="3" customWidth="1"/>
    <col min="4046" max="4046" width="11" style="3"/>
    <col min="4047" max="4047" width="15.7109375" style="3" customWidth="1"/>
    <col min="4048" max="4049" width="14.85546875" style="3" customWidth="1"/>
    <col min="4050" max="4050" width="3.28515625" style="3" customWidth="1"/>
    <col min="4051" max="4051" width="20.140625" style="3" customWidth="1"/>
    <col min="4052" max="4052" width="3.28515625" style="3" customWidth="1"/>
    <col min="4053" max="4057" width="11" style="3"/>
    <col min="4058" max="4070" width="4.7109375" style="3" customWidth="1"/>
    <col min="4071" max="4280" width="11" style="3"/>
    <col min="4281" max="4281" width="0.7109375" style="3" customWidth="1"/>
    <col min="4282" max="4282" width="6.5703125" style="3" customWidth="1"/>
    <col min="4283" max="4283" width="13.5703125" style="3" customWidth="1"/>
    <col min="4284" max="4284" width="13.42578125" style="3" customWidth="1"/>
    <col min="4285" max="4286" width="12.5703125" style="3" customWidth="1"/>
    <col min="4287" max="4287" width="14.85546875" style="3" customWidth="1"/>
    <col min="4288" max="4288" width="20.7109375" style="3" customWidth="1"/>
    <col min="4289" max="4289" width="12.5703125" style="3" customWidth="1"/>
    <col min="4290" max="4290" width="13" style="3" customWidth="1"/>
    <col min="4291" max="4291" width="16" style="3" customWidth="1"/>
    <col min="4292" max="4292" width="6.42578125" style="3" customWidth="1"/>
    <col min="4293" max="4293" width="16" style="3" customWidth="1"/>
    <col min="4294" max="4294" width="2.85546875" style="3" customWidth="1"/>
    <col min="4295" max="4295" width="0.85546875" style="3" customWidth="1"/>
    <col min="4296" max="4296" width="11" style="3"/>
    <col min="4297" max="4297" width="15.42578125" style="3" customWidth="1"/>
    <col min="4298" max="4300" width="14.85546875" style="3" customWidth="1"/>
    <col min="4301" max="4301" width="0.7109375" style="3" customWidth="1"/>
    <col min="4302" max="4302" width="11" style="3"/>
    <col min="4303" max="4303" width="15.7109375" style="3" customWidth="1"/>
    <col min="4304" max="4305" width="14.85546875" style="3" customWidth="1"/>
    <col min="4306" max="4306" width="3.28515625" style="3" customWidth="1"/>
    <col min="4307" max="4307" width="20.140625" style="3" customWidth="1"/>
    <col min="4308" max="4308" width="3.28515625" style="3" customWidth="1"/>
    <col min="4309" max="4313" width="11" style="3"/>
    <col min="4314" max="4326" width="4.7109375" style="3" customWidth="1"/>
    <col min="4327" max="4536" width="11" style="3"/>
    <col min="4537" max="4537" width="0.7109375" style="3" customWidth="1"/>
    <col min="4538" max="4538" width="6.5703125" style="3" customWidth="1"/>
    <col min="4539" max="4539" width="13.5703125" style="3" customWidth="1"/>
    <col min="4540" max="4540" width="13.42578125" style="3" customWidth="1"/>
    <col min="4541" max="4542" width="12.5703125" style="3" customWidth="1"/>
    <col min="4543" max="4543" width="14.85546875" style="3" customWidth="1"/>
    <col min="4544" max="4544" width="20.7109375" style="3" customWidth="1"/>
    <col min="4545" max="4545" width="12.5703125" style="3" customWidth="1"/>
    <col min="4546" max="4546" width="13" style="3" customWidth="1"/>
    <col min="4547" max="4547" width="16" style="3" customWidth="1"/>
    <col min="4548" max="4548" width="6.42578125" style="3" customWidth="1"/>
    <col min="4549" max="4549" width="16" style="3" customWidth="1"/>
    <col min="4550" max="4550" width="2.85546875" style="3" customWidth="1"/>
    <col min="4551" max="4551" width="0.85546875" style="3" customWidth="1"/>
    <col min="4552" max="4552" width="11" style="3"/>
    <col min="4553" max="4553" width="15.42578125" style="3" customWidth="1"/>
    <col min="4554" max="4556" width="14.85546875" style="3" customWidth="1"/>
    <col min="4557" max="4557" width="0.7109375" style="3" customWidth="1"/>
    <col min="4558" max="4558" width="11" style="3"/>
    <col min="4559" max="4559" width="15.7109375" style="3" customWidth="1"/>
    <col min="4560" max="4561" width="14.85546875" style="3" customWidth="1"/>
    <col min="4562" max="4562" width="3.28515625" style="3" customWidth="1"/>
    <col min="4563" max="4563" width="20.140625" style="3" customWidth="1"/>
    <col min="4564" max="4564" width="3.28515625" style="3" customWidth="1"/>
    <col min="4565" max="4569" width="11" style="3"/>
    <col min="4570" max="4582" width="4.7109375" style="3" customWidth="1"/>
    <col min="4583" max="4792" width="11" style="3"/>
    <col min="4793" max="4793" width="0.7109375" style="3" customWidth="1"/>
    <col min="4794" max="4794" width="6.5703125" style="3" customWidth="1"/>
    <col min="4795" max="4795" width="13.5703125" style="3" customWidth="1"/>
    <col min="4796" max="4796" width="13.42578125" style="3" customWidth="1"/>
    <col min="4797" max="4798" width="12.5703125" style="3" customWidth="1"/>
    <col min="4799" max="4799" width="14.85546875" style="3" customWidth="1"/>
    <col min="4800" max="4800" width="20.7109375" style="3" customWidth="1"/>
    <col min="4801" max="4801" width="12.5703125" style="3" customWidth="1"/>
    <col min="4802" max="4802" width="13" style="3" customWidth="1"/>
    <col min="4803" max="4803" width="16" style="3" customWidth="1"/>
    <col min="4804" max="4804" width="6.42578125" style="3" customWidth="1"/>
    <col min="4805" max="4805" width="16" style="3" customWidth="1"/>
    <col min="4806" max="4806" width="2.85546875" style="3" customWidth="1"/>
    <col min="4807" max="4807" width="0.85546875" style="3" customWidth="1"/>
    <col min="4808" max="4808" width="11" style="3"/>
    <col min="4809" max="4809" width="15.42578125" style="3" customWidth="1"/>
    <col min="4810" max="4812" width="14.85546875" style="3" customWidth="1"/>
    <col min="4813" max="4813" width="0.7109375" style="3" customWidth="1"/>
    <col min="4814" max="4814" width="11" style="3"/>
    <col min="4815" max="4815" width="15.7109375" style="3" customWidth="1"/>
    <col min="4816" max="4817" width="14.85546875" style="3" customWidth="1"/>
    <col min="4818" max="4818" width="3.28515625" style="3" customWidth="1"/>
    <col min="4819" max="4819" width="20.140625" style="3" customWidth="1"/>
    <col min="4820" max="4820" width="3.28515625" style="3" customWidth="1"/>
    <col min="4821" max="4825" width="11" style="3"/>
    <col min="4826" max="4838" width="4.7109375" style="3" customWidth="1"/>
    <col min="4839" max="5048" width="11" style="3"/>
    <col min="5049" max="5049" width="0.7109375" style="3" customWidth="1"/>
    <col min="5050" max="5050" width="6.5703125" style="3" customWidth="1"/>
    <col min="5051" max="5051" width="13.5703125" style="3" customWidth="1"/>
    <col min="5052" max="5052" width="13.42578125" style="3" customWidth="1"/>
    <col min="5053" max="5054" width="12.5703125" style="3" customWidth="1"/>
    <col min="5055" max="5055" width="14.85546875" style="3" customWidth="1"/>
    <col min="5056" max="5056" width="20.7109375" style="3" customWidth="1"/>
    <col min="5057" max="5057" width="12.5703125" style="3" customWidth="1"/>
    <col min="5058" max="5058" width="13" style="3" customWidth="1"/>
    <col min="5059" max="5059" width="16" style="3" customWidth="1"/>
    <col min="5060" max="5060" width="6.42578125" style="3" customWidth="1"/>
    <col min="5061" max="5061" width="16" style="3" customWidth="1"/>
    <col min="5062" max="5062" width="2.85546875" style="3" customWidth="1"/>
    <col min="5063" max="5063" width="0.85546875" style="3" customWidth="1"/>
    <col min="5064" max="5064" width="11" style="3"/>
    <col min="5065" max="5065" width="15.42578125" style="3" customWidth="1"/>
    <col min="5066" max="5068" width="14.85546875" style="3" customWidth="1"/>
    <col min="5069" max="5069" width="0.7109375" style="3" customWidth="1"/>
    <col min="5070" max="5070" width="11" style="3"/>
    <col min="5071" max="5071" width="15.7109375" style="3" customWidth="1"/>
    <col min="5072" max="5073" width="14.85546875" style="3" customWidth="1"/>
    <col min="5074" max="5074" width="3.28515625" style="3" customWidth="1"/>
    <col min="5075" max="5075" width="20.140625" style="3" customWidth="1"/>
    <col min="5076" max="5076" width="3.28515625" style="3" customWidth="1"/>
    <col min="5077" max="5081" width="11" style="3"/>
    <col min="5082" max="5094" width="4.7109375" style="3" customWidth="1"/>
    <col min="5095" max="5304" width="11" style="3"/>
    <col min="5305" max="5305" width="0.7109375" style="3" customWidth="1"/>
    <col min="5306" max="5306" width="6.5703125" style="3" customWidth="1"/>
    <col min="5307" max="5307" width="13.5703125" style="3" customWidth="1"/>
    <col min="5308" max="5308" width="13.42578125" style="3" customWidth="1"/>
    <col min="5309" max="5310" width="12.5703125" style="3" customWidth="1"/>
    <col min="5311" max="5311" width="14.85546875" style="3" customWidth="1"/>
    <col min="5312" max="5312" width="20.7109375" style="3" customWidth="1"/>
    <col min="5313" max="5313" width="12.5703125" style="3" customWidth="1"/>
    <col min="5314" max="5314" width="13" style="3" customWidth="1"/>
    <col min="5315" max="5315" width="16" style="3" customWidth="1"/>
    <col min="5316" max="5316" width="6.42578125" style="3" customWidth="1"/>
    <col min="5317" max="5317" width="16" style="3" customWidth="1"/>
    <col min="5318" max="5318" width="2.85546875" style="3" customWidth="1"/>
    <col min="5319" max="5319" width="0.85546875" style="3" customWidth="1"/>
    <col min="5320" max="5320" width="11" style="3"/>
    <col min="5321" max="5321" width="15.42578125" style="3" customWidth="1"/>
    <col min="5322" max="5324" width="14.85546875" style="3" customWidth="1"/>
    <col min="5325" max="5325" width="0.7109375" style="3" customWidth="1"/>
    <col min="5326" max="5326" width="11" style="3"/>
    <col min="5327" max="5327" width="15.7109375" style="3" customWidth="1"/>
    <col min="5328" max="5329" width="14.85546875" style="3" customWidth="1"/>
    <col min="5330" max="5330" width="3.28515625" style="3" customWidth="1"/>
    <col min="5331" max="5331" width="20.140625" style="3" customWidth="1"/>
    <col min="5332" max="5332" width="3.28515625" style="3" customWidth="1"/>
    <col min="5333" max="5337" width="11" style="3"/>
    <col min="5338" max="5350" width="4.7109375" style="3" customWidth="1"/>
    <col min="5351" max="5560" width="11" style="3"/>
    <col min="5561" max="5561" width="0.7109375" style="3" customWidth="1"/>
    <col min="5562" max="5562" width="6.5703125" style="3" customWidth="1"/>
    <col min="5563" max="5563" width="13.5703125" style="3" customWidth="1"/>
    <col min="5564" max="5564" width="13.42578125" style="3" customWidth="1"/>
    <col min="5565" max="5566" width="12.5703125" style="3" customWidth="1"/>
    <col min="5567" max="5567" width="14.85546875" style="3" customWidth="1"/>
    <col min="5568" max="5568" width="20.7109375" style="3" customWidth="1"/>
    <col min="5569" max="5569" width="12.5703125" style="3" customWidth="1"/>
    <col min="5570" max="5570" width="13" style="3" customWidth="1"/>
    <col min="5571" max="5571" width="16" style="3" customWidth="1"/>
    <col min="5572" max="5572" width="6.42578125" style="3" customWidth="1"/>
    <col min="5573" max="5573" width="16" style="3" customWidth="1"/>
    <col min="5574" max="5574" width="2.85546875" style="3" customWidth="1"/>
    <col min="5575" max="5575" width="0.85546875" style="3" customWidth="1"/>
    <col min="5576" max="5576" width="11" style="3"/>
    <col min="5577" max="5577" width="15.42578125" style="3" customWidth="1"/>
    <col min="5578" max="5580" width="14.85546875" style="3" customWidth="1"/>
    <col min="5581" max="5581" width="0.7109375" style="3" customWidth="1"/>
    <col min="5582" max="5582" width="11" style="3"/>
    <col min="5583" max="5583" width="15.7109375" style="3" customWidth="1"/>
    <col min="5584" max="5585" width="14.85546875" style="3" customWidth="1"/>
    <col min="5586" max="5586" width="3.28515625" style="3" customWidth="1"/>
    <col min="5587" max="5587" width="20.140625" style="3" customWidth="1"/>
    <col min="5588" max="5588" width="3.28515625" style="3" customWidth="1"/>
    <col min="5589" max="5593" width="11" style="3"/>
    <col min="5594" max="5606" width="4.7109375" style="3" customWidth="1"/>
    <col min="5607" max="5816" width="11" style="3"/>
    <col min="5817" max="5817" width="0.7109375" style="3" customWidth="1"/>
    <col min="5818" max="5818" width="6.5703125" style="3" customWidth="1"/>
    <col min="5819" max="5819" width="13.5703125" style="3" customWidth="1"/>
    <col min="5820" max="5820" width="13.42578125" style="3" customWidth="1"/>
    <col min="5821" max="5822" width="12.5703125" style="3" customWidth="1"/>
    <col min="5823" max="5823" width="14.85546875" style="3" customWidth="1"/>
    <col min="5824" max="5824" width="20.7109375" style="3" customWidth="1"/>
    <col min="5825" max="5825" width="12.5703125" style="3" customWidth="1"/>
    <col min="5826" max="5826" width="13" style="3" customWidth="1"/>
    <col min="5827" max="5827" width="16" style="3" customWidth="1"/>
    <col min="5828" max="5828" width="6.42578125" style="3" customWidth="1"/>
    <col min="5829" max="5829" width="16" style="3" customWidth="1"/>
    <col min="5830" max="5830" width="2.85546875" style="3" customWidth="1"/>
    <col min="5831" max="5831" width="0.85546875" style="3" customWidth="1"/>
    <col min="5832" max="5832" width="11" style="3"/>
    <col min="5833" max="5833" width="15.42578125" style="3" customWidth="1"/>
    <col min="5834" max="5836" width="14.85546875" style="3" customWidth="1"/>
    <col min="5837" max="5837" width="0.7109375" style="3" customWidth="1"/>
    <col min="5838" max="5838" width="11" style="3"/>
    <col min="5839" max="5839" width="15.7109375" style="3" customWidth="1"/>
    <col min="5840" max="5841" width="14.85546875" style="3" customWidth="1"/>
    <col min="5842" max="5842" width="3.28515625" style="3" customWidth="1"/>
    <col min="5843" max="5843" width="20.140625" style="3" customWidth="1"/>
    <col min="5844" max="5844" width="3.28515625" style="3" customWidth="1"/>
    <col min="5845" max="5849" width="11" style="3"/>
    <col min="5850" max="5862" width="4.7109375" style="3" customWidth="1"/>
    <col min="5863" max="6072" width="11" style="3"/>
    <col min="6073" max="6073" width="0.7109375" style="3" customWidth="1"/>
    <col min="6074" max="6074" width="6.5703125" style="3" customWidth="1"/>
    <col min="6075" max="6075" width="13.5703125" style="3" customWidth="1"/>
    <col min="6076" max="6076" width="13.42578125" style="3" customWidth="1"/>
    <col min="6077" max="6078" width="12.5703125" style="3" customWidth="1"/>
    <col min="6079" max="6079" width="14.85546875" style="3" customWidth="1"/>
    <col min="6080" max="6080" width="20.7109375" style="3" customWidth="1"/>
    <col min="6081" max="6081" width="12.5703125" style="3" customWidth="1"/>
    <col min="6082" max="6082" width="13" style="3" customWidth="1"/>
    <col min="6083" max="6083" width="16" style="3" customWidth="1"/>
    <col min="6084" max="6084" width="6.42578125" style="3" customWidth="1"/>
    <col min="6085" max="6085" width="16" style="3" customWidth="1"/>
    <col min="6086" max="6086" width="2.85546875" style="3" customWidth="1"/>
    <col min="6087" max="6087" width="0.85546875" style="3" customWidth="1"/>
    <col min="6088" max="6088" width="11" style="3"/>
    <col min="6089" max="6089" width="15.42578125" style="3" customWidth="1"/>
    <col min="6090" max="6092" width="14.85546875" style="3" customWidth="1"/>
    <col min="6093" max="6093" width="0.7109375" style="3" customWidth="1"/>
    <col min="6094" max="6094" width="11" style="3"/>
    <col min="6095" max="6095" width="15.7109375" style="3" customWidth="1"/>
    <col min="6096" max="6097" width="14.85546875" style="3" customWidth="1"/>
    <col min="6098" max="6098" width="3.28515625" style="3" customWidth="1"/>
    <col min="6099" max="6099" width="20.140625" style="3" customWidth="1"/>
    <col min="6100" max="6100" width="3.28515625" style="3" customWidth="1"/>
    <col min="6101" max="6105" width="11" style="3"/>
    <col min="6106" max="6118" width="4.7109375" style="3" customWidth="1"/>
    <col min="6119" max="6328" width="11" style="3"/>
    <col min="6329" max="6329" width="0.7109375" style="3" customWidth="1"/>
    <col min="6330" max="6330" width="6.5703125" style="3" customWidth="1"/>
    <col min="6331" max="6331" width="13.5703125" style="3" customWidth="1"/>
    <col min="6332" max="6332" width="13.42578125" style="3" customWidth="1"/>
    <col min="6333" max="6334" width="12.5703125" style="3" customWidth="1"/>
    <col min="6335" max="6335" width="14.85546875" style="3" customWidth="1"/>
    <col min="6336" max="6336" width="20.7109375" style="3" customWidth="1"/>
    <col min="6337" max="6337" width="12.5703125" style="3" customWidth="1"/>
    <col min="6338" max="6338" width="13" style="3" customWidth="1"/>
    <col min="6339" max="6339" width="16" style="3" customWidth="1"/>
    <col min="6340" max="6340" width="6.42578125" style="3" customWidth="1"/>
    <col min="6341" max="6341" width="16" style="3" customWidth="1"/>
    <col min="6342" max="6342" width="2.85546875" style="3" customWidth="1"/>
    <col min="6343" max="6343" width="0.85546875" style="3" customWidth="1"/>
    <col min="6344" max="6344" width="11" style="3"/>
    <col min="6345" max="6345" width="15.42578125" style="3" customWidth="1"/>
    <col min="6346" max="6348" width="14.85546875" style="3" customWidth="1"/>
    <col min="6349" max="6349" width="0.7109375" style="3" customWidth="1"/>
    <col min="6350" max="6350" width="11" style="3"/>
    <col min="6351" max="6351" width="15.7109375" style="3" customWidth="1"/>
    <col min="6352" max="6353" width="14.85546875" style="3" customWidth="1"/>
    <col min="6354" max="6354" width="3.28515625" style="3" customWidth="1"/>
    <col min="6355" max="6355" width="20.140625" style="3" customWidth="1"/>
    <col min="6356" max="6356" width="3.28515625" style="3" customWidth="1"/>
    <col min="6357" max="6361" width="11" style="3"/>
    <col min="6362" max="6374" width="4.7109375" style="3" customWidth="1"/>
    <col min="6375" max="6584" width="11" style="3"/>
    <col min="6585" max="6585" width="0.7109375" style="3" customWidth="1"/>
    <col min="6586" max="6586" width="6.5703125" style="3" customWidth="1"/>
    <col min="6587" max="6587" width="13.5703125" style="3" customWidth="1"/>
    <col min="6588" max="6588" width="13.42578125" style="3" customWidth="1"/>
    <col min="6589" max="6590" width="12.5703125" style="3" customWidth="1"/>
    <col min="6591" max="6591" width="14.85546875" style="3" customWidth="1"/>
    <col min="6592" max="6592" width="20.7109375" style="3" customWidth="1"/>
    <col min="6593" max="6593" width="12.5703125" style="3" customWidth="1"/>
    <col min="6594" max="6594" width="13" style="3" customWidth="1"/>
    <col min="6595" max="6595" width="16" style="3" customWidth="1"/>
    <col min="6596" max="6596" width="6.42578125" style="3" customWidth="1"/>
    <col min="6597" max="6597" width="16" style="3" customWidth="1"/>
    <col min="6598" max="6598" width="2.85546875" style="3" customWidth="1"/>
    <col min="6599" max="6599" width="0.85546875" style="3" customWidth="1"/>
    <col min="6600" max="6600" width="11" style="3"/>
    <col min="6601" max="6601" width="15.42578125" style="3" customWidth="1"/>
    <col min="6602" max="6604" width="14.85546875" style="3" customWidth="1"/>
    <col min="6605" max="6605" width="0.7109375" style="3" customWidth="1"/>
    <col min="6606" max="6606" width="11" style="3"/>
    <col min="6607" max="6607" width="15.7109375" style="3" customWidth="1"/>
    <col min="6608" max="6609" width="14.85546875" style="3" customWidth="1"/>
    <col min="6610" max="6610" width="3.28515625" style="3" customWidth="1"/>
    <col min="6611" max="6611" width="20.140625" style="3" customWidth="1"/>
    <col min="6612" max="6612" width="3.28515625" style="3" customWidth="1"/>
    <col min="6613" max="6617" width="11" style="3"/>
    <col min="6618" max="6630" width="4.7109375" style="3" customWidth="1"/>
    <col min="6631" max="6840" width="11" style="3"/>
    <col min="6841" max="6841" width="0.7109375" style="3" customWidth="1"/>
    <col min="6842" max="6842" width="6.5703125" style="3" customWidth="1"/>
    <col min="6843" max="6843" width="13.5703125" style="3" customWidth="1"/>
    <col min="6844" max="6844" width="13.42578125" style="3" customWidth="1"/>
    <col min="6845" max="6846" width="12.5703125" style="3" customWidth="1"/>
    <col min="6847" max="6847" width="14.85546875" style="3" customWidth="1"/>
    <col min="6848" max="6848" width="20.7109375" style="3" customWidth="1"/>
    <col min="6849" max="6849" width="12.5703125" style="3" customWidth="1"/>
    <col min="6850" max="6850" width="13" style="3" customWidth="1"/>
    <col min="6851" max="6851" width="16" style="3" customWidth="1"/>
    <col min="6852" max="6852" width="6.42578125" style="3" customWidth="1"/>
    <col min="6853" max="6853" width="16" style="3" customWidth="1"/>
    <col min="6854" max="6854" width="2.85546875" style="3" customWidth="1"/>
    <col min="6855" max="6855" width="0.85546875" style="3" customWidth="1"/>
    <col min="6856" max="6856" width="11" style="3"/>
    <col min="6857" max="6857" width="15.42578125" style="3" customWidth="1"/>
    <col min="6858" max="6860" width="14.85546875" style="3" customWidth="1"/>
    <col min="6861" max="6861" width="0.7109375" style="3" customWidth="1"/>
    <col min="6862" max="6862" width="11" style="3"/>
    <col min="6863" max="6863" width="15.7109375" style="3" customWidth="1"/>
    <col min="6864" max="6865" width="14.85546875" style="3" customWidth="1"/>
    <col min="6866" max="6866" width="3.28515625" style="3" customWidth="1"/>
    <col min="6867" max="6867" width="20.140625" style="3" customWidth="1"/>
    <col min="6868" max="6868" width="3.28515625" style="3" customWidth="1"/>
    <col min="6869" max="6873" width="11" style="3"/>
    <col min="6874" max="6886" width="4.7109375" style="3" customWidth="1"/>
    <col min="6887" max="7096" width="11" style="3"/>
    <col min="7097" max="7097" width="0.7109375" style="3" customWidth="1"/>
    <col min="7098" max="7098" width="6.5703125" style="3" customWidth="1"/>
    <col min="7099" max="7099" width="13.5703125" style="3" customWidth="1"/>
    <col min="7100" max="7100" width="13.42578125" style="3" customWidth="1"/>
    <col min="7101" max="7102" width="12.5703125" style="3" customWidth="1"/>
    <col min="7103" max="7103" width="14.85546875" style="3" customWidth="1"/>
    <col min="7104" max="7104" width="20.7109375" style="3" customWidth="1"/>
    <col min="7105" max="7105" width="12.5703125" style="3" customWidth="1"/>
    <col min="7106" max="7106" width="13" style="3" customWidth="1"/>
    <col min="7107" max="7107" width="16" style="3" customWidth="1"/>
    <col min="7108" max="7108" width="6.42578125" style="3" customWidth="1"/>
    <col min="7109" max="7109" width="16" style="3" customWidth="1"/>
    <col min="7110" max="7110" width="2.85546875" style="3" customWidth="1"/>
    <col min="7111" max="7111" width="0.85546875" style="3" customWidth="1"/>
    <col min="7112" max="7112" width="11" style="3"/>
    <col min="7113" max="7113" width="15.42578125" style="3" customWidth="1"/>
    <col min="7114" max="7116" width="14.85546875" style="3" customWidth="1"/>
    <col min="7117" max="7117" width="0.7109375" style="3" customWidth="1"/>
    <col min="7118" max="7118" width="11" style="3"/>
    <col min="7119" max="7119" width="15.7109375" style="3" customWidth="1"/>
    <col min="7120" max="7121" width="14.85546875" style="3" customWidth="1"/>
    <col min="7122" max="7122" width="3.28515625" style="3" customWidth="1"/>
    <col min="7123" max="7123" width="20.140625" style="3" customWidth="1"/>
    <col min="7124" max="7124" width="3.28515625" style="3" customWidth="1"/>
    <col min="7125" max="7129" width="11" style="3"/>
    <col min="7130" max="7142" width="4.7109375" style="3" customWidth="1"/>
    <col min="7143" max="7352" width="11" style="3"/>
    <col min="7353" max="7353" width="0.7109375" style="3" customWidth="1"/>
    <col min="7354" max="7354" width="6.5703125" style="3" customWidth="1"/>
    <col min="7355" max="7355" width="13.5703125" style="3" customWidth="1"/>
    <col min="7356" max="7356" width="13.42578125" style="3" customWidth="1"/>
    <col min="7357" max="7358" width="12.5703125" style="3" customWidth="1"/>
    <col min="7359" max="7359" width="14.85546875" style="3" customWidth="1"/>
    <col min="7360" max="7360" width="20.7109375" style="3" customWidth="1"/>
    <col min="7361" max="7361" width="12.5703125" style="3" customWidth="1"/>
    <col min="7362" max="7362" width="13" style="3" customWidth="1"/>
    <col min="7363" max="7363" width="16" style="3" customWidth="1"/>
    <col min="7364" max="7364" width="6.42578125" style="3" customWidth="1"/>
    <col min="7365" max="7365" width="16" style="3" customWidth="1"/>
    <col min="7366" max="7366" width="2.85546875" style="3" customWidth="1"/>
    <col min="7367" max="7367" width="0.85546875" style="3" customWidth="1"/>
    <col min="7368" max="7368" width="11" style="3"/>
    <col min="7369" max="7369" width="15.42578125" style="3" customWidth="1"/>
    <col min="7370" max="7372" width="14.85546875" style="3" customWidth="1"/>
    <col min="7373" max="7373" width="0.7109375" style="3" customWidth="1"/>
    <col min="7374" max="7374" width="11" style="3"/>
    <col min="7375" max="7375" width="15.7109375" style="3" customWidth="1"/>
    <col min="7376" max="7377" width="14.85546875" style="3" customWidth="1"/>
    <col min="7378" max="7378" width="3.28515625" style="3" customWidth="1"/>
    <col min="7379" max="7379" width="20.140625" style="3" customWidth="1"/>
    <col min="7380" max="7380" width="3.28515625" style="3" customWidth="1"/>
    <col min="7381" max="7385" width="11" style="3"/>
    <col min="7386" max="7398" width="4.7109375" style="3" customWidth="1"/>
    <col min="7399" max="7608" width="11" style="3"/>
    <col min="7609" max="7609" width="0.7109375" style="3" customWidth="1"/>
    <col min="7610" max="7610" width="6.5703125" style="3" customWidth="1"/>
    <col min="7611" max="7611" width="13.5703125" style="3" customWidth="1"/>
    <col min="7612" max="7612" width="13.42578125" style="3" customWidth="1"/>
    <col min="7613" max="7614" width="12.5703125" style="3" customWidth="1"/>
    <col min="7615" max="7615" width="14.85546875" style="3" customWidth="1"/>
    <col min="7616" max="7616" width="20.7109375" style="3" customWidth="1"/>
    <col min="7617" max="7617" width="12.5703125" style="3" customWidth="1"/>
    <col min="7618" max="7618" width="13" style="3" customWidth="1"/>
    <col min="7619" max="7619" width="16" style="3" customWidth="1"/>
    <col min="7620" max="7620" width="6.42578125" style="3" customWidth="1"/>
    <col min="7621" max="7621" width="16" style="3" customWidth="1"/>
    <col min="7622" max="7622" width="2.85546875" style="3" customWidth="1"/>
    <col min="7623" max="7623" width="0.85546875" style="3" customWidth="1"/>
    <col min="7624" max="7624" width="11" style="3"/>
    <col min="7625" max="7625" width="15.42578125" style="3" customWidth="1"/>
    <col min="7626" max="7628" width="14.85546875" style="3" customWidth="1"/>
    <col min="7629" max="7629" width="0.7109375" style="3" customWidth="1"/>
    <col min="7630" max="7630" width="11" style="3"/>
    <col min="7631" max="7631" width="15.7109375" style="3" customWidth="1"/>
    <col min="7632" max="7633" width="14.85546875" style="3" customWidth="1"/>
    <col min="7634" max="7634" width="3.28515625" style="3" customWidth="1"/>
    <col min="7635" max="7635" width="20.140625" style="3" customWidth="1"/>
    <col min="7636" max="7636" width="3.28515625" style="3" customWidth="1"/>
    <col min="7637" max="7641" width="11" style="3"/>
    <col min="7642" max="7654" width="4.7109375" style="3" customWidth="1"/>
    <col min="7655" max="7864" width="11" style="3"/>
    <col min="7865" max="7865" width="0.7109375" style="3" customWidth="1"/>
    <col min="7866" max="7866" width="6.5703125" style="3" customWidth="1"/>
    <col min="7867" max="7867" width="13.5703125" style="3" customWidth="1"/>
    <col min="7868" max="7868" width="13.42578125" style="3" customWidth="1"/>
    <col min="7869" max="7870" width="12.5703125" style="3" customWidth="1"/>
    <col min="7871" max="7871" width="14.85546875" style="3" customWidth="1"/>
    <col min="7872" max="7872" width="20.7109375" style="3" customWidth="1"/>
    <col min="7873" max="7873" width="12.5703125" style="3" customWidth="1"/>
    <col min="7874" max="7874" width="13" style="3" customWidth="1"/>
    <col min="7875" max="7875" width="16" style="3" customWidth="1"/>
    <col min="7876" max="7876" width="6.42578125" style="3" customWidth="1"/>
    <col min="7877" max="7877" width="16" style="3" customWidth="1"/>
    <col min="7878" max="7878" width="2.85546875" style="3" customWidth="1"/>
    <col min="7879" max="7879" width="0.85546875" style="3" customWidth="1"/>
    <col min="7880" max="7880" width="11" style="3"/>
    <col min="7881" max="7881" width="15.42578125" style="3" customWidth="1"/>
    <col min="7882" max="7884" width="14.85546875" style="3" customWidth="1"/>
    <col min="7885" max="7885" width="0.7109375" style="3" customWidth="1"/>
    <col min="7886" max="7886" width="11" style="3"/>
    <col min="7887" max="7887" width="15.7109375" style="3" customWidth="1"/>
    <col min="7888" max="7889" width="14.85546875" style="3" customWidth="1"/>
    <col min="7890" max="7890" width="3.28515625" style="3" customWidth="1"/>
    <col min="7891" max="7891" width="20.140625" style="3" customWidth="1"/>
    <col min="7892" max="7892" width="3.28515625" style="3" customWidth="1"/>
    <col min="7893" max="7897" width="11" style="3"/>
    <col min="7898" max="7910" width="4.7109375" style="3" customWidth="1"/>
    <col min="7911" max="8120" width="11" style="3"/>
    <col min="8121" max="8121" width="0.7109375" style="3" customWidth="1"/>
    <col min="8122" max="8122" width="6.5703125" style="3" customWidth="1"/>
    <col min="8123" max="8123" width="13.5703125" style="3" customWidth="1"/>
    <col min="8124" max="8124" width="13.42578125" style="3" customWidth="1"/>
    <col min="8125" max="8126" width="12.5703125" style="3" customWidth="1"/>
    <col min="8127" max="8127" width="14.85546875" style="3" customWidth="1"/>
    <col min="8128" max="8128" width="20.7109375" style="3" customWidth="1"/>
    <col min="8129" max="8129" width="12.5703125" style="3" customWidth="1"/>
    <col min="8130" max="8130" width="13" style="3" customWidth="1"/>
    <col min="8131" max="8131" width="16" style="3" customWidth="1"/>
    <col min="8132" max="8132" width="6.42578125" style="3" customWidth="1"/>
    <col min="8133" max="8133" width="16" style="3" customWidth="1"/>
    <col min="8134" max="8134" width="2.85546875" style="3" customWidth="1"/>
    <col min="8135" max="8135" width="0.85546875" style="3" customWidth="1"/>
    <col min="8136" max="8136" width="11" style="3"/>
    <col min="8137" max="8137" width="15.42578125" style="3" customWidth="1"/>
    <col min="8138" max="8140" width="14.85546875" style="3" customWidth="1"/>
    <col min="8141" max="8141" width="0.7109375" style="3" customWidth="1"/>
    <col min="8142" max="8142" width="11" style="3"/>
    <col min="8143" max="8143" width="15.7109375" style="3" customWidth="1"/>
    <col min="8144" max="8145" width="14.85546875" style="3" customWidth="1"/>
    <col min="8146" max="8146" width="3.28515625" style="3" customWidth="1"/>
    <col min="8147" max="8147" width="20.140625" style="3" customWidth="1"/>
    <col min="8148" max="8148" width="3.28515625" style="3" customWidth="1"/>
    <col min="8149" max="8153" width="11" style="3"/>
    <col min="8154" max="8166" width="4.7109375" style="3" customWidth="1"/>
    <col min="8167" max="8376" width="11" style="3"/>
    <col min="8377" max="8377" width="0.7109375" style="3" customWidth="1"/>
    <col min="8378" max="8378" width="6.5703125" style="3" customWidth="1"/>
    <col min="8379" max="8379" width="13.5703125" style="3" customWidth="1"/>
    <col min="8380" max="8380" width="13.42578125" style="3" customWidth="1"/>
    <col min="8381" max="8382" width="12.5703125" style="3" customWidth="1"/>
    <col min="8383" max="8383" width="14.85546875" style="3" customWidth="1"/>
    <col min="8384" max="8384" width="20.7109375" style="3" customWidth="1"/>
    <col min="8385" max="8385" width="12.5703125" style="3" customWidth="1"/>
    <col min="8386" max="8386" width="13" style="3" customWidth="1"/>
    <col min="8387" max="8387" width="16" style="3" customWidth="1"/>
    <col min="8388" max="8388" width="6.42578125" style="3" customWidth="1"/>
    <col min="8389" max="8389" width="16" style="3" customWidth="1"/>
    <col min="8390" max="8390" width="2.85546875" style="3" customWidth="1"/>
    <col min="8391" max="8391" width="0.85546875" style="3" customWidth="1"/>
    <col min="8392" max="8392" width="11" style="3"/>
    <col min="8393" max="8393" width="15.42578125" style="3" customWidth="1"/>
    <col min="8394" max="8396" width="14.85546875" style="3" customWidth="1"/>
    <col min="8397" max="8397" width="0.7109375" style="3" customWidth="1"/>
    <col min="8398" max="8398" width="11" style="3"/>
    <col min="8399" max="8399" width="15.7109375" style="3" customWidth="1"/>
    <col min="8400" max="8401" width="14.85546875" style="3" customWidth="1"/>
    <col min="8402" max="8402" width="3.28515625" style="3" customWidth="1"/>
    <col min="8403" max="8403" width="20.140625" style="3" customWidth="1"/>
    <col min="8404" max="8404" width="3.28515625" style="3" customWidth="1"/>
    <col min="8405" max="8409" width="11" style="3"/>
    <col min="8410" max="8422" width="4.7109375" style="3" customWidth="1"/>
    <col min="8423" max="8632" width="11" style="3"/>
    <col min="8633" max="8633" width="0.7109375" style="3" customWidth="1"/>
    <col min="8634" max="8634" width="6.5703125" style="3" customWidth="1"/>
    <col min="8635" max="8635" width="13.5703125" style="3" customWidth="1"/>
    <col min="8636" max="8636" width="13.42578125" style="3" customWidth="1"/>
    <col min="8637" max="8638" width="12.5703125" style="3" customWidth="1"/>
    <col min="8639" max="8639" width="14.85546875" style="3" customWidth="1"/>
    <col min="8640" max="8640" width="20.7109375" style="3" customWidth="1"/>
    <col min="8641" max="8641" width="12.5703125" style="3" customWidth="1"/>
    <col min="8642" max="8642" width="13" style="3" customWidth="1"/>
    <col min="8643" max="8643" width="16" style="3" customWidth="1"/>
    <col min="8644" max="8644" width="6.42578125" style="3" customWidth="1"/>
    <col min="8645" max="8645" width="16" style="3" customWidth="1"/>
    <col min="8646" max="8646" width="2.85546875" style="3" customWidth="1"/>
    <col min="8647" max="8647" width="0.85546875" style="3" customWidth="1"/>
    <col min="8648" max="8648" width="11" style="3"/>
    <col min="8649" max="8649" width="15.42578125" style="3" customWidth="1"/>
    <col min="8650" max="8652" width="14.85546875" style="3" customWidth="1"/>
    <col min="8653" max="8653" width="0.7109375" style="3" customWidth="1"/>
    <col min="8654" max="8654" width="11" style="3"/>
    <col min="8655" max="8655" width="15.7109375" style="3" customWidth="1"/>
    <col min="8656" max="8657" width="14.85546875" style="3" customWidth="1"/>
    <col min="8658" max="8658" width="3.28515625" style="3" customWidth="1"/>
    <col min="8659" max="8659" width="20.140625" style="3" customWidth="1"/>
    <col min="8660" max="8660" width="3.28515625" style="3" customWidth="1"/>
    <col min="8661" max="8665" width="11" style="3"/>
    <col min="8666" max="8678" width="4.7109375" style="3" customWidth="1"/>
    <col min="8679" max="8888" width="11" style="3"/>
    <col min="8889" max="8889" width="0.7109375" style="3" customWidth="1"/>
    <col min="8890" max="8890" width="6.5703125" style="3" customWidth="1"/>
    <col min="8891" max="8891" width="13.5703125" style="3" customWidth="1"/>
    <col min="8892" max="8892" width="13.42578125" style="3" customWidth="1"/>
    <col min="8893" max="8894" width="12.5703125" style="3" customWidth="1"/>
    <col min="8895" max="8895" width="14.85546875" style="3" customWidth="1"/>
    <col min="8896" max="8896" width="20.7109375" style="3" customWidth="1"/>
    <col min="8897" max="8897" width="12.5703125" style="3" customWidth="1"/>
    <col min="8898" max="8898" width="13" style="3" customWidth="1"/>
    <col min="8899" max="8899" width="16" style="3" customWidth="1"/>
    <col min="8900" max="8900" width="6.42578125" style="3" customWidth="1"/>
    <col min="8901" max="8901" width="16" style="3" customWidth="1"/>
    <col min="8902" max="8902" width="2.85546875" style="3" customWidth="1"/>
    <col min="8903" max="8903" width="0.85546875" style="3" customWidth="1"/>
    <col min="8904" max="8904" width="11" style="3"/>
    <col min="8905" max="8905" width="15.42578125" style="3" customWidth="1"/>
    <col min="8906" max="8908" width="14.85546875" style="3" customWidth="1"/>
    <col min="8909" max="8909" width="0.7109375" style="3" customWidth="1"/>
    <col min="8910" max="8910" width="11" style="3"/>
    <col min="8911" max="8911" width="15.7109375" style="3" customWidth="1"/>
    <col min="8912" max="8913" width="14.85546875" style="3" customWidth="1"/>
    <col min="8914" max="8914" width="3.28515625" style="3" customWidth="1"/>
    <col min="8915" max="8915" width="20.140625" style="3" customWidth="1"/>
    <col min="8916" max="8916" width="3.28515625" style="3" customWidth="1"/>
    <col min="8917" max="8921" width="11" style="3"/>
    <col min="8922" max="8934" width="4.7109375" style="3" customWidth="1"/>
    <col min="8935" max="9144" width="11" style="3"/>
    <col min="9145" max="9145" width="0.7109375" style="3" customWidth="1"/>
    <col min="9146" max="9146" width="6.5703125" style="3" customWidth="1"/>
    <col min="9147" max="9147" width="13.5703125" style="3" customWidth="1"/>
    <col min="9148" max="9148" width="13.42578125" style="3" customWidth="1"/>
    <col min="9149" max="9150" width="12.5703125" style="3" customWidth="1"/>
    <col min="9151" max="9151" width="14.85546875" style="3" customWidth="1"/>
    <col min="9152" max="9152" width="20.7109375" style="3" customWidth="1"/>
    <col min="9153" max="9153" width="12.5703125" style="3" customWidth="1"/>
    <col min="9154" max="9154" width="13" style="3" customWidth="1"/>
    <col min="9155" max="9155" width="16" style="3" customWidth="1"/>
    <col min="9156" max="9156" width="6.42578125" style="3" customWidth="1"/>
    <col min="9157" max="9157" width="16" style="3" customWidth="1"/>
    <col min="9158" max="9158" width="2.85546875" style="3" customWidth="1"/>
    <col min="9159" max="9159" width="0.85546875" style="3" customWidth="1"/>
    <col min="9160" max="9160" width="11" style="3"/>
    <col min="9161" max="9161" width="15.42578125" style="3" customWidth="1"/>
    <col min="9162" max="9164" width="14.85546875" style="3" customWidth="1"/>
    <col min="9165" max="9165" width="0.7109375" style="3" customWidth="1"/>
    <col min="9166" max="9166" width="11" style="3"/>
    <col min="9167" max="9167" width="15.7109375" style="3" customWidth="1"/>
    <col min="9168" max="9169" width="14.85546875" style="3" customWidth="1"/>
    <col min="9170" max="9170" width="3.28515625" style="3" customWidth="1"/>
    <col min="9171" max="9171" width="20.140625" style="3" customWidth="1"/>
    <col min="9172" max="9172" width="3.28515625" style="3" customWidth="1"/>
    <col min="9173" max="9177" width="11" style="3"/>
    <col min="9178" max="9190" width="4.7109375" style="3" customWidth="1"/>
    <col min="9191" max="9400" width="11" style="3"/>
    <col min="9401" max="9401" width="0.7109375" style="3" customWidth="1"/>
    <col min="9402" max="9402" width="6.5703125" style="3" customWidth="1"/>
    <col min="9403" max="9403" width="13.5703125" style="3" customWidth="1"/>
    <col min="9404" max="9404" width="13.42578125" style="3" customWidth="1"/>
    <col min="9405" max="9406" width="12.5703125" style="3" customWidth="1"/>
    <col min="9407" max="9407" width="14.85546875" style="3" customWidth="1"/>
    <col min="9408" max="9408" width="20.7109375" style="3" customWidth="1"/>
    <col min="9409" max="9409" width="12.5703125" style="3" customWidth="1"/>
    <col min="9410" max="9410" width="13" style="3" customWidth="1"/>
    <col min="9411" max="9411" width="16" style="3" customWidth="1"/>
    <col min="9412" max="9412" width="6.42578125" style="3" customWidth="1"/>
    <col min="9413" max="9413" width="16" style="3" customWidth="1"/>
    <col min="9414" max="9414" width="2.85546875" style="3" customWidth="1"/>
    <col min="9415" max="9415" width="0.85546875" style="3" customWidth="1"/>
    <col min="9416" max="9416" width="11" style="3"/>
    <col min="9417" max="9417" width="15.42578125" style="3" customWidth="1"/>
    <col min="9418" max="9420" width="14.85546875" style="3" customWidth="1"/>
    <col min="9421" max="9421" width="0.7109375" style="3" customWidth="1"/>
    <col min="9422" max="9422" width="11" style="3"/>
    <col min="9423" max="9423" width="15.7109375" style="3" customWidth="1"/>
    <col min="9424" max="9425" width="14.85546875" style="3" customWidth="1"/>
    <col min="9426" max="9426" width="3.28515625" style="3" customWidth="1"/>
    <col min="9427" max="9427" width="20.140625" style="3" customWidth="1"/>
    <col min="9428" max="9428" width="3.28515625" style="3" customWidth="1"/>
    <col min="9429" max="9433" width="11" style="3"/>
    <col min="9434" max="9446" width="4.7109375" style="3" customWidth="1"/>
    <col min="9447" max="9656" width="11" style="3"/>
    <col min="9657" max="9657" width="0.7109375" style="3" customWidth="1"/>
    <col min="9658" max="9658" width="6.5703125" style="3" customWidth="1"/>
    <col min="9659" max="9659" width="13.5703125" style="3" customWidth="1"/>
    <col min="9660" max="9660" width="13.42578125" style="3" customWidth="1"/>
    <col min="9661" max="9662" width="12.5703125" style="3" customWidth="1"/>
    <col min="9663" max="9663" width="14.85546875" style="3" customWidth="1"/>
    <col min="9664" max="9664" width="20.7109375" style="3" customWidth="1"/>
    <col min="9665" max="9665" width="12.5703125" style="3" customWidth="1"/>
    <col min="9666" max="9666" width="13" style="3" customWidth="1"/>
    <col min="9667" max="9667" width="16" style="3" customWidth="1"/>
    <col min="9668" max="9668" width="6.42578125" style="3" customWidth="1"/>
    <col min="9669" max="9669" width="16" style="3" customWidth="1"/>
    <col min="9670" max="9670" width="2.85546875" style="3" customWidth="1"/>
    <col min="9671" max="9671" width="0.85546875" style="3" customWidth="1"/>
    <col min="9672" max="9672" width="11" style="3"/>
    <col min="9673" max="9673" width="15.42578125" style="3" customWidth="1"/>
    <col min="9674" max="9676" width="14.85546875" style="3" customWidth="1"/>
    <col min="9677" max="9677" width="0.7109375" style="3" customWidth="1"/>
    <col min="9678" max="9678" width="11" style="3"/>
    <col min="9679" max="9679" width="15.7109375" style="3" customWidth="1"/>
    <col min="9680" max="9681" width="14.85546875" style="3" customWidth="1"/>
    <col min="9682" max="9682" width="3.28515625" style="3" customWidth="1"/>
    <col min="9683" max="9683" width="20.140625" style="3" customWidth="1"/>
    <col min="9684" max="9684" width="3.28515625" style="3" customWidth="1"/>
    <col min="9685" max="9689" width="11" style="3"/>
    <col min="9690" max="9702" width="4.7109375" style="3" customWidth="1"/>
    <col min="9703" max="9912" width="11" style="3"/>
    <col min="9913" max="9913" width="0.7109375" style="3" customWidth="1"/>
    <col min="9914" max="9914" width="6.5703125" style="3" customWidth="1"/>
    <col min="9915" max="9915" width="13.5703125" style="3" customWidth="1"/>
    <col min="9916" max="9916" width="13.42578125" style="3" customWidth="1"/>
    <col min="9917" max="9918" width="12.5703125" style="3" customWidth="1"/>
    <col min="9919" max="9919" width="14.85546875" style="3" customWidth="1"/>
    <col min="9920" max="9920" width="20.7109375" style="3" customWidth="1"/>
    <col min="9921" max="9921" width="12.5703125" style="3" customWidth="1"/>
    <col min="9922" max="9922" width="13" style="3" customWidth="1"/>
    <col min="9923" max="9923" width="16" style="3" customWidth="1"/>
    <col min="9924" max="9924" width="6.42578125" style="3" customWidth="1"/>
    <col min="9925" max="9925" width="16" style="3" customWidth="1"/>
    <col min="9926" max="9926" width="2.85546875" style="3" customWidth="1"/>
    <col min="9927" max="9927" width="0.85546875" style="3" customWidth="1"/>
    <col min="9928" max="9928" width="11" style="3"/>
    <col min="9929" max="9929" width="15.42578125" style="3" customWidth="1"/>
    <col min="9930" max="9932" width="14.85546875" style="3" customWidth="1"/>
    <col min="9933" max="9933" width="0.7109375" style="3" customWidth="1"/>
    <col min="9934" max="9934" width="11" style="3"/>
    <col min="9935" max="9935" width="15.7109375" style="3" customWidth="1"/>
    <col min="9936" max="9937" width="14.85546875" style="3" customWidth="1"/>
    <col min="9938" max="9938" width="3.28515625" style="3" customWidth="1"/>
    <col min="9939" max="9939" width="20.140625" style="3" customWidth="1"/>
    <col min="9940" max="9940" width="3.28515625" style="3" customWidth="1"/>
    <col min="9941" max="9945" width="11" style="3"/>
    <col min="9946" max="9958" width="4.7109375" style="3" customWidth="1"/>
    <col min="9959" max="10168" width="11" style="3"/>
    <col min="10169" max="10169" width="0.7109375" style="3" customWidth="1"/>
    <col min="10170" max="10170" width="6.5703125" style="3" customWidth="1"/>
    <col min="10171" max="10171" width="13.5703125" style="3" customWidth="1"/>
    <col min="10172" max="10172" width="13.42578125" style="3" customWidth="1"/>
    <col min="10173" max="10174" width="12.5703125" style="3" customWidth="1"/>
    <col min="10175" max="10175" width="14.85546875" style="3" customWidth="1"/>
    <col min="10176" max="10176" width="20.7109375" style="3" customWidth="1"/>
    <col min="10177" max="10177" width="12.5703125" style="3" customWidth="1"/>
    <col min="10178" max="10178" width="13" style="3" customWidth="1"/>
    <col min="10179" max="10179" width="16" style="3" customWidth="1"/>
    <col min="10180" max="10180" width="6.42578125" style="3" customWidth="1"/>
    <col min="10181" max="10181" width="16" style="3" customWidth="1"/>
    <col min="10182" max="10182" width="2.85546875" style="3" customWidth="1"/>
    <col min="10183" max="10183" width="0.85546875" style="3" customWidth="1"/>
    <col min="10184" max="10184" width="11" style="3"/>
    <col min="10185" max="10185" width="15.42578125" style="3" customWidth="1"/>
    <col min="10186" max="10188" width="14.85546875" style="3" customWidth="1"/>
    <col min="10189" max="10189" width="0.7109375" style="3" customWidth="1"/>
    <col min="10190" max="10190" width="11" style="3"/>
    <col min="10191" max="10191" width="15.7109375" style="3" customWidth="1"/>
    <col min="10192" max="10193" width="14.85546875" style="3" customWidth="1"/>
    <col min="10194" max="10194" width="3.28515625" style="3" customWidth="1"/>
    <col min="10195" max="10195" width="20.140625" style="3" customWidth="1"/>
    <col min="10196" max="10196" width="3.28515625" style="3" customWidth="1"/>
    <col min="10197" max="10201" width="11" style="3"/>
    <col min="10202" max="10214" width="4.7109375" style="3" customWidth="1"/>
    <col min="10215" max="10424" width="11" style="3"/>
    <col min="10425" max="10425" width="0.7109375" style="3" customWidth="1"/>
    <col min="10426" max="10426" width="6.5703125" style="3" customWidth="1"/>
    <col min="10427" max="10427" width="13.5703125" style="3" customWidth="1"/>
    <col min="10428" max="10428" width="13.42578125" style="3" customWidth="1"/>
    <col min="10429" max="10430" width="12.5703125" style="3" customWidth="1"/>
    <col min="10431" max="10431" width="14.85546875" style="3" customWidth="1"/>
    <col min="10432" max="10432" width="20.7109375" style="3" customWidth="1"/>
    <col min="10433" max="10433" width="12.5703125" style="3" customWidth="1"/>
    <col min="10434" max="10434" width="13" style="3" customWidth="1"/>
    <col min="10435" max="10435" width="16" style="3" customWidth="1"/>
    <col min="10436" max="10436" width="6.42578125" style="3" customWidth="1"/>
    <col min="10437" max="10437" width="16" style="3" customWidth="1"/>
    <col min="10438" max="10438" width="2.85546875" style="3" customWidth="1"/>
    <col min="10439" max="10439" width="0.85546875" style="3" customWidth="1"/>
    <col min="10440" max="10440" width="11" style="3"/>
    <col min="10441" max="10441" width="15.42578125" style="3" customWidth="1"/>
    <col min="10442" max="10444" width="14.85546875" style="3" customWidth="1"/>
    <col min="10445" max="10445" width="0.7109375" style="3" customWidth="1"/>
    <col min="10446" max="10446" width="11" style="3"/>
    <col min="10447" max="10447" width="15.7109375" style="3" customWidth="1"/>
    <col min="10448" max="10449" width="14.85546875" style="3" customWidth="1"/>
    <col min="10450" max="10450" width="3.28515625" style="3" customWidth="1"/>
    <col min="10451" max="10451" width="20.140625" style="3" customWidth="1"/>
    <col min="10452" max="10452" width="3.28515625" style="3" customWidth="1"/>
    <col min="10453" max="10457" width="11" style="3"/>
    <col min="10458" max="10470" width="4.7109375" style="3" customWidth="1"/>
    <col min="10471" max="10680" width="11" style="3"/>
    <col min="10681" max="10681" width="0.7109375" style="3" customWidth="1"/>
    <col min="10682" max="10682" width="6.5703125" style="3" customWidth="1"/>
    <col min="10683" max="10683" width="13.5703125" style="3" customWidth="1"/>
    <col min="10684" max="10684" width="13.42578125" style="3" customWidth="1"/>
    <col min="10685" max="10686" width="12.5703125" style="3" customWidth="1"/>
    <col min="10687" max="10687" width="14.85546875" style="3" customWidth="1"/>
    <col min="10688" max="10688" width="20.7109375" style="3" customWidth="1"/>
    <col min="10689" max="10689" width="12.5703125" style="3" customWidth="1"/>
    <col min="10690" max="10690" width="13" style="3" customWidth="1"/>
    <col min="10691" max="10691" width="16" style="3" customWidth="1"/>
    <col min="10692" max="10692" width="6.42578125" style="3" customWidth="1"/>
    <col min="10693" max="10693" width="16" style="3" customWidth="1"/>
    <col min="10694" max="10694" width="2.85546875" style="3" customWidth="1"/>
    <col min="10695" max="10695" width="0.85546875" style="3" customWidth="1"/>
    <col min="10696" max="10696" width="11" style="3"/>
    <col min="10697" max="10697" width="15.42578125" style="3" customWidth="1"/>
    <col min="10698" max="10700" width="14.85546875" style="3" customWidth="1"/>
    <col min="10701" max="10701" width="0.7109375" style="3" customWidth="1"/>
    <col min="10702" max="10702" width="11" style="3"/>
    <col min="10703" max="10703" width="15.7109375" style="3" customWidth="1"/>
    <col min="10704" max="10705" width="14.85546875" style="3" customWidth="1"/>
    <col min="10706" max="10706" width="3.28515625" style="3" customWidth="1"/>
    <col min="10707" max="10707" width="20.140625" style="3" customWidth="1"/>
    <col min="10708" max="10708" width="3.28515625" style="3" customWidth="1"/>
    <col min="10709" max="10713" width="11" style="3"/>
    <col min="10714" max="10726" width="4.7109375" style="3" customWidth="1"/>
    <col min="10727" max="10936" width="11" style="3"/>
    <col min="10937" max="10937" width="0.7109375" style="3" customWidth="1"/>
    <col min="10938" max="10938" width="6.5703125" style="3" customWidth="1"/>
    <col min="10939" max="10939" width="13.5703125" style="3" customWidth="1"/>
    <col min="10940" max="10940" width="13.42578125" style="3" customWidth="1"/>
    <col min="10941" max="10942" width="12.5703125" style="3" customWidth="1"/>
    <col min="10943" max="10943" width="14.85546875" style="3" customWidth="1"/>
    <col min="10944" max="10944" width="20.7109375" style="3" customWidth="1"/>
    <col min="10945" max="10945" width="12.5703125" style="3" customWidth="1"/>
    <col min="10946" max="10946" width="13" style="3" customWidth="1"/>
    <col min="10947" max="10947" width="16" style="3" customWidth="1"/>
    <col min="10948" max="10948" width="6.42578125" style="3" customWidth="1"/>
    <col min="10949" max="10949" width="16" style="3" customWidth="1"/>
    <col min="10950" max="10950" width="2.85546875" style="3" customWidth="1"/>
    <col min="10951" max="10951" width="0.85546875" style="3" customWidth="1"/>
    <col min="10952" max="10952" width="11" style="3"/>
    <col min="10953" max="10953" width="15.42578125" style="3" customWidth="1"/>
    <col min="10954" max="10956" width="14.85546875" style="3" customWidth="1"/>
    <col min="10957" max="10957" width="0.7109375" style="3" customWidth="1"/>
    <col min="10958" max="10958" width="11" style="3"/>
    <col min="10959" max="10959" width="15.7109375" style="3" customWidth="1"/>
    <col min="10960" max="10961" width="14.85546875" style="3" customWidth="1"/>
    <col min="10962" max="10962" width="3.28515625" style="3" customWidth="1"/>
    <col min="10963" max="10963" width="20.140625" style="3" customWidth="1"/>
    <col min="10964" max="10964" width="3.28515625" style="3" customWidth="1"/>
    <col min="10965" max="10969" width="11" style="3"/>
    <col min="10970" max="10982" width="4.7109375" style="3" customWidth="1"/>
    <col min="10983" max="11192" width="11" style="3"/>
    <col min="11193" max="11193" width="0.7109375" style="3" customWidth="1"/>
    <col min="11194" max="11194" width="6.5703125" style="3" customWidth="1"/>
    <col min="11195" max="11195" width="13.5703125" style="3" customWidth="1"/>
    <col min="11196" max="11196" width="13.42578125" style="3" customWidth="1"/>
    <col min="11197" max="11198" width="12.5703125" style="3" customWidth="1"/>
    <col min="11199" max="11199" width="14.85546875" style="3" customWidth="1"/>
    <col min="11200" max="11200" width="20.7109375" style="3" customWidth="1"/>
    <col min="11201" max="11201" width="12.5703125" style="3" customWidth="1"/>
    <col min="11202" max="11202" width="13" style="3" customWidth="1"/>
    <col min="11203" max="11203" width="16" style="3" customWidth="1"/>
    <col min="11204" max="11204" width="6.42578125" style="3" customWidth="1"/>
    <col min="11205" max="11205" width="16" style="3" customWidth="1"/>
    <col min="11206" max="11206" width="2.85546875" style="3" customWidth="1"/>
    <col min="11207" max="11207" width="0.85546875" style="3" customWidth="1"/>
    <col min="11208" max="11208" width="11" style="3"/>
    <col min="11209" max="11209" width="15.42578125" style="3" customWidth="1"/>
    <col min="11210" max="11212" width="14.85546875" style="3" customWidth="1"/>
    <col min="11213" max="11213" width="0.7109375" style="3" customWidth="1"/>
    <col min="11214" max="11214" width="11" style="3"/>
    <col min="11215" max="11215" width="15.7109375" style="3" customWidth="1"/>
    <col min="11216" max="11217" width="14.85546875" style="3" customWidth="1"/>
    <col min="11218" max="11218" width="3.28515625" style="3" customWidth="1"/>
    <col min="11219" max="11219" width="20.140625" style="3" customWidth="1"/>
    <col min="11220" max="11220" width="3.28515625" style="3" customWidth="1"/>
    <col min="11221" max="11225" width="11" style="3"/>
    <col min="11226" max="11238" width="4.7109375" style="3" customWidth="1"/>
    <col min="11239" max="11448" width="11" style="3"/>
    <col min="11449" max="11449" width="0.7109375" style="3" customWidth="1"/>
    <col min="11450" max="11450" width="6.5703125" style="3" customWidth="1"/>
    <col min="11451" max="11451" width="13.5703125" style="3" customWidth="1"/>
    <col min="11452" max="11452" width="13.42578125" style="3" customWidth="1"/>
    <col min="11453" max="11454" width="12.5703125" style="3" customWidth="1"/>
    <col min="11455" max="11455" width="14.85546875" style="3" customWidth="1"/>
    <col min="11456" max="11456" width="20.7109375" style="3" customWidth="1"/>
    <col min="11457" max="11457" width="12.5703125" style="3" customWidth="1"/>
    <col min="11458" max="11458" width="13" style="3" customWidth="1"/>
    <col min="11459" max="11459" width="16" style="3" customWidth="1"/>
    <col min="11460" max="11460" width="6.42578125" style="3" customWidth="1"/>
    <col min="11461" max="11461" width="16" style="3" customWidth="1"/>
    <col min="11462" max="11462" width="2.85546875" style="3" customWidth="1"/>
    <col min="11463" max="11463" width="0.85546875" style="3" customWidth="1"/>
    <col min="11464" max="11464" width="11" style="3"/>
    <col min="11465" max="11465" width="15.42578125" style="3" customWidth="1"/>
    <col min="11466" max="11468" width="14.85546875" style="3" customWidth="1"/>
    <col min="11469" max="11469" width="0.7109375" style="3" customWidth="1"/>
    <col min="11470" max="11470" width="11" style="3"/>
    <col min="11471" max="11471" width="15.7109375" style="3" customWidth="1"/>
    <col min="11472" max="11473" width="14.85546875" style="3" customWidth="1"/>
    <col min="11474" max="11474" width="3.28515625" style="3" customWidth="1"/>
    <col min="11475" max="11475" width="20.140625" style="3" customWidth="1"/>
    <col min="11476" max="11476" width="3.28515625" style="3" customWidth="1"/>
    <col min="11477" max="11481" width="11" style="3"/>
    <col min="11482" max="11494" width="4.7109375" style="3" customWidth="1"/>
    <col min="11495" max="11704" width="11" style="3"/>
    <col min="11705" max="11705" width="0.7109375" style="3" customWidth="1"/>
    <col min="11706" max="11706" width="6.5703125" style="3" customWidth="1"/>
    <col min="11707" max="11707" width="13.5703125" style="3" customWidth="1"/>
    <col min="11708" max="11708" width="13.42578125" style="3" customWidth="1"/>
    <col min="11709" max="11710" width="12.5703125" style="3" customWidth="1"/>
    <col min="11711" max="11711" width="14.85546875" style="3" customWidth="1"/>
    <col min="11712" max="11712" width="20.7109375" style="3" customWidth="1"/>
    <col min="11713" max="11713" width="12.5703125" style="3" customWidth="1"/>
    <col min="11714" max="11714" width="13" style="3" customWidth="1"/>
    <col min="11715" max="11715" width="16" style="3" customWidth="1"/>
    <col min="11716" max="11716" width="6.42578125" style="3" customWidth="1"/>
    <col min="11717" max="11717" width="16" style="3" customWidth="1"/>
    <col min="11718" max="11718" width="2.85546875" style="3" customWidth="1"/>
    <col min="11719" max="11719" width="0.85546875" style="3" customWidth="1"/>
    <col min="11720" max="11720" width="11" style="3"/>
    <col min="11721" max="11721" width="15.42578125" style="3" customWidth="1"/>
    <col min="11722" max="11724" width="14.85546875" style="3" customWidth="1"/>
    <col min="11725" max="11725" width="0.7109375" style="3" customWidth="1"/>
    <col min="11726" max="11726" width="11" style="3"/>
    <col min="11727" max="11727" width="15.7109375" style="3" customWidth="1"/>
    <col min="11728" max="11729" width="14.85546875" style="3" customWidth="1"/>
    <col min="11730" max="11730" width="3.28515625" style="3" customWidth="1"/>
    <col min="11731" max="11731" width="20.140625" style="3" customWidth="1"/>
    <col min="11732" max="11732" width="3.28515625" style="3" customWidth="1"/>
    <col min="11733" max="11737" width="11" style="3"/>
    <col min="11738" max="11750" width="4.7109375" style="3" customWidth="1"/>
    <col min="11751" max="11960" width="11" style="3"/>
    <col min="11961" max="11961" width="0.7109375" style="3" customWidth="1"/>
    <col min="11962" max="11962" width="6.5703125" style="3" customWidth="1"/>
    <col min="11963" max="11963" width="13.5703125" style="3" customWidth="1"/>
    <col min="11964" max="11964" width="13.42578125" style="3" customWidth="1"/>
    <col min="11965" max="11966" width="12.5703125" style="3" customWidth="1"/>
    <col min="11967" max="11967" width="14.85546875" style="3" customWidth="1"/>
    <col min="11968" max="11968" width="20.7109375" style="3" customWidth="1"/>
    <col min="11969" max="11969" width="12.5703125" style="3" customWidth="1"/>
    <col min="11970" max="11970" width="13" style="3" customWidth="1"/>
    <col min="11971" max="11971" width="16" style="3" customWidth="1"/>
    <col min="11972" max="11972" width="6.42578125" style="3" customWidth="1"/>
    <col min="11973" max="11973" width="16" style="3" customWidth="1"/>
    <col min="11974" max="11974" width="2.85546875" style="3" customWidth="1"/>
    <col min="11975" max="11975" width="0.85546875" style="3" customWidth="1"/>
    <col min="11976" max="11976" width="11" style="3"/>
    <col min="11977" max="11977" width="15.42578125" style="3" customWidth="1"/>
    <col min="11978" max="11980" width="14.85546875" style="3" customWidth="1"/>
    <col min="11981" max="11981" width="0.7109375" style="3" customWidth="1"/>
    <col min="11982" max="11982" width="11" style="3"/>
    <col min="11983" max="11983" width="15.7109375" style="3" customWidth="1"/>
    <col min="11984" max="11985" width="14.85546875" style="3" customWidth="1"/>
    <col min="11986" max="11986" width="3.28515625" style="3" customWidth="1"/>
    <col min="11987" max="11987" width="20.140625" style="3" customWidth="1"/>
    <col min="11988" max="11988" width="3.28515625" style="3" customWidth="1"/>
    <col min="11989" max="11993" width="11" style="3"/>
    <col min="11994" max="12006" width="4.7109375" style="3" customWidth="1"/>
    <col min="12007" max="12216" width="11" style="3"/>
    <col min="12217" max="12217" width="0.7109375" style="3" customWidth="1"/>
    <col min="12218" max="12218" width="6.5703125" style="3" customWidth="1"/>
    <col min="12219" max="12219" width="13.5703125" style="3" customWidth="1"/>
    <col min="12220" max="12220" width="13.42578125" style="3" customWidth="1"/>
    <col min="12221" max="12222" width="12.5703125" style="3" customWidth="1"/>
    <col min="12223" max="12223" width="14.85546875" style="3" customWidth="1"/>
    <col min="12224" max="12224" width="20.7109375" style="3" customWidth="1"/>
    <col min="12225" max="12225" width="12.5703125" style="3" customWidth="1"/>
    <col min="12226" max="12226" width="13" style="3" customWidth="1"/>
    <col min="12227" max="12227" width="16" style="3" customWidth="1"/>
    <col min="12228" max="12228" width="6.42578125" style="3" customWidth="1"/>
    <col min="12229" max="12229" width="16" style="3" customWidth="1"/>
    <col min="12230" max="12230" width="2.85546875" style="3" customWidth="1"/>
    <col min="12231" max="12231" width="0.85546875" style="3" customWidth="1"/>
    <col min="12232" max="12232" width="11" style="3"/>
    <col min="12233" max="12233" width="15.42578125" style="3" customWidth="1"/>
    <col min="12234" max="12236" width="14.85546875" style="3" customWidth="1"/>
    <col min="12237" max="12237" width="0.7109375" style="3" customWidth="1"/>
    <col min="12238" max="12238" width="11" style="3"/>
    <col min="12239" max="12239" width="15.7109375" style="3" customWidth="1"/>
    <col min="12240" max="12241" width="14.85546875" style="3" customWidth="1"/>
    <col min="12242" max="12242" width="3.28515625" style="3" customWidth="1"/>
    <col min="12243" max="12243" width="20.140625" style="3" customWidth="1"/>
    <col min="12244" max="12244" width="3.28515625" style="3" customWidth="1"/>
    <col min="12245" max="12249" width="11" style="3"/>
    <col min="12250" max="12262" width="4.7109375" style="3" customWidth="1"/>
    <col min="12263" max="12472" width="11" style="3"/>
    <col min="12473" max="12473" width="0.7109375" style="3" customWidth="1"/>
    <col min="12474" max="12474" width="6.5703125" style="3" customWidth="1"/>
    <col min="12475" max="12475" width="13.5703125" style="3" customWidth="1"/>
    <col min="12476" max="12476" width="13.42578125" style="3" customWidth="1"/>
    <col min="12477" max="12478" width="12.5703125" style="3" customWidth="1"/>
    <col min="12479" max="12479" width="14.85546875" style="3" customWidth="1"/>
    <col min="12480" max="12480" width="20.7109375" style="3" customWidth="1"/>
    <col min="12481" max="12481" width="12.5703125" style="3" customWidth="1"/>
    <col min="12482" max="12482" width="13" style="3" customWidth="1"/>
    <col min="12483" max="12483" width="16" style="3" customWidth="1"/>
    <col min="12484" max="12484" width="6.42578125" style="3" customWidth="1"/>
    <col min="12485" max="12485" width="16" style="3" customWidth="1"/>
    <col min="12486" max="12486" width="2.85546875" style="3" customWidth="1"/>
    <col min="12487" max="12487" width="0.85546875" style="3" customWidth="1"/>
    <col min="12488" max="12488" width="11" style="3"/>
    <col min="12489" max="12489" width="15.42578125" style="3" customWidth="1"/>
    <col min="12490" max="12492" width="14.85546875" style="3" customWidth="1"/>
    <col min="12493" max="12493" width="0.7109375" style="3" customWidth="1"/>
    <col min="12494" max="12494" width="11" style="3"/>
    <col min="12495" max="12495" width="15.7109375" style="3" customWidth="1"/>
    <col min="12496" max="12497" width="14.85546875" style="3" customWidth="1"/>
    <col min="12498" max="12498" width="3.28515625" style="3" customWidth="1"/>
    <col min="12499" max="12499" width="20.140625" style="3" customWidth="1"/>
    <col min="12500" max="12500" width="3.28515625" style="3" customWidth="1"/>
    <col min="12501" max="12505" width="11" style="3"/>
    <col min="12506" max="12518" width="4.7109375" style="3" customWidth="1"/>
    <col min="12519" max="12728" width="11" style="3"/>
    <col min="12729" max="12729" width="0.7109375" style="3" customWidth="1"/>
    <col min="12730" max="12730" width="6.5703125" style="3" customWidth="1"/>
    <col min="12731" max="12731" width="13.5703125" style="3" customWidth="1"/>
    <col min="12732" max="12732" width="13.42578125" style="3" customWidth="1"/>
    <col min="12733" max="12734" width="12.5703125" style="3" customWidth="1"/>
    <col min="12735" max="12735" width="14.85546875" style="3" customWidth="1"/>
    <col min="12736" max="12736" width="20.7109375" style="3" customWidth="1"/>
    <col min="12737" max="12737" width="12.5703125" style="3" customWidth="1"/>
    <col min="12738" max="12738" width="13" style="3" customWidth="1"/>
    <col min="12739" max="12739" width="16" style="3" customWidth="1"/>
    <col min="12740" max="12740" width="6.42578125" style="3" customWidth="1"/>
    <col min="12741" max="12741" width="16" style="3" customWidth="1"/>
    <col min="12742" max="12742" width="2.85546875" style="3" customWidth="1"/>
    <col min="12743" max="12743" width="0.85546875" style="3" customWidth="1"/>
    <col min="12744" max="12744" width="11" style="3"/>
    <col min="12745" max="12745" width="15.42578125" style="3" customWidth="1"/>
    <col min="12746" max="12748" width="14.85546875" style="3" customWidth="1"/>
    <col min="12749" max="12749" width="0.7109375" style="3" customWidth="1"/>
    <col min="12750" max="12750" width="11" style="3"/>
    <col min="12751" max="12751" width="15.7109375" style="3" customWidth="1"/>
    <col min="12752" max="12753" width="14.85546875" style="3" customWidth="1"/>
    <col min="12754" max="12754" width="3.28515625" style="3" customWidth="1"/>
    <col min="12755" max="12755" width="20.140625" style="3" customWidth="1"/>
    <col min="12756" max="12756" width="3.28515625" style="3" customWidth="1"/>
    <col min="12757" max="12761" width="11" style="3"/>
    <col min="12762" max="12774" width="4.7109375" style="3" customWidth="1"/>
    <col min="12775" max="12984" width="11" style="3"/>
    <col min="12985" max="12985" width="0.7109375" style="3" customWidth="1"/>
    <col min="12986" max="12986" width="6.5703125" style="3" customWidth="1"/>
    <col min="12987" max="12987" width="13.5703125" style="3" customWidth="1"/>
    <col min="12988" max="12988" width="13.42578125" style="3" customWidth="1"/>
    <col min="12989" max="12990" width="12.5703125" style="3" customWidth="1"/>
    <col min="12991" max="12991" width="14.85546875" style="3" customWidth="1"/>
    <col min="12992" max="12992" width="20.7109375" style="3" customWidth="1"/>
    <col min="12993" max="12993" width="12.5703125" style="3" customWidth="1"/>
    <col min="12994" max="12994" width="13" style="3" customWidth="1"/>
    <col min="12995" max="12995" width="16" style="3" customWidth="1"/>
    <col min="12996" max="12996" width="6.42578125" style="3" customWidth="1"/>
    <col min="12997" max="12997" width="16" style="3" customWidth="1"/>
    <col min="12998" max="12998" width="2.85546875" style="3" customWidth="1"/>
    <col min="12999" max="12999" width="0.85546875" style="3" customWidth="1"/>
    <col min="13000" max="13000" width="11" style="3"/>
    <col min="13001" max="13001" width="15.42578125" style="3" customWidth="1"/>
    <col min="13002" max="13004" width="14.85546875" style="3" customWidth="1"/>
    <col min="13005" max="13005" width="0.7109375" style="3" customWidth="1"/>
    <col min="13006" max="13006" width="11" style="3"/>
    <col min="13007" max="13007" width="15.7109375" style="3" customWidth="1"/>
    <col min="13008" max="13009" width="14.85546875" style="3" customWidth="1"/>
    <col min="13010" max="13010" width="3.28515625" style="3" customWidth="1"/>
    <col min="13011" max="13011" width="20.140625" style="3" customWidth="1"/>
    <col min="13012" max="13012" width="3.28515625" style="3" customWidth="1"/>
    <col min="13013" max="13017" width="11" style="3"/>
    <col min="13018" max="13030" width="4.7109375" style="3" customWidth="1"/>
    <col min="13031" max="13240" width="11" style="3"/>
    <col min="13241" max="13241" width="0.7109375" style="3" customWidth="1"/>
    <col min="13242" max="13242" width="6.5703125" style="3" customWidth="1"/>
    <col min="13243" max="13243" width="13.5703125" style="3" customWidth="1"/>
    <col min="13244" max="13244" width="13.42578125" style="3" customWidth="1"/>
    <col min="13245" max="13246" width="12.5703125" style="3" customWidth="1"/>
    <col min="13247" max="13247" width="14.85546875" style="3" customWidth="1"/>
    <col min="13248" max="13248" width="20.7109375" style="3" customWidth="1"/>
    <col min="13249" max="13249" width="12.5703125" style="3" customWidth="1"/>
    <col min="13250" max="13250" width="13" style="3" customWidth="1"/>
    <col min="13251" max="13251" width="16" style="3" customWidth="1"/>
    <col min="13252" max="13252" width="6.42578125" style="3" customWidth="1"/>
    <col min="13253" max="13253" width="16" style="3" customWidth="1"/>
    <col min="13254" max="13254" width="2.85546875" style="3" customWidth="1"/>
    <col min="13255" max="13255" width="0.85546875" style="3" customWidth="1"/>
    <col min="13256" max="13256" width="11" style="3"/>
    <col min="13257" max="13257" width="15.42578125" style="3" customWidth="1"/>
    <col min="13258" max="13260" width="14.85546875" style="3" customWidth="1"/>
    <col min="13261" max="13261" width="0.7109375" style="3" customWidth="1"/>
    <col min="13262" max="13262" width="11" style="3"/>
    <col min="13263" max="13263" width="15.7109375" style="3" customWidth="1"/>
    <col min="13264" max="13265" width="14.85546875" style="3" customWidth="1"/>
    <col min="13266" max="13266" width="3.28515625" style="3" customWidth="1"/>
    <col min="13267" max="13267" width="20.140625" style="3" customWidth="1"/>
    <col min="13268" max="13268" width="3.28515625" style="3" customWidth="1"/>
    <col min="13269" max="13273" width="11" style="3"/>
    <col min="13274" max="13286" width="4.7109375" style="3" customWidth="1"/>
    <col min="13287" max="13496" width="11" style="3"/>
    <col min="13497" max="13497" width="0.7109375" style="3" customWidth="1"/>
    <col min="13498" max="13498" width="6.5703125" style="3" customWidth="1"/>
    <col min="13499" max="13499" width="13.5703125" style="3" customWidth="1"/>
    <col min="13500" max="13500" width="13.42578125" style="3" customWidth="1"/>
    <col min="13501" max="13502" width="12.5703125" style="3" customWidth="1"/>
    <col min="13503" max="13503" width="14.85546875" style="3" customWidth="1"/>
    <col min="13504" max="13504" width="20.7109375" style="3" customWidth="1"/>
    <col min="13505" max="13505" width="12.5703125" style="3" customWidth="1"/>
    <col min="13506" max="13506" width="13" style="3" customWidth="1"/>
    <col min="13507" max="13507" width="16" style="3" customWidth="1"/>
    <col min="13508" max="13508" width="6.42578125" style="3" customWidth="1"/>
    <col min="13509" max="13509" width="16" style="3" customWidth="1"/>
    <col min="13510" max="13510" width="2.85546875" style="3" customWidth="1"/>
    <col min="13511" max="13511" width="0.85546875" style="3" customWidth="1"/>
    <col min="13512" max="13512" width="11" style="3"/>
    <col min="13513" max="13513" width="15.42578125" style="3" customWidth="1"/>
    <col min="13514" max="13516" width="14.85546875" style="3" customWidth="1"/>
    <col min="13517" max="13517" width="0.7109375" style="3" customWidth="1"/>
    <col min="13518" max="13518" width="11" style="3"/>
    <col min="13519" max="13519" width="15.7109375" style="3" customWidth="1"/>
    <col min="13520" max="13521" width="14.85546875" style="3" customWidth="1"/>
    <col min="13522" max="13522" width="3.28515625" style="3" customWidth="1"/>
    <col min="13523" max="13523" width="20.140625" style="3" customWidth="1"/>
    <col min="13524" max="13524" width="3.28515625" style="3" customWidth="1"/>
    <col min="13525" max="13529" width="11" style="3"/>
    <col min="13530" max="13542" width="4.7109375" style="3" customWidth="1"/>
    <col min="13543" max="13752" width="11" style="3"/>
    <col min="13753" max="13753" width="0.7109375" style="3" customWidth="1"/>
    <col min="13754" max="13754" width="6.5703125" style="3" customWidth="1"/>
    <col min="13755" max="13755" width="13.5703125" style="3" customWidth="1"/>
    <col min="13756" max="13756" width="13.42578125" style="3" customWidth="1"/>
    <col min="13757" max="13758" width="12.5703125" style="3" customWidth="1"/>
    <col min="13759" max="13759" width="14.85546875" style="3" customWidth="1"/>
    <col min="13760" max="13760" width="20.7109375" style="3" customWidth="1"/>
    <col min="13761" max="13761" width="12.5703125" style="3" customWidth="1"/>
    <col min="13762" max="13762" width="13" style="3" customWidth="1"/>
    <col min="13763" max="13763" width="16" style="3" customWidth="1"/>
    <col min="13764" max="13764" width="6.42578125" style="3" customWidth="1"/>
    <col min="13765" max="13765" width="16" style="3" customWidth="1"/>
    <col min="13766" max="13766" width="2.85546875" style="3" customWidth="1"/>
    <col min="13767" max="13767" width="0.85546875" style="3" customWidth="1"/>
    <col min="13768" max="13768" width="11" style="3"/>
    <col min="13769" max="13769" width="15.42578125" style="3" customWidth="1"/>
    <col min="13770" max="13772" width="14.85546875" style="3" customWidth="1"/>
    <col min="13773" max="13773" width="0.7109375" style="3" customWidth="1"/>
    <col min="13774" max="13774" width="11" style="3"/>
    <col min="13775" max="13775" width="15.7109375" style="3" customWidth="1"/>
    <col min="13776" max="13777" width="14.85546875" style="3" customWidth="1"/>
    <col min="13778" max="13778" width="3.28515625" style="3" customWidth="1"/>
    <col min="13779" max="13779" width="20.140625" style="3" customWidth="1"/>
    <col min="13780" max="13780" width="3.28515625" style="3" customWidth="1"/>
    <col min="13781" max="13785" width="11" style="3"/>
    <col min="13786" max="13798" width="4.7109375" style="3" customWidth="1"/>
    <col min="13799" max="14008" width="11" style="3"/>
    <col min="14009" max="14009" width="0.7109375" style="3" customWidth="1"/>
    <col min="14010" max="14010" width="6.5703125" style="3" customWidth="1"/>
    <col min="14011" max="14011" width="13.5703125" style="3" customWidth="1"/>
    <col min="14012" max="14012" width="13.42578125" style="3" customWidth="1"/>
    <col min="14013" max="14014" width="12.5703125" style="3" customWidth="1"/>
    <col min="14015" max="14015" width="14.85546875" style="3" customWidth="1"/>
    <col min="14016" max="14016" width="20.7109375" style="3" customWidth="1"/>
    <col min="14017" max="14017" width="12.5703125" style="3" customWidth="1"/>
    <col min="14018" max="14018" width="13" style="3" customWidth="1"/>
    <col min="14019" max="14019" width="16" style="3" customWidth="1"/>
    <col min="14020" max="14020" width="6.42578125" style="3" customWidth="1"/>
    <col min="14021" max="14021" width="16" style="3" customWidth="1"/>
    <col min="14022" max="14022" width="2.85546875" style="3" customWidth="1"/>
    <col min="14023" max="14023" width="0.85546875" style="3" customWidth="1"/>
    <col min="14024" max="14024" width="11" style="3"/>
    <col min="14025" max="14025" width="15.42578125" style="3" customWidth="1"/>
    <col min="14026" max="14028" width="14.85546875" style="3" customWidth="1"/>
    <col min="14029" max="14029" width="0.7109375" style="3" customWidth="1"/>
    <col min="14030" max="14030" width="11" style="3"/>
    <col min="14031" max="14031" width="15.7109375" style="3" customWidth="1"/>
    <col min="14032" max="14033" width="14.85546875" style="3" customWidth="1"/>
    <col min="14034" max="14034" width="3.28515625" style="3" customWidth="1"/>
    <col min="14035" max="14035" width="20.140625" style="3" customWidth="1"/>
    <col min="14036" max="14036" width="3.28515625" style="3" customWidth="1"/>
    <col min="14037" max="14041" width="11" style="3"/>
    <col min="14042" max="14054" width="4.7109375" style="3" customWidth="1"/>
    <col min="14055" max="14264" width="11" style="3"/>
    <col min="14265" max="14265" width="0.7109375" style="3" customWidth="1"/>
    <col min="14266" max="14266" width="6.5703125" style="3" customWidth="1"/>
    <col min="14267" max="14267" width="13.5703125" style="3" customWidth="1"/>
    <col min="14268" max="14268" width="13.42578125" style="3" customWidth="1"/>
    <col min="14269" max="14270" width="12.5703125" style="3" customWidth="1"/>
    <col min="14271" max="14271" width="14.85546875" style="3" customWidth="1"/>
    <col min="14272" max="14272" width="20.7109375" style="3" customWidth="1"/>
    <col min="14273" max="14273" width="12.5703125" style="3" customWidth="1"/>
    <col min="14274" max="14274" width="13" style="3" customWidth="1"/>
    <col min="14275" max="14275" width="16" style="3" customWidth="1"/>
    <col min="14276" max="14276" width="6.42578125" style="3" customWidth="1"/>
    <col min="14277" max="14277" width="16" style="3" customWidth="1"/>
    <col min="14278" max="14278" width="2.85546875" style="3" customWidth="1"/>
    <col min="14279" max="14279" width="0.85546875" style="3" customWidth="1"/>
    <col min="14280" max="14280" width="11" style="3"/>
    <col min="14281" max="14281" width="15.42578125" style="3" customWidth="1"/>
    <col min="14282" max="14284" width="14.85546875" style="3" customWidth="1"/>
    <col min="14285" max="14285" width="0.7109375" style="3" customWidth="1"/>
    <col min="14286" max="14286" width="11" style="3"/>
    <col min="14287" max="14287" width="15.7109375" style="3" customWidth="1"/>
    <col min="14288" max="14289" width="14.85546875" style="3" customWidth="1"/>
    <col min="14290" max="14290" width="3.28515625" style="3" customWidth="1"/>
    <col min="14291" max="14291" width="20.140625" style="3" customWidth="1"/>
    <col min="14292" max="14292" width="3.28515625" style="3" customWidth="1"/>
    <col min="14293" max="14297" width="11" style="3"/>
    <col min="14298" max="14310" width="4.7109375" style="3" customWidth="1"/>
    <col min="14311" max="14520" width="11" style="3"/>
    <col min="14521" max="14521" width="0.7109375" style="3" customWidth="1"/>
    <col min="14522" max="14522" width="6.5703125" style="3" customWidth="1"/>
    <col min="14523" max="14523" width="13.5703125" style="3" customWidth="1"/>
    <col min="14524" max="14524" width="13.42578125" style="3" customWidth="1"/>
    <col min="14525" max="14526" width="12.5703125" style="3" customWidth="1"/>
    <col min="14527" max="14527" width="14.85546875" style="3" customWidth="1"/>
    <col min="14528" max="14528" width="20.7109375" style="3" customWidth="1"/>
    <col min="14529" max="14529" width="12.5703125" style="3" customWidth="1"/>
    <col min="14530" max="14530" width="13" style="3" customWidth="1"/>
    <col min="14531" max="14531" width="16" style="3" customWidth="1"/>
    <col min="14532" max="14532" width="6.42578125" style="3" customWidth="1"/>
    <col min="14533" max="14533" width="16" style="3" customWidth="1"/>
    <col min="14534" max="14534" width="2.85546875" style="3" customWidth="1"/>
    <col min="14535" max="14535" width="0.85546875" style="3" customWidth="1"/>
    <col min="14536" max="14536" width="11" style="3"/>
    <col min="14537" max="14537" width="15.42578125" style="3" customWidth="1"/>
    <col min="14538" max="14540" width="14.85546875" style="3" customWidth="1"/>
    <col min="14541" max="14541" width="0.7109375" style="3" customWidth="1"/>
    <col min="14542" max="14542" width="11" style="3"/>
    <col min="14543" max="14543" width="15.7109375" style="3" customWidth="1"/>
    <col min="14544" max="14545" width="14.85546875" style="3" customWidth="1"/>
    <col min="14546" max="14546" width="3.28515625" style="3" customWidth="1"/>
    <col min="14547" max="14547" width="20.140625" style="3" customWidth="1"/>
    <col min="14548" max="14548" width="3.28515625" style="3" customWidth="1"/>
    <col min="14549" max="14553" width="11" style="3"/>
    <col min="14554" max="14566" width="4.7109375" style="3" customWidth="1"/>
    <col min="14567" max="14776" width="11" style="3"/>
    <col min="14777" max="14777" width="0.7109375" style="3" customWidth="1"/>
    <col min="14778" max="14778" width="6.5703125" style="3" customWidth="1"/>
    <col min="14779" max="14779" width="13.5703125" style="3" customWidth="1"/>
    <col min="14780" max="14780" width="13.42578125" style="3" customWidth="1"/>
    <col min="14781" max="14782" width="12.5703125" style="3" customWidth="1"/>
    <col min="14783" max="14783" width="14.85546875" style="3" customWidth="1"/>
    <col min="14784" max="14784" width="20.7109375" style="3" customWidth="1"/>
    <col min="14785" max="14785" width="12.5703125" style="3" customWidth="1"/>
    <col min="14786" max="14786" width="13" style="3" customWidth="1"/>
    <col min="14787" max="14787" width="16" style="3" customWidth="1"/>
    <col min="14788" max="14788" width="6.42578125" style="3" customWidth="1"/>
    <col min="14789" max="14789" width="16" style="3" customWidth="1"/>
    <col min="14790" max="14790" width="2.85546875" style="3" customWidth="1"/>
    <col min="14791" max="14791" width="0.85546875" style="3" customWidth="1"/>
    <col min="14792" max="14792" width="11" style="3"/>
    <col min="14793" max="14793" width="15.42578125" style="3" customWidth="1"/>
    <col min="14794" max="14796" width="14.85546875" style="3" customWidth="1"/>
    <col min="14797" max="14797" width="0.7109375" style="3" customWidth="1"/>
    <col min="14798" max="14798" width="11" style="3"/>
    <col min="14799" max="14799" width="15.7109375" style="3" customWidth="1"/>
    <col min="14800" max="14801" width="14.85546875" style="3" customWidth="1"/>
    <col min="14802" max="14802" width="3.28515625" style="3" customWidth="1"/>
    <col min="14803" max="14803" width="20.140625" style="3" customWidth="1"/>
    <col min="14804" max="14804" width="3.28515625" style="3" customWidth="1"/>
    <col min="14805" max="14809" width="11" style="3"/>
    <col min="14810" max="14822" width="4.7109375" style="3" customWidth="1"/>
    <col min="14823" max="15032" width="11" style="3"/>
    <col min="15033" max="15033" width="0.7109375" style="3" customWidth="1"/>
    <col min="15034" max="15034" width="6.5703125" style="3" customWidth="1"/>
    <col min="15035" max="15035" width="13.5703125" style="3" customWidth="1"/>
    <col min="15036" max="15036" width="13.42578125" style="3" customWidth="1"/>
    <col min="15037" max="15038" width="12.5703125" style="3" customWidth="1"/>
    <col min="15039" max="15039" width="14.85546875" style="3" customWidth="1"/>
    <col min="15040" max="15040" width="20.7109375" style="3" customWidth="1"/>
    <col min="15041" max="15041" width="12.5703125" style="3" customWidth="1"/>
    <col min="15042" max="15042" width="13" style="3" customWidth="1"/>
    <col min="15043" max="15043" width="16" style="3" customWidth="1"/>
    <col min="15044" max="15044" width="6.42578125" style="3" customWidth="1"/>
    <col min="15045" max="15045" width="16" style="3" customWidth="1"/>
    <col min="15046" max="15046" width="2.85546875" style="3" customWidth="1"/>
    <col min="15047" max="15047" width="0.85546875" style="3" customWidth="1"/>
    <col min="15048" max="15048" width="11" style="3"/>
    <col min="15049" max="15049" width="15.42578125" style="3" customWidth="1"/>
    <col min="15050" max="15052" width="14.85546875" style="3" customWidth="1"/>
    <col min="15053" max="15053" width="0.7109375" style="3" customWidth="1"/>
    <col min="15054" max="15054" width="11" style="3"/>
    <col min="15055" max="15055" width="15.7109375" style="3" customWidth="1"/>
    <col min="15056" max="15057" width="14.85546875" style="3" customWidth="1"/>
    <col min="15058" max="15058" width="3.28515625" style="3" customWidth="1"/>
    <col min="15059" max="15059" width="20.140625" style="3" customWidth="1"/>
    <col min="15060" max="15060" width="3.28515625" style="3" customWidth="1"/>
    <col min="15061" max="15065" width="11" style="3"/>
    <col min="15066" max="15078" width="4.7109375" style="3" customWidth="1"/>
    <col min="15079" max="15288" width="11" style="3"/>
    <col min="15289" max="15289" width="0.7109375" style="3" customWidth="1"/>
    <col min="15290" max="15290" width="6.5703125" style="3" customWidth="1"/>
    <col min="15291" max="15291" width="13.5703125" style="3" customWidth="1"/>
    <col min="15292" max="15292" width="13.42578125" style="3" customWidth="1"/>
    <col min="15293" max="15294" width="12.5703125" style="3" customWidth="1"/>
    <col min="15295" max="15295" width="14.85546875" style="3" customWidth="1"/>
    <col min="15296" max="15296" width="20.7109375" style="3" customWidth="1"/>
    <col min="15297" max="15297" width="12.5703125" style="3" customWidth="1"/>
    <col min="15298" max="15298" width="13" style="3" customWidth="1"/>
    <col min="15299" max="15299" width="16" style="3" customWidth="1"/>
    <col min="15300" max="15300" width="6.42578125" style="3" customWidth="1"/>
    <col min="15301" max="15301" width="16" style="3" customWidth="1"/>
    <col min="15302" max="15302" width="2.85546875" style="3" customWidth="1"/>
    <col min="15303" max="15303" width="0.85546875" style="3" customWidth="1"/>
    <col min="15304" max="15304" width="11" style="3"/>
    <col min="15305" max="15305" width="15.42578125" style="3" customWidth="1"/>
    <col min="15306" max="15308" width="14.85546875" style="3" customWidth="1"/>
    <col min="15309" max="15309" width="0.7109375" style="3" customWidth="1"/>
    <col min="15310" max="15310" width="11" style="3"/>
    <col min="15311" max="15311" width="15.7109375" style="3" customWidth="1"/>
    <col min="15312" max="15313" width="14.85546875" style="3" customWidth="1"/>
    <col min="15314" max="15314" width="3.28515625" style="3" customWidth="1"/>
    <col min="15315" max="15315" width="20.140625" style="3" customWidth="1"/>
    <col min="15316" max="15316" width="3.28515625" style="3" customWidth="1"/>
    <col min="15317" max="15321" width="11" style="3"/>
    <col min="15322" max="15334" width="4.7109375" style="3" customWidth="1"/>
    <col min="15335" max="15544" width="11" style="3"/>
    <col min="15545" max="15545" width="0.7109375" style="3" customWidth="1"/>
    <col min="15546" max="15546" width="6.5703125" style="3" customWidth="1"/>
    <col min="15547" max="15547" width="13.5703125" style="3" customWidth="1"/>
    <col min="15548" max="15548" width="13.42578125" style="3" customWidth="1"/>
    <col min="15549" max="15550" width="12.5703125" style="3" customWidth="1"/>
    <col min="15551" max="15551" width="14.85546875" style="3" customWidth="1"/>
    <col min="15552" max="15552" width="20.7109375" style="3" customWidth="1"/>
    <col min="15553" max="15553" width="12.5703125" style="3" customWidth="1"/>
    <col min="15554" max="15554" width="13" style="3" customWidth="1"/>
    <col min="15555" max="15555" width="16" style="3" customWidth="1"/>
    <col min="15556" max="15556" width="6.42578125" style="3" customWidth="1"/>
    <col min="15557" max="15557" width="16" style="3" customWidth="1"/>
    <col min="15558" max="15558" width="2.85546875" style="3" customWidth="1"/>
    <col min="15559" max="15559" width="0.85546875" style="3" customWidth="1"/>
    <col min="15560" max="15560" width="11" style="3"/>
    <col min="15561" max="15561" width="15.42578125" style="3" customWidth="1"/>
    <col min="15562" max="15564" width="14.85546875" style="3" customWidth="1"/>
    <col min="15565" max="15565" width="0.7109375" style="3" customWidth="1"/>
    <col min="15566" max="15566" width="11" style="3"/>
    <col min="15567" max="15567" width="15.7109375" style="3" customWidth="1"/>
    <col min="15568" max="15569" width="14.85546875" style="3" customWidth="1"/>
    <col min="15570" max="15570" width="3.28515625" style="3" customWidth="1"/>
    <col min="15571" max="15571" width="20.140625" style="3" customWidth="1"/>
    <col min="15572" max="15572" width="3.28515625" style="3" customWidth="1"/>
    <col min="15573" max="15577" width="11" style="3"/>
    <col min="15578" max="15590" width="4.7109375" style="3" customWidth="1"/>
    <col min="15591" max="15800" width="11" style="3"/>
    <col min="15801" max="15801" width="0.7109375" style="3" customWidth="1"/>
    <col min="15802" max="15802" width="6.5703125" style="3" customWidth="1"/>
    <col min="15803" max="15803" width="13.5703125" style="3" customWidth="1"/>
    <col min="15804" max="15804" width="13.42578125" style="3" customWidth="1"/>
    <col min="15805" max="15806" width="12.5703125" style="3" customWidth="1"/>
    <col min="15807" max="15807" width="14.85546875" style="3" customWidth="1"/>
    <col min="15808" max="15808" width="20.7109375" style="3" customWidth="1"/>
    <col min="15809" max="15809" width="12.5703125" style="3" customWidth="1"/>
    <col min="15810" max="15810" width="13" style="3" customWidth="1"/>
    <col min="15811" max="15811" width="16" style="3" customWidth="1"/>
    <col min="15812" max="15812" width="6.42578125" style="3" customWidth="1"/>
    <col min="15813" max="15813" width="16" style="3" customWidth="1"/>
    <col min="15814" max="15814" width="2.85546875" style="3" customWidth="1"/>
    <col min="15815" max="15815" width="0.85546875" style="3" customWidth="1"/>
    <col min="15816" max="15816" width="11" style="3"/>
    <col min="15817" max="15817" width="15.42578125" style="3" customWidth="1"/>
    <col min="15818" max="15820" width="14.85546875" style="3" customWidth="1"/>
    <col min="15821" max="15821" width="0.7109375" style="3" customWidth="1"/>
    <col min="15822" max="15822" width="11" style="3"/>
    <col min="15823" max="15823" width="15.7109375" style="3" customWidth="1"/>
    <col min="15824" max="15825" width="14.85546875" style="3" customWidth="1"/>
    <col min="15826" max="15826" width="3.28515625" style="3" customWidth="1"/>
    <col min="15827" max="15827" width="20.140625" style="3" customWidth="1"/>
    <col min="15828" max="15828" width="3.28515625" style="3" customWidth="1"/>
    <col min="15829" max="15833" width="11" style="3"/>
    <col min="15834" max="15846" width="4.7109375" style="3" customWidth="1"/>
    <col min="15847" max="16056" width="11" style="3"/>
    <col min="16057" max="16057" width="0.7109375" style="3" customWidth="1"/>
    <col min="16058" max="16058" width="6.5703125" style="3" customWidth="1"/>
    <col min="16059" max="16059" width="13.5703125" style="3" customWidth="1"/>
    <col min="16060" max="16060" width="13.42578125" style="3" customWidth="1"/>
    <col min="16061" max="16062" width="12.5703125" style="3" customWidth="1"/>
    <col min="16063" max="16063" width="14.85546875" style="3" customWidth="1"/>
    <col min="16064" max="16064" width="20.7109375" style="3" customWidth="1"/>
    <col min="16065" max="16065" width="12.5703125" style="3" customWidth="1"/>
    <col min="16066" max="16066" width="13" style="3" customWidth="1"/>
    <col min="16067" max="16067" width="16" style="3" customWidth="1"/>
    <col min="16068" max="16068" width="6.42578125" style="3" customWidth="1"/>
    <col min="16069" max="16069" width="16" style="3" customWidth="1"/>
    <col min="16070" max="16070" width="2.85546875" style="3" customWidth="1"/>
    <col min="16071" max="16071" width="0.85546875" style="3" customWidth="1"/>
    <col min="16072" max="16072" width="11" style="3"/>
    <col min="16073" max="16073" width="15.42578125" style="3" customWidth="1"/>
    <col min="16074" max="16076" width="14.85546875" style="3" customWidth="1"/>
    <col min="16077" max="16077" width="0.7109375" style="3" customWidth="1"/>
    <col min="16078" max="16078" width="11" style="3"/>
    <col min="16079" max="16079" width="15.7109375" style="3" customWidth="1"/>
    <col min="16080" max="16081" width="14.85546875" style="3" customWidth="1"/>
    <col min="16082" max="16082" width="3.28515625" style="3" customWidth="1"/>
    <col min="16083" max="16083" width="20.140625" style="3" customWidth="1"/>
    <col min="16084" max="16084" width="3.28515625" style="3" customWidth="1"/>
    <col min="16085" max="16089" width="11" style="3"/>
    <col min="16090" max="16102" width="4.7109375" style="3" customWidth="1"/>
    <col min="16103" max="16384" width="11" style="3"/>
  </cols>
  <sheetData>
    <row r="1" spans="1:28" s="1" customFormat="1" ht="19.5" customHeight="1">
      <c r="A1" s="236"/>
      <c r="B1" s="237"/>
      <c r="C1" s="179" t="s">
        <v>0</v>
      </c>
      <c r="D1" s="179"/>
      <c r="E1" s="179"/>
      <c r="F1" s="179"/>
      <c r="G1" s="179"/>
      <c r="H1" s="179"/>
      <c r="I1" s="179"/>
      <c r="J1" s="179"/>
      <c r="K1" s="180" t="s">
        <v>1</v>
      </c>
      <c r="L1" s="181"/>
      <c r="O1" s="80"/>
      <c r="P1" s="80"/>
      <c r="Q1" s="80"/>
      <c r="R1" s="80"/>
      <c r="S1" s="80"/>
      <c r="T1" s="80"/>
      <c r="U1" s="80"/>
      <c r="V1" s="80"/>
      <c r="W1" s="80"/>
      <c r="X1" s="80"/>
      <c r="Y1" s="80"/>
      <c r="Z1" s="80"/>
      <c r="AA1" s="80"/>
    </row>
    <row r="2" spans="1:28" s="1" customFormat="1" ht="19.5" customHeight="1">
      <c r="A2" s="238"/>
      <c r="B2" s="186"/>
      <c r="C2" s="241" t="s">
        <v>2</v>
      </c>
      <c r="D2" s="241"/>
      <c r="E2" s="241"/>
      <c r="F2" s="241"/>
      <c r="G2" s="241"/>
      <c r="H2" s="241"/>
      <c r="I2" s="241"/>
      <c r="J2" s="241"/>
      <c r="K2" s="182" t="s">
        <v>89</v>
      </c>
      <c r="L2" s="183"/>
      <c r="O2" s="80"/>
      <c r="P2" s="80"/>
      <c r="Q2" s="80"/>
      <c r="R2" s="80"/>
      <c r="S2" s="80"/>
      <c r="T2" s="80"/>
      <c r="U2" s="80"/>
      <c r="V2" s="80"/>
      <c r="W2" s="80"/>
      <c r="X2" s="80"/>
      <c r="Y2" s="80"/>
      <c r="Z2" s="80"/>
      <c r="AA2" s="80"/>
    </row>
    <row r="3" spans="1:28" s="1" customFormat="1" ht="19.5" customHeight="1">
      <c r="A3" s="238"/>
      <c r="B3" s="186"/>
      <c r="C3" s="241"/>
      <c r="D3" s="241"/>
      <c r="E3" s="241"/>
      <c r="F3" s="241"/>
      <c r="G3" s="241"/>
      <c r="H3" s="241"/>
      <c r="I3" s="241"/>
      <c r="J3" s="241"/>
      <c r="K3" s="182" t="s">
        <v>3</v>
      </c>
      <c r="L3" s="183"/>
      <c r="Q3" s="132"/>
      <c r="R3" s="80"/>
      <c r="T3" s="132" t="s">
        <v>4</v>
      </c>
      <c r="U3" s="132"/>
      <c r="V3" s="80"/>
      <c r="W3" s="80"/>
      <c r="X3" s="80"/>
      <c r="Y3" s="80"/>
      <c r="Z3" s="80"/>
      <c r="AA3" s="80"/>
    </row>
    <row r="4" spans="1:28" s="1" customFormat="1" ht="19.5" customHeight="1" thickBot="1">
      <c r="A4" s="239"/>
      <c r="B4" s="240"/>
      <c r="C4" s="242"/>
      <c r="D4" s="242"/>
      <c r="E4" s="242"/>
      <c r="F4" s="242"/>
      <c r="G4" s="242"/>
      <c r="H4" s="242"/>
      <c r="I4" s="242"/>
      <c r="J4" s="242"/>
      <c r="K4" s="184" t="s">
        <v>88</v>
      </c>
      <c r="L4" s="185"/>
      <c r="Q4" s="132"/>
      <c r="R4" s="80"/>
      <c r="S4" s="132"/>
      <c r="T4" s="132"/>
      <c r="U4" s="132"/>
      <c r="V4" s="80"/>
      <c r="W4" s="80"/>
      <c r="X4" s="80"/>
      <c r="Y4" s="80"/>
      <c r="Z4" s="80"/>
      <c r="AA4" s="80"/>
    </row>
    <row r="5" spans="1:28" s="1" customFormat="1" ht="3.95" customHeight="1" thickBot="1">
      <c r="A5" s="5"/>
      <c r="B5" s="186"/>
      <c r="C5" s="186"/>
      <c r="D5" s="186"/>
      <c r="E5" s="186"/>
      <c r="F5" s="186"/>
      <c r="G5" s="186"/>
      <c r="H5" s="186"/>
      <c r="I5" s="186"/>
      <c r="J5" s="186"/>
      <c r="K5" s="186"/>
      <c r="L5" s="81"/>
      <c r="Q5" s="132"/>
      <c r="R5" s="132"/>
      <c r="T5" s="132"/>
      <c r="U5" s="132"/>
      <c r="V5" s="80"/>
      <c r="W5" s="80"/>
      <c r="X5" s="80"/>
      <c r="Y5" s="80"/>
      <c r="Z5" s="80"/>
      <c r="AA5" s="80"/>
      <c r="AB5" s="80"/>
    </row>
    <row r="6" spans="1:28" s="1" customFormat="1" ht="22.5" customHeight="1">
      <c r="A6" s="6"/>
      <c r="B6" s="7" t="s">
        <v>5</v>
      </c>
      <c r="C6" s="273" t="s">
        <v>91</v>
      </c>
      <c r="D6" s="273"/>
      <c r="E6" s="273"/>
      <c r="F6" s="273"/>
      <c r="G6" s="273"/>
      <c r="H6" s="188" t="s">
        <v>6</v>
      </c>
      <c r="I6" s="188"/>
      <c r="J6" s="189">
        <v>45884</v>
      </c>
      <c r="K6" s="189"/>
      <c r="L6" s="190"/>
      <c r="Q6" s="80"/>
      <c r="R6" s="80"/>
      <c r="T6" s="133" t="s">
        <v>7</v>
      </c>
      <c r="U6" s="80"/>
      <c r="V6" s="80"/>
      <c r="W6" s="80"/>
      <c r="X6" s="80"/>
      <c r="Y6" s="80"/>
      <c r="Z6" s="80"/>
      <c r="AA6" s="80"/>
      <c r="AB6" s="80"/>
    </row>
    <row r="7" spans="1:28" s="1" customFormat="1" ht="24.75" customHeight="1">
      <c r="A7" s="5"/>
      <c r="B7" s="9" t="s">
        <v>8</v>
      </c>
      <c r="C7" s="274" t="s">
        <v>92</v>
      </c>
      <c r="D7" s="274"/>
      <c r="E7" s="274"/>
      <c r="F7" s="274"/>
      <c r="G7" s="274"/>
      <c r="H7" s="192" t="s">
        <v>9</v>
      </c>
      <c r="I7" s="192"/>
      <c r="J7" s="193">
        <v>45922</v>
      </c>
      <c r="K7" s="193"/>
      <c r="L7" s="194"/>
      <c r="Q7" s="80"/>
      <c r="R7" s="80"/>
      <c r="T7" s="133" t="s">
        <v>10</v>
      </c>
      <c r="U7" s="80"/>
      <c r="V7" s="80"/>
      <c r="W7" s="80"/>
      <c r="X7" s="80"/>
      <c r="Y7" s="80"/>
      <c r="Z7" s="80"/>
      <c r="AA7" s="80"/>
      <c r="AB7" s="80"/>
    </row>
    <row r="8" spans="1:28" s="1" customFormat="1" ht="22.5" customHeight="1">
      <c r="A8" s="5"/>
      <c r="B8" s="9" t="s">
        <v>11</v>
      </c>
      <c r="C8" s="271" t="s">
        <v>12</v>
      </c>
      <c r="D8" s="272"/>
      <c r="E8" s="272"/>
      <c r="F8" s="272"/>
      <c r="G8" s="272"/>
      <c r="H8" s="192" t="s">
        <v>13</v>
      </c>
      <c r="I8" s="192"/>
      <c r="J8" s="193">
        <v>45932</v>
      </c>
      <c r="K8" s="193"/>
      <c r="L8" s="194"/>
      <c r="Q8" s="80"/>
      <c r="R8" s="80"/>
      <c r="S8" s="1">
        <f>17-2.57</f>
        <v>14.43</v>
      </c>
      <c r="T8" s="133" t="s">
        <v>14</v>
      </c>
      <c r="U8" s="80"/>
      <c r="V8" s="80"/>
      <c r="W8" s="80"/>
      <c r="X8" s="80"/>
      <c r="Y8" s="80"/>
      <c r="Z8" s="80"/>
      <c r="AA8" s="80"/>
      <c r="AB8" s="80"/>
    </row>
    <row r="9" spans="1:28" s="1" customFormat="1" ht="22.5" customHeight="1">
      <c r="A9" s="5"/>
      <c r="B9" s="9" t="s">
        <v>15</v>
      </c>
      <c r="C9" s="202" t="s">
        <v>93</v>
      </c>
      <c r="D9" s="202"/>
      <c r="E9" s="202"/>
      <c r="F9" s="202"/>
      <c r="G9" s="202"/>
      <c r="H9" s="192" t="s">
        <v>16</v>
      </c>
      <c r="I9" s="192"/>
      <c r="J9" s="82" t="s">
        <v>17</v>
      </c>
      <c r="K9" s="83" t="s">
        <v>90</v>
      </c>
      <c r="L9" s="84" t="s">
        <v>85</v>
      </c>
      <c r="Q9" s="80"/>
      <c r="R9" s="80"/>
      <c r="T9" s="133" t="s">
        <v>18</v>
      </c>
      <c r="U9" s="80"/>
      <c r="V9" s="80"/>
      <c r="W9" s="80"/>
      <c r="X9" s="80"/>
      <c r="Y9" s="80"/>
      <c r="Z9" s="80"/>
      <c r="AA9" s="80"/>
      <c r="AB9" s="80"/>
    </row>
    <row r="10" spans="1:28" s="1" customFormat="1" ht="22.5" customHeight="1">
      <c r="A10" s="5"/>
      <c r="B10" s="10" t="s">
        <v>19</v>
      </c>
      <c r="C10" s="202" t="s">
        <v>20</v>
      </c>
      <c r="D10" s="202"/>
      <c r="E10" s="202"/>
      <c r="F10" s="202"/>
      <c r="G10" s="202"/>
      <c r="H10" s="196" t="s">
        <v>21</v>
      </c>
      <c r="I10" s="196"/>
      <c r="J10" s="197" t="str">
        <f>CONCATENATE(K9,," ",L9,"-",D12,"-",F12)</f>
        <v>056 25-:P-VILLA RICA  AP2-2</v>
      </c>
      <c r="K10" s="197"/>
      <c r="L10" s="198"/>
      <c r="Q10" s="80"/>
      <c r="R10" s="80"/>
      <c r="T10" s="133" t="s">
        <v>22</v>
      </c>
      <c r="U10" s="80"/>
      <c r="V10" s="80"/>
      <c r="W10" s="80"/>
      <c r="X10" s="80"/>
      <c r="Y10" s="80"/>
      <c r="Z10" s="80"/>
      <c r="AA10" s="80"/>
      <c r="AB10" s="80"/>
    </row>
    <row r="11" spans="1:28" s="1" customFormat="1" ht="3.95" customHeight="1" thickBot="1">
      <c r="A11" s="11"/>
      <c r="B11" s="199"/>
      <c r="C11" s="199"/>
      <c r="D11" s="199"/>
      <c r="E11" s="199"/>
      <c r="F11" s="199"/>
      <c r="G11" s="199"/>
      <c r="H11" s="199"/>
      <c r="I11" s="199"/>
      <c r="J11" s="199"/>
      <c r="K11" s="199"/>
      <c r="L11" s="85"/>
      <c r="Q11" s="80"/>
      <c r="R11" s="80"/>
      <c r="T11" s="133"/>
      <c r="U11" s="80"/>
      <c r="V11" s="80"/>
      <c r="W11" s="80"/>
      <c r="X11" s="80"/>
      <c r="Y11" s="80"/>
      <c r="Z11" s="80"/>
      <c r="AA11" s="80"/>
      <c r="AB11" s="80"/>
    </row>
    <row r="12" spans="1:28" s="1" customFormat="1" ht="22.5" customHeight="1">
      <c r="A12" s="6"/>
      <c r="B12" s="7" t="s">
        <v>23</v>
      </c>
      <c r="C12" s="12" t="s">
        <v>10</v>
      </c>
      <c r="D12" s="13" t="s">
        <v>114</v>
      </c>
      <c r="E12" s="14" t="s">
        <v>24</v>
      </c>
      <c r="F12" s="200">
        <v>2</v>
      </c>
      <c r="G12" s="200"/>
      <c r="H12" s="201" t="s">
        <v>25</v>
      </c>
      <c r="I12" s="201"/>
      <c r="J12" s="86">
        <v>1.1000000000000001</v>
      </c>
      <c r="K12" s="87" t="s">
        <v>26</v>
      </c>
      <c r="L12" s="88">
        <v>1.3</v>
      </c>
      <c r="Q12" s="80"/>
      <c r="R12" s="80"/>
      <c r="T12" s="133"/>
      <c r="U12" s="80"/>
      <c r="V12" s="80"/>
      <c r="W12" s="80"/>
      <c r="X12" s="80"/>
      <c r="Y12" s="80"/>
      <c r="Z12" s="80"/>
      <c r="AA12" s="80"/>
      <c r="AB12" s="80"/>
    </row>
    <row r="13" spans="1:28" s="1" customFormat="1" ht="22.5" customHeight="1">
      <c r="A13" s="5"/>
      <c r="B13" s="9" t="s">
        <v>27</v>
      </c>
      <c r="C13" s="202" t="s">
        <v>112</v>
      </c>
      <c r="D13" s="202"/>
      <c r="E13" s="202"/>
      <c r="F13" s="202"/>
      <c r="G13" s="202"/>
      <c r="H13" s="202"/>
      <c r="I13" s="202"/>
      <c r="J13" s="202"/>
      <c r="K13" s="202"/>
      <c r="L13" s="203"/>
      <c r="O13" s="1">
        <f>-MOD1</f>
        <v>0</v>
      </c>
      <c r="Q13" s="80"/>
      <c r="R13" s="80"/>
      <c r="T13" s="133"/>
      <c r="U13" s="80"/>
      <c r="V13" s="80"/>
      <c r="W13" s="80"/>
      <c r="X13" s="80"/>
      <c r="Y13" s="80"/>
      <c r="Z13" s="80"/>
      <c r="AA13" s="80"/>
      <c r="AB13" s="80"/>
    </row>
    <row r="14" spans="1:28" s="1" customFormat="1" ht="6.95" customHeight="1" thickBot="1">
      <c r="A14" s="11"/>
      <c r="B14" s="15"/>
      <c r="C14" s="16"/>
      <c r="D14" s="16"/>
      <c r="E14" s="16"/>
      <c r="F14" s="16"/>
      <c r="G14" s="16"/>
      <c r="H14" s="16"/>
      <c r="I14" s="16"/>
      <c r="J14" s="16"/>
      <c r="K14" s="16"/>
      <c r="L14" s="89"/>
      <c r="P14" s="80"/>
      <c r="Q14" s="80"/>
      <c r="R14" s="80"/>
      <c r="S14" s="80"/>
      <c r="T14" s="80"/>
      <c r="U14" s="80"/>
      <c r="V14" s="80"/>
      <c r="W14" s="80"/>
      <c r="X14" s="80"/>
      <c r="Y14" s="80"/>
      <c r="Z14" s="80"/>
      <c r="AA14" s="80"/>
      <c r="AB14" s="80"/>
    </row>
    <row r="15" spans="1:28" ht="14.25" customHeight="1" thickBot="1">
      <c r="A15" s="17"/>
      <c r="B15" s="18"/>
      <c r="C15" s="18"/>
      <c r="D15" s="18"/>
      <c r="E15" s="18"/>
      <c r="F15" s="18"/>
      <c r="G15" s="18"/>
      <c r="H15" s="18"/>
      <c r="I15" s="18"/>
      <c r="J15" s="18"/>
      <c r="K15" s="18"/>
      <c r="L15" s="90"/>
    </row>
    <row r="16" spans="1:28" ht="22.5" customHeight="1" thickBot="1">
      <c r="A16" s="204"/>
      <c r="B16" s="205"/>
      <c r="C16" s="205"/>
      <c r="D16" s="205"/>
      <c r="E16" s="205"/>
      <c r="F16" s="205"/>
      <c r="G16" s="205"/>
      <c r="H16" s="205"/>
      <c r="I16" s="205"/>
      <c r="J16" s="205"/>
      <c r="K16" s="205"/>
      <c r="L16" s="206"/>
    </row>
    <row r="17" spans="1:19" ht="22.5" customHeight="1" thickBot="1">
      <c r="A17" s="17"/>
      <c r="B17" s="18"/>
      <c r="C17" s="18"/>
      <c r="D17" s="18"/>
      <c r="E17" s="18"/>
      <c r="F17" s="18"/>
      <c r="G17" s="19"/>
      <c r="H17" s="19"/>
      <c r="I17" s="19"/>
      <c r="J17" s="19"/>
      <c r="K17" s="19"/>
      <c r="L17" s="91"/>
    </row>
    <row r="18" spans="1:19" s="2" customFormat="1" ht="22.5" customHeight="1" thickBot="1">
      <c r="A18" s="207" t="s">
        <v>28</v>
      </c>
      <c r="B18" s="208"/>
      <c r="C18" s="208"/>
      <c r="D18" s="208"/>
      <c r="E18" s="209"/>
      <c r="F18" s="20"/>
      <c r="G18" s="207" t="s">
        <v>28</v>
      </c>
      <c r="H18" s="208"/>
      <c r="I18" s="208"/>
      <c r="J18" s="208"/>
      <c r="K18" s="208"/>
      <c r="L18" s="209"/>
      <c r="O18" s="92"/>
    </row>
    <row r="19" spans="1:19" s="2" customFormat="1" ht="27.75" customHeight="1" thickBot="1">
      <c r="A19" s="210"/>
      <c r="B19" s="211"/>
      <c r="C19" s="211"/>
      <c r="D19" s="22" t="s">
        <v>29</v>
      </c>
      <c r="E19" s="23" t="s">
        <v>30</v>
      </c>
      <c r="F19" s="24"/>
      <c r="G19" s="243" t="s">
        <v>31</v>
      </c>
      <c r="H19" s="244"/>
      <c r="I19" s="212" t="s">
        <v>32</v>
      </c>
      <c r="J19" s="213"/>
      <c r="K19" s="214" t="s">
        <v>33</v>
      </c>
      <c r="L19" s="215"/>
    </row>
    <row r="20" spans="1:19" s="2" customFormat="1" ht="22.5" customHeight="1">
      <c r="A20" s="216" t="s">
        <v>34</v>
      </c>
      <c r="B20" s="217"/>
      <c r="C20" s="25"/>
      <c r="D20" s="26">
        <v>526</v>
      </c>
      <c r="E20" s="27">
        <v>526</v>
      </c>
      <c r="F20" s="28"/>
      <c r="G20" s="245"/>
      <c r="H20" s="246"/>
      <c r="I20" s="93" t="s">
        <v>35</v>
      </c>
      <c r="J20" s="168" t="s">
        <v>36</v>
      </c>
      <c r="K20" s="95" t="s">
        <v>37</v>
      </c>
      <c r="L20" s="150" t="s">
        <v>36</v>
      </c>
      <c r="N20" s="92"/>
    </row>
    <row r="21" spans="1:19" s="2" customFormat="1" ht="22.5" customHeight="1">
      <c r="A21" s="216" t="s">
        <v>38</v>
      </c>
      <c r="B21" s="217"/>
      <c r="C21" s="25" t="s">
        <v>39</v>
      </c>
      <c r="D21" s="160">
        <v>15.89</v>
      </c>
      <c r="E21" s="161">
        <f>D21</f>
        <v>15.89</v>
      </c>
      <c r="F21" s="31"/>
      <c r="G21" s="96" t="s">
        <v>40</v>
      </c>
      <c r="H21" s="32" t="s">
        <v>41</v>
      </c>
      <c r="I21" s="96" t="s">
        <v>42</v>
      </c>
      <c r="J21" s="151" t="s">
        <v>43</v>
      </c>
      <c r="K21" s="96" t="s">
        <v>42</v>
      </c>
      <c r="L21" s="151" t="s">
        <v>43</v>
      </c>
      <c r="N21" s="97"/>
    </row>
    <row r="22" spans="1:19" s="2" customFormat="1" ht="22.5" customHeight="1">
      <c r="A22" s="216" t="s">
        <v>44</v>
      </c>
      <c r="B22" s="217"/>
      <c r="C22" s="25" t="s">
        <v>39</v>
      </c>
      <c r="D22" s="160">
        <v>15.21</v>
      </c>
      <c r="E22" s="161">
        <f>D22+E39</f>
        <v>15.21</v>
      </c>
      <c r="F22" s="31"/>
      <c r="G22" s="145">
        <v>0</v>
      </c>
      <c r="H22" s="33">
        <v>0</v>
      </c>
      <c r="I22" s="144">
        <v>0</v>
      </c>
      <c r="J22" s="152">
        <v>0</v>
      </c>
      <c r="K22" s="144">
        <v>0</v>
      </c>
      <c r="L22" s="152">
        <v>0</v>
      </c>
      <c r="N22" s="97"/>
      <c r="O22" s="2">
        <v>1.6E-2</v>
      </c>
      <c r="S22" s="2">
        <v>2.1000000000000001E-2</v>
      </c>
    </row>
    <row r="23" spans="1:19" s="2" customFormat="1" ht="22.5" customHeight="1">
      <c r="A23" s="216" t="s">
        <v>45</v>
      </c>
      <c r="B23" s="217"/>
      <c r="C23" s="34" t="s">
        <v>46</v>
      </c>
      <c r="D23" s="35">
        <v>9248</v>
      </c>
      <c r="E23" s="36">
        <v>9234</v>
      </c>
      <c r="F23" s="31"/>
      <c r="G23" s="145">
        <v>5.0000000000000001E-3</v>
      </c>
      <c r="H23" s="33">
        <v>0.127</v>
      </c>
      <c r="I23" s="144">
        <v>4.3999999999999997E-2</v>
      </c>
      <c r="J23" s="153">
        <f t="shared" ref="J23:J34" si="0">((I23/19.32)*10)</f>
        <v>2.2774327122153208E-2</v>
      </c>
      <c r="K23" s="98">
        <v>1.6E-2</v>
      </c>
      <c r="L23" s="153">
        <f t="shared" ref="L23:L34" si="1">((K23/19.32)*10)</f>
        <v>8.2815734989648039E-3</v>
      </c>
      <c r="N23" s="97"/>
      <c r="O23" s="2">
        <v>3.3000000000000002E-2</v>
      </c>
      <c r="S23" s="2">
        <v>7.5999999999999998E-2</v>
      </c>
    </row>
    <row r="24" spans="1:19" s="2" customFormat="1" ht="22.5" customHeight="1">
      <c r="A24" s="216" t="s">
        <v>47</v>
      </c>
      <c r="B24" s="217"/>
      <c r="C24" s="34" t="s">
        <v>46</v>
      </c>
      <c r="D24" s="167">
        <v>3788</v>
      </c>
      <c r="E24" s="37">
        <f>D24</f>
        <v>3788</v>
      </c>
      <c r="F24" s="38"/>
      <c r="G24" s="145">
        <v>2.5000000000000001E-2</v>
      </c>
      <c r="H24" s="33">
        <v>0.63500000000000001</v>
      </c>
      <c r="I24" s="144">
        <v>6.3E-2</v>
      </c>
      <c r="J24" s="153">
        <f t="shared" si="0"/>
        <v>3.2608695652173912E-2</v>
      </c>
      <c r="K24" s="98">
        <v>3.3000000000000002E-2</v>
      </c>
      <c r="L24" s="153">
        <f t="shared" si="1"/>
        <v>1.7080745341614908E-2</v>
      </c>
      <c r="N24" s="97"/>
      <c r="O24" s="2">
        <v>4.5999999999999999E-2</v>
      </c>
      <c r="S24" s="2">
        <v>0.16</v>
      </c>
    </row>
    <row r="25" spans="1:19" s="2" customFormat="1" ht="22.5" customHeight="1">
      <c r="A25" s="216" t="s">
        <v>48</v>
      </c>
      <c r="B25" s="217"/>
      <c r="C25" s="34" t="s">
        <v>46</v>
      </c>
      <c r="D25" s="39">
        <f>+D23-D24</f>
        <v>5460</v>
      </c>
      <c r="E25" s="40">
        <f>E23-E24</f>
        <v>5446</v>
      </c>
      <c r="F25" s="41"/>
      <c r="G25" s="145">
        <v>0.05</v>
      </c>
      <c r="H25" s="33">
        <v>1.27</v>
      </c>
      <c r="I25" s="144">
        <v>7.4999999999999997E-2</v>
      </c>
      <c r="J25" s="153">
        <f t="shared" si="0"/>
        <v>3.8819875776397512E-2</v>
      </c>
      <c r="K25" s="98">
        <v>4.5999999999999999E-2</v>
      </c>
      <c r="L25" s="153">
        <f t="shared" si="1"/>
        <v>2.3809523809523808E-2</v>
      </c>
      <c r="N25" s="97"/>
      <c r="O25" s="2">
        <v>5.7000000000000002E-2</v>
      </c>
      <c r="S25" s="2">
        <v>0.27200000000000002</v>
      </c>
    </row>
    <row r="26" spans="1:19" s="2" customFormat="1" ht="22.5" customHeight="1">
      <c r="A26" s="216" t="s">
        <v>49</v>
      </c>
      <c r="B26" s="217"/>
      <c r="C26" s="34" t="s">
        <v>50</v>
      </c>
      <c r="D26" s="39">
        <f>((PI()*(D21*D21))/4)*D22</f>
        <v>3016.24690882407</v>
      </c>
      <c r="E26" s="40">
        <f>((PI()*(E21*E21))/4)*E22</f>
        <v>3016.24690882407</v>
      </c>
      <c r="F26" s="41"/>
      <c r="G26" s="145">
        <v>7.4999999999999997E-2</v>
      </c>
      <c r="H26" s="33">
        <v>1.905</v>
      </c>
      <c r="I26" s="144">
        <v>8.4000000000000005E-2</v>
      </c>
      <c r="J26" s="153">
        <f t="shared" si="0"/>
        <v>4.3478260869565216E-2</v>
      </c>
      <c r="K26" s="98">
        <v>5.7000000000000002E-2</v>
      </c>
      <c r="L26" s="153">
        <f t="shared" si="1"/>
        <v>2.9503105590062112E-2</v>
      </c>
      <c r="N26" s="97"/>
      <c r="O26" s="2">
        <v>6.6000000000000003E-2</v>
      </c>
      <c r="S26" s="2">
        <v>0.40500000000000003</v>
      </c>
    </row>
    <row r="27" spans="1:19" s="2" customFormat="1" ht="22.5" customHeight="1">
      <c r="A27" s="216" t="s">
        <v>51</v>
      </c>
      <c r="B27" s="217"/>
      <c r="C27" s="34" t="s">
        <v>52</v>
      </c>
      <c r="D27" s="42">
        <f>D25/D26</f>
        <v>1.8101966334475796</v>
      </c>
      <c r="E27" s="43">
        <f>E25/E26</f>
        <v>1.8055551036182267</v>
      </c>
      <c r="F27" s="44"/>
      <c r="G27" s="146">
        <v>0.1</v>
      </c>
      <c r="H27" s="45">
        <v>2.54</v>
      </c>
      <c r="I27" s="154">
        <v>0.09</v>
      </c>
      <c r="J27" s="155">
        <f t="shared" si="0"/>
        <v>4.6583850931677023E-2</v>
      </c>
      <c r="K27" s="158">
        <v>6.6000000000000003E-2</v>
      </c>
      <c r="L27" s="155">
        <f t="shared" si="1"/>
        <v>3.4161490683229816E-2</v>
      </c>
      <c r="N27" s="97"/>
      <c r="O27" s="2">
        <v>7.5999999999999998E-2</v>
      </c>
      <c r="S27" s="2">
        <v>0.58099999999999996</v>
      </c>
    </row>
    <row r="28" spans="1:19" s="2" customFormat="1" ht="22.5" customHeight="1" thickBot="1">
      <c r="A28" s="218" t="s">
        <v>53</v>
      </c>
      <c r="B28" s="219"/>
      <c r="C28" s="46" t="s">
        <v>52</v>
      </c>
      <c r="D28" s="47">
        <f>D27/(1+D34/100)</f>
        <v>1.4003407919122783</v>
      </c>
      <c r="E28" s="48">
        <f>E27/(1+E34/100)</f>
        <v>1.3981571520827856</v>
      </c>
      <c r="F28" s="49"/>
      <c r="G28" s="145">
        <v>0.125</v>
      </c>
      <c r="H28" s="33">
        <v>3.1749999999999998</v>
      </c>
      <c r="I28" s="144">
        <v>9.4E-2</v>
      </c>
      <c r="J28" s="153">
        <f t="shared" si="0"/>
        <v>4.8654244306418216E-2</v>
      </c>
      <c r="K28" s="98">
        <v>7.5999999999999998E-2</v>
      </c>
      <c r="L28" s="153">
        <f t="shared" si="1"/>
        <v>3.9337474120082816E-2</v>
      </c>
      <c r="N28" s="97"/>
      <c r="O28" s="2">
        <v>8.3000000000000004E-2</v>
      </c>
      <c r="S28" s="2">
        <v>0.78</v>
      </c>
    </row>
    <row r="29" spans="1:19" s="2" customFormat="1" ht="22.5" customHeight="1" thickBot="1">
      <c r="A29" s="281" t="s">
        <v>54</v>
      </c>
      <c r="B29" s="282" t="s">
        <v>54</v>
      </c>
      <c r="C29" s="282"/>
      <c r="D29" s="282"/>
      <c r="E29" s="283"/>
      <c r="F29" s="49"/>
      <c r="G29" s="147">
        <v>0.15</v>
      </c>
      <c r="H29" s="33">
        <v>3.81</v>
      </c>
      <c r="I29" s="144">
        <v>0.10100000000000001</v>
      </c>
      <c r="J29" s="153">
        <f t="shared" si="0"/>
        <v>5.227743271221532E-2</v>
      </c>
      <c r="K29" s="98">
        <v>8.3000000000000004E-2</v>
      </c>
      <c r="L29" s="153">
        <f>((K29/19.32)*10)</f>
        <v>4.296066252587992E-2</v>
      </c>
      <c r="N29" s="97"/>
      <c r="O29" s="2">
        <v>9.1999999999999998E-2</v>
      </c>
      <c r="S29" s="2">
        <v>0.98499999999999999</v>
      </c>
    </row>
    <row r="30" spans="1:19" s="2" customFormat="1" ht="22.5" customHeight="1">
      <c r="A30" s="258" t="s">
        <v>55</v>
      </c>
      <c r="B30" s="259"/>
      <c r="C30" s="50"/>
      <c r="D30" s="51">
        <v>212</v>
      </c>
      <c r="E30" s="52">
        <v>325</v>
      </c>
      <c r="F30" s="44"/>
      <c r="G30" s="145">
        <v>0.17499999999999999</v>
      </c>
      <c r="H30" s="33">
        <v>4.4450000000000003</v>
      </c>
      <c r="I30" s="144">
        <v>0.107</v>
      </c>
      <c r="J30" s="153">
        <f t="shared" si="0"/>
        <v>5.538302277432712E-2</v>
      </c>
      <c r="K30" s="98">
        <v>9.1999999999999998E-2</v>
      </c>
      <c r="L30" s="153">
        <f t="shared" si="1"/>
        <v>4.7619047619047616E-2</v>
      </c>
      <c r="N30" s="97"/>
      <c r="O30" s="2">
        <v>9.8000000000000004E-2</v>
      </c>
      <c r="S30" s="2">
        <v>1.1599999999999999</v>
      </c>
    </row>
    <row r="31" spans="1:19" s="2" customFormat="1" ht="22.5" customHeight="1">
      <c r="A31" s="216" t="s">
        <v>56</v>
      </c>
      <c r="B31" s="217"/>
      <c r="C31" s="25" t="s">
        <v>46</v>
      </c>
      <c r="D31" s="53">
        <v>245.71</v>
      </c>
      <c r="E31" s="54">
        <v>944.55</v>
      </c>
      <c r="F31" s="41"/>
      <c r="G31" s="146">
        <v>0.2</v>
      </c>
      <c r="H31" s="45">
        <v>5.08</v>
      </c>
      <c r="I31" s="154">
        <v>0.112</v>
      </c>
      <c r="J31" s="155">
        <f t="shared" si="0"/>
        <v>5.7971014492753624E-2</v>
      </c>
      <c r="K31" s="158">
        <v>9.8000000000000004E-2</v>
      </c>
      <c r="L31" s="155">
        <f t="shared" si="1"/>
        <v>5.0724637681159424E-2</v>
      </c>
      <c r="N31" s="97"/>
      <c r="O31" s="2">
        <v>0.11700000000000001</v>
      </c>
      <c r="S31" s="2">
        <v>1.2969999999999999</v>
      </c>
    </row>
    <row r="32" spans="1:19" s="2" customFormat="1" ht="22.5" customHeight="1">
      <c r="A32" s="216" t="s">
        <v>57</v>
      </c>
      <c r="B32" s="217"/>
      <c r="C32" s="25" t="s">
        <v>46</v>
      </c>
      <c r="D32" s="53">
        <v>204.67</v>
      </c>
      <c r="E32" s="54">
        <v>754.7</v>
      </c>
      <c r="F32" s="49"/>
      <c r="G32" s="145">
        <v>0.3</v>
      </c>
      <c r="H32" s="33">
        <v>7.62</v>
      </c>
      <c r="I32" s="144">
        <v>0.125</v>
      </c>
      <c r="J32" s="153">
        <f t="shared" si="0"/>
        <v>6.4699792960662528E-2</v>
      </c>
      <c r="K32" s="98">
        <v>0.11700000000000001</v>
      </c>
      <c r="L32" s="153">
        <f t="shared" si="1"/>
        <v>6.0559006211180127E-2</v>
      </c>
      <c r="N32" s="97"/>
      <c r="O32" s="2">
        <v>0.129</v>
      </c>
      <c r="S32" s="2">
        <v>1.2529999999999999</v>
      </c>
    </row>
    <row r="33" spans="1:19" s="2" customFormat="1" ht="22.5" customHeight="1">
      <c r="A33" s="216" t="s">
        <v>58</v>
      </c>
      <c r="B33" s="217"/>
      <c r="C33" s="25" t="s">
        <v>46</v>
      </c>
      <c r="D33" s="53">
        <v>64.45</v>
      </c>
      <c r="E33" s="54">
        <v>103.15</v>
      </c>
      <c r="F33" s="49"/>
      <c r="G33" s="145">
        <v>0.4</v>
      </c>
      <c r="H33" s="33">
        <v>10.16</v>
      </c>
      <c r="I33" s="144">
        <v>0.13500000000000001</v>
      </c>
      <c r="J33" s="153">
        <f t="shared" si="0"/>
        <v>6.9875776397515535E-2</v>
      </c>
      <c r="K33" s="98">
        <v>0.129</v>
      </c>
      <c r="L33" s="153">
        <f t="shared" si="1"/>
        <v>6.6770186335403728E-2</v>
      </c>
      <c r="N33" s="97"/>
      <c r="O33" s="2">
        <v>0.13800000000000001</v>
      </c>
      <c r="S33" s="2">
        <v>1.2529999999999999</v>
      </c>
    </row>
    <row r="34" spans="1:19" s="2" customFormat="1" ht="22.5" customHeight="1" thickBot="1">
      <c r="A34" s="218" t="s">
        <v>59</v>
      </c>
      <c r="B34" s="219"/>
      <c r="C34" s="46" t="s">
        <v>60</v>
      </c>
      <c r="D34" s="47">
        <f>((D31-D32)/(D32-D33))*100</f>
        <v>29.268292682926848</v>
      </c>
      <c r="E34" s="48">
        <f>((E31-E32)/(E32-E33))*100</f>
        <v>29.138208886501403</v>
      </c>
      <c r="F34" s="49"/>
      <c r="G34" s="148">
        <v>0.5</v>
      </c>
      <c r="H34" s="149">
        <v>12.7</v>
      </c>
      <c r="I34" s="156">
        <v>0.14299999999999999</v>
      </c>
      <c r="J34" s="157">
        <f t="shared" si="0"/>
        <v>7.4016563146997921E-2</v>
      </c>
      <c r="K34" s="159">
        <v>0.13800000000000001</v>
      </c>
      <c r="L34" s="157">
        <f t="shared" si="1"/>
        <v>7.1428571428571438E-2</v>
      </c>
      <c r="N34" s="97"/>
    </row>
    <row r="35" spans="1:19" s="2" customFormat="1" ht="11.25" customHeight="1" thickBot="1">
      <c r="A35" s="55"/>
      <c r="B35" s="56"/>
      <c r="C35" s="57"/>
      <c r="D35" s="58"/>
      <c r="E35" s="58"/>
      <c r="F35" s="59"/>
      <c r="G35" s="58"/>
      <c r="H35" s="58"/>
      <c r="I35" s="58"/>
      <c r="J35" s="58"/>
      <c r="K35" s="58"/>
      <c r="L35" s="99"/>
      <c r="N35" s="97"/>
    </row>
    <row r="36" spans="1:19" s="2" customFormat="1" ht="22.5" customHeight="1" thickBot="1">
      <c r="A36" s="247" t="s">
        <v>61</v>
      </c>
      <c r="B36" s="248"/>
      <c r="C36" s="248"/>
      <c r="D36" s="248"/>
      <c r="E36" s="249"/>
      <c r="F36" s="60"/>
      <c r="G36" s="60"/>
      <c r="H36" s="207" t="s">
        <v>62</v>
      </c>
      <c r="I36" s="208"/>
      <c r="J36" s="208"/>
      <c r="K36" s="209"/>
      <c r="L36" s="100"/>
    </row>
    <row r="37" spans="1:19" s="2" customFormat="1" ht="22.5" customHeight="1" thickBot="1">
      <c r="A37" s="250" t="s">
        <v>63</v>
      </c>
      <c r="B37" s="251"/>
      <c r="C37" s="61" t="s">
        <v>64</v>
      </c>
      <c r="D37" s="277">
        <v>0.92049999999999998</v>
      </c>
      <c r="E37" s="278"/>
      <c r="F37" s="62"/>
      <c r="G37" s="62"/>
      <c r="H37" s="63" t="s">
        <v>65</v>
      </c>
      <c r="I37" s="101" t="s">
        <v>86</v>
      </c>
      <c r="J37" s="63" t="s">
        <v>66</v>
      </c>
      <c r="K37" s="102" t="s">
        <v>67</v>
      </c>
      <c r="L37" s="99"/>
    </row>
    <row r="38" spans="1:19" s="2" customFormat="1" ht="22.5" customHeight="1" thickBot="1">
      <c r="A38" s="224" t="s">
        <v>68</v>
      </c>
      <c r="B38" s="225"/>
      <c r="C38" s="64" t="s">
        <v>64</v>
      </c>
      <c r="D38" s="279">
        <v>0.91449999999999998</v>
      </c>
      <c r="E38" s="280"/>
      <c r="F38" s="62"/>
      <c r="G38" s="62"/>
      <c r="H38" s="256" t="s">
        <v>69</v>
      </c>
      <c r="I38" s="257"/>
      <c r="J38" s="256" t="s">
        <v>70</v>
      </c>
      <c r="K38" s="257"/>
      <c r="L38" s="99"/>
    </row>
    <row r="39" spans="1:19" s="2" customFormat="1" ht="22.5" customHeight="1" thickBot="1">
      <c r="A39" s="224" t="s">
        <v>71</v>
      </c>
      <c r="B39" s="225"/>
      <c r="C39" s="65" t="s">
        <v>39</v>
      </c>
      <c r="D39" s="226">
        <f>(D38-D37)*2.54</f>
        <v>-1.5240000000000014E-2</v>
      </c>
      <c r="E39" s="227"/>
      <c r="F39" s="31"/>
      <c r="G39" s="31"/>
      <c r="H39" s="163" t="s">
        <v>72</v>
      </c>
      <c r="I39" s="164">
        <v>4554</v>
      </c>
      <c r="J39" s="275">
        <v>4</v>
      </c>
      <c r="K39" s="229"/>
      <c r="L39" s="99"/>
    </row>
    <row r="40" spans="1:19" s="2" customFormat="1" ht="22.5" customHeight="1" thickBot="1">
      <c r="A40" s="230" t="s">
        <v>73</v>
      </c>
      <c r="B40" s="231"/>
      <c r="C40" s="67" t="s">
        <v>60</v>
      </c>
      <c r="D40" s="232">
        <f>IF(D39&lt;&gt;"",IF(D22&lt;&gt;"",D39/D22*100,""),"")</f>
        <v>-0.10019723865877721</v>
      </c>
      <c r="E40" s="233"/>
      <c r="F40" s="68"/>
      <c r="G40" s="68"/>
      <c r="H40" s="165" t="s">
        <v>33</v>
      </c>
      <c r="I40" s="166">
        <v>4554</v>
      </c>
      <c r="J40" s="276">
        <v>4</v>
      </c>
      <c r="K40" s="235"/>
      <c r="L40" s="99"/>
      <c r="P40" s="105"/>
      <c r="Q40" s="105"/>
      <c r="R40" s="134"/>
    </row>
    <row r="41" spans="1:19" s="2" customFormat="1" ht="33" customHeight="1" thickBot="1">
      <c r="A41" s="70"/>
      <c r="B41" s="58"/>
      <c r="C41" s="58"/>
      <c r="D41" s="58"/>
      <c r="E41" s="58"/>
      <c r="F41" s="71"/>
      <c r="G41" s="58"/>
      <c r="H41" s="70"/>
      <c r="I41" s="58"/>
      <c r="J41" s="107" t="str">
        <f>I19</f>
        <v>ANTES DE INMERSIÓN</v>
      </c>
      <c r="K41" s="107" t="str">
        <f>K19</f>
        <v xml:space="preserve">DESPUÉS DE INMERSIÓN </v>
      </c>
      <c r="L41" s="108"/>
      <c r="M41" s="20"/>
      <c r="P41" s="109"/>
      <c r="Q41" s="135"/>
      <c r="R41" s="136"/>
    </row>
    <row r="42" spans="1:19" s="2" customFormat="1" ht="22.5" customHeight="1">
      <c r="A42" s="70"/>
      <c r="B42" s="58"/>
      <c r="C42" s="58"/>
      <c r="D42" s="58"/>
      <c r="E42" s="58"/>
      <c r="F42" s="58"/>
      <c r="G42" s="58"/>
      <c r="H42" s="21" t="s">
        <v>74</v>
      </c>
      <c r="I42" s="110" t="s">
        <v>60</v>
      </c>
      <c r="J42" s="111">
        <f>(J27/6.9)*100</f>
        <v>0.67512827437213074</v>
      </c>
      <c r="K42" s="112">
        <f>(L27/6.9)*100</f>
        <v>0.49509406787289584</v>
      </c>
      <c r="L42" s="99"/>
      <c r="P42" s="113"/>
      <c r="Q42" s="137"/>
      <c r="R42" s="136"/>
    </row>
    <row r="43" spans="1:19" s="2" customFormat="1" ht="22.5" customHeight="1" thickBot="1">
      <c r="A43" s="70"/>
      <c r="B43" s="73"/>
      <c r="C43" s="58"/>
      <c r="D43" s="58"/>
      <c r="E43" s="58"/>
      <c r="F43" s="58"/>
      <c r="G43" s="58"/>
      <c r="H43" s="74" t="s">
        <v>75</v>
      </c>
      <c r="I43" s="114" t="s">
        <v>60</v>
      </c>
      <c r="J43" s="115">
        <f>(J31/10.3)*100</f>
        <v>0.56282538342479238</v>
      </c>
      <c r="K43" s="116">
        <f>(L31/10.3)*100</f>
        <v>0.49247221049669337</v>
      </c>
      <c r="L43" s="99"/>
      <c r="P43" s="117"/>
      <c r="Q43" s="138"/>
      <c r="R43" s="139"/>
    </row>
    <row r="44" spans="1:19" s="2" customFormat="1" ht="22.5" customHeight="1" thickBot="1">
      <c r="A44" s="70"/>
      <c r="B44" s="73"/>
      <c r="C44" s="73"/>
      <c r="D44" s="73"/>
      <c r="E44" s="58"/>
      <c r="F44" s="58"/>
      <c r="G44" s="58"/>
      <c r="H44" s="74" t="s">
        <v>76</v>
      </c>
      <c r="I44" s="114"/>
      <c r="J44" s="118">
        <f>IF(J42&lt;J43,J42,J43)</f>
        <v>0.56282538342479238</v>
      </c>
      <c r="K44" s="119">
        <f>IF(K42&lt;K43,K42,K43)</f>
        <v>0.49247221049669337</v>
      </c>
      <c r="L44" s="120"/>
      <c r="M44" s="121"/>
    </row>
    <row r="45" spans="1:19" s="2" customFormat="1" ht="22.5" customHeight="1">
      <c r="A45" s="70"/>
      <c r="B45" s="58"/>
      <c r="C45" s="58"/>
      <c r="D45" s="59"/>
      <c r="E45" s="59"/>
      <c r="F45" s="59"/>
      <c r="G45" s="58"/>
      <c r="H45" s="4"/>
      <c r="I45" s="122"/>
      <c r="J45" s="122"/>
      <c r="K45" s="122"/>
      <c r="L45" s="99"/>
    </row>
    <row r="46" spans="1:19" s="2" customFormat="1" ht="22.5" customHeight="1">
      <c r="A46" s="70"/>
      <c r="B46" s="58"/>
      <c r="C46" s="58"/>
      <c r="D46" s="59"/>
      <c r="E46" s="59"/>
      <c r="F46" s="59"/>
      <c r="G46" s="58"/>
      <c r="H46" s="222" t="s">
        <v>77</v>
      </c>
      <c r="I46" s="222"/>
      <c r="J46" s="222" t="s">
        <v>78</v>
      </c>
      <c r="K46" s="222"/>
      <c r="L46" s="223"/>
    </row>
    <row r="47" spans="1:19" s="2" customFormat="1" ht="22.5" customHeight="1">
      <c r="A47" s="70"/>
      <c r="B47" s="56"/>
      <c r="C47" s="75"/>
      <c r="D47" s="76"/>
      <c r="E47" s="59"/>
      <c r="F47" s="59"/>
      <c r="G47" s="59"/>
      <c r="H47" s="77"/>
      <c r="I47" s="123"/>
      <c r="J47" s="77"/>
      <c r="K47" s="123"/>
      <c r="L47" s="124"/>
    </row>
    <row r="48" spans="1:19" s="2" customFormat="1" ht="22.5" customHeight="1">
      <c r="A48" s="70"/>
      <c r="B48" s="56"/>
      <c r="C48" s="75"/>
      <c r="D48" s="76"/>
      <c r="E48" s="59"/>
      <c r="F48" s="59"/>
      <c r="G48" s="59"/>
      <c r="H48" s="77"/>
      <c r="I48" s="123"/>
      <c r="J48" s="77"/>
      <c r="K48" s="123"/>
      <c r="L48" s="124"/>
    </row>
    <row r="49" spans="1:15" s="2" customFormat="1" ht="22.5" customHeight="1">
      <c r="A49" s="70"/>
      <c r="B49" s="56"/>
      <c r="C49" s="75"/>
      <c r="D49" s="76"/>
      <c r="E49" s="59"/>
      <c r="F49" s="59"/>
      <c r="G49" s="59"/>
      <c r="H49" s="77"/>
      <c r="I49" s="123"/>
      <c r="J49" s="77"/>
      <c r="K49"/>
      <c r="L49" s="124"/>
    </row>
    <row r="50" spans="1:15" s="2" customFormat="1" ht="22.5" customHeight="1">
      <c r="A50" s="70"/>
      <c r="B50" s="56"/>
      <c r="C50" s="75"/>
      <c r="D50" s="76"/>
      <c r="E50" s="59"/>
      <c r="F50" s="59"/>
      <c r="G50" s="59"/>
      <c r="H50" s="78"/>
      <c r="I50" s="78"/>
      <c r="J50" s="77"/>
      <c r="K50" s="123"/>
      <c r="L50" s="124"/>
    </row>
    <row r="51" spans="1:15" s="2" customFormat="1" ht="22.5" customHeight="1">
      <c r="A51" s="70"/>
      <c r="B51" s="56"/>
      <c r="C51" s="75"/>
      <c r="D51" s="76"/>
      <c r="E51" s="59"/>
      <c r="F51" s="59"/>
      <c r="G51" s="59"/>
      <c r="H51" s="220" t="s">
        <v>79</v>
      </c>
      <c r="I51" s="220"/>
      <c r="J51" s="220" t="s">
        <v>87</v>
      </c>
      <c r="K51" s="220"/>
      <c r="L51" s="221"/>
    </row>
    <row r="52" spans="1:15" s="2" customFormat="1" ht="22.5" customHeight="1">
      <c r="A52" s="70"/>
      <c r="B52" s="56"/>
      <c r="C52" s="75"/>
      <c r="D52" s="76"/>
      <c r="E52" s="59"/>
      <c r="F52" s="59"/>
      <c r="G52" s="59"/>
      <c r="H52" s="222" t="s">
        <v>80</v>
      </c>
      <c r="I52" s="222"/>
      <c r="J52" s="222" t="s">
        <v>81</v>
      </c>
      <c r="K52" s="222"/>
      <c r="L52" s="223"/>
    </row>
    <row r="53" spans="1:15" s="2" customFormat="1" ht="22.5" customHeight="1">
      <c r="A53" s="70"/>
      <c r="B53" s="56"/>
      <c r="C53" s="75"/>
      <c r="D53" s="76"/>
      <c r="E53" s="59"/>
      <c r="F53" s="59"/>
      <c r="G53" s="59"/>
      <c r="H53" s="186"/>
      <c r="I53" s="186"/>
      <c r="J53" s="186"/>
      <c r="K53" s="186"/>
      <c r="L53" s="99"/>
    </row>
    <row r="54" spans="1:15" s="2" customFormat="1" ht="22.5" customHeight="1">
      <c r="A54" s="70"/>
      <c r="B54" s="56"/>
      <c r="C54" s="75"/>
      <c r="D54" s="76"/>
      <c r="E54" s="59"/>
      <c r="F54" s="59"/>
      <c r="G54" s="59"/>
      <c r="H54" s="58"/>
      <c r="I54" s="58"/>
      <c r="J54" s="125"/>
      <c r="K54" s="58"/>
      <c r="L54" s="99"/>
      <c r="M54" s="126"/>
      <c r="N54" s="3"/>
    </row>
    <row r="55" spans="1:15" s="2" customFormat="1" ht="22.5" customHeight="1">
      <c r="A55" s="70"/>
      <c r="B55" s="56"/>
      <c r="C55" s="75"/>
      <c r="D55" s="76"/>
      <c r="E55" s="59"/>
      <c r="F55" s="59"/>
      <c r="G55" s="59"/>
      <c r="H55" s="58"/>
      <c r="I55" s="58"/>
      <c r="J55" s="127"/>
      <c r="K55" s="125"/>
      <c r="L55" s="128"/>
      <c r="M55" s="129"/>
      <c r="N55" s="3"/>
    </row>
    <row r="56" spans="1:15" s="2" customFormat="1" ht="22.5" customHeight="1">
      <c r="A56" s="264" t="s">
        <v>82</v>
      </c>
      <c r="B56" s="265"/>
      <c r="C56" s="265"/>
      <c r="D56" s="265"/>
      <c r="E56" s="265"/>
      <c r="F56" s="265"/>
      <c r="G56" s="265"/>
      <c r="H56" s="265"/>
      <c r="I56" s="265"/>
      <c r="J56" s="265"/>
      <c r="K56" s="265"/>
      <c r="L56" s="266"/>
      <c r="M56" s="130"/>
      <c r="N56" s="3"/>
      <c r="O56" s="3"/>
    </row>
    <row r="57" spans="1:15" s="2" customFormat="1" ht="22.5" customHeight="1">
      <c r="A57" s="261" t="s">
        <v>83</v>
      </c>
      <c r="B57" s="262"/>
      <c r="C57" s="262"/>
      <c r="D57" s="262"/>
      <c r="E57" s="262"/>
      <c r="F57" s="262"/>
      <c r="G57" s="262"/>
      <c r="H57" s="262"/>
      <c r="I57" s="262"/>
      <c r="J57" s="262"/>
      <c r="K57" s="262"/>
      <c r="L57" s="263"/>
      <c r="M57" s="3"/>
      <c r="N57" s="3"/>
      <c r="O57" s="3"/>
    </row>
    <row r="58" spans="1:15" s="2" customFormat="1" ht="22.5" customHeight="1">
      <c r="A58" s="261"/>
      <c r="B58" s="262"/>
      <c r="C58" s="262"/>
      <c r="D58" s="262"/>
      <c r="E58" s="262"/>
      <c r="F58" s="262"/>
      <c r="G58" s="262"/>
      <c r="H58" s="262"/>
      <c r="I58" s="262"/>
      <c r="J58" s="262"/>
      <c r="K58" s="262"/>
      <c r="L58" s="263"/>
      <c r="M58" s="3"/>
      <c r="N58" s="3"/>
      <c r="O58" s="3"/>
    </row>
    <row r="59" spans="1:15" ht="15" thickBot="1">
      <c r="A59" s="267" t="s">
        <v>84</v>
      </c>
      <c r="B59" s="268"/>
      <c r="C59" s="268"/>
      <c r="D59" s="268"/>
      <c r="E59" s="268"/>
      <c r="F59" s="268"/>
      <c r="G59" s="268"/>
      <c r="H59" s="268"/>
      <c r="I59" s="268"/>
      <c r="J59" s="268"/>
      <c r="K59" s="268"/>
      <c r="L59" s="269"/>
    </row>
    <row r="63" spans="1:15">
      <c r="I63" s="79"/>
      <c r="J63" s="79"/>
      <c r="K63" s="79"/>
      <c r="L63" s="79"/>
      <c r="M63" s="79"/>
      <c r="N63" s="79"/>
    </row>
    <row r="64" spans="1:15" ht="15" customHeight="1">
      <c r="E64" s="79"/>
      <c r="F64" s="79"/>
      <c r="G64" s="79"/>
      <c r="H64" s="79"/>
      <c r="I64" s="131"/>
      <c r="J64" s="131"/>
      <c r="K64" s="131"/>
      <c r="L64" s="131"/>
      <c r="M64" s="131"/>
      <c r="N64" s="131"/>
    </row>
    <row r="65" spans="2:18" ht="15" customHeight="1">
      <c r="E65" s="131"/>
      <c r="F65" s="131"/>
      <c r="G65" s="131"/>
      <c r="H65" s="131"/>
      <c r="I65" s="131"/>
      <c r="J65" s="131"/>
      <c r="K65" s="131"/>
      <c r="L65" s="131"/>
      <c r="M65" s="131"/>
      <c r="N65" s="131"/>
    </row>
    <row r="66" spans="2:18" ht="15" customHeight="1">
      <c r="E66" s="131"/>
      <c r="F66" s="131"/>
      <c r="G66" s="131"/>
      <c r="H66" s="131"/>
      <c r="I66" s="131"/>
      <c r="J66" s="131"/>
      <c r="K66" s="131"/>
      <c r="L66" s="131"/>
      <c r="M66" s="131"/>
      <c r="N66" s="131"/>
    </row>
    <row r="67" spans="2:18" ht="30.75" customHeight="1">
      <c r="E67" s="131"/>
      <c r="F67" s="131"/>
      <c r="G67" s="131"/>
      <c r="H67" s="131"/>
      <c r="I67" s="140"/>
      <c r="J67" s="140"/>
      <c r="K67" s="140"/>
      <c r="L67" s="140"/>
      <c r="M67" s="140"/>
      <c r="N67" s="140"/>
    </row>
    <row r="68" spans="2:18" ht="15" customHeight="1">
      <c r="E68" s="140"/>
      <c r="F68" s="140"/>
      <c r="G68" s="140"/>
      <c r="H68" s="140"/>
      <c r="I68" s="140"/>
      <c r="J68" s="140"/>
      <c r="K68" s="140"/>
      <c r="L68" s="140"/>
      <c r="M68" s="140"/>
      <c r="N68" s="140"/>
    </row>
    <row r="69" spans="2:18" ht="15" customHeight="1">
      <c r="E69" s="140"/>
      <c r="F69" s="140"/>
      <c r="G69" s="140"/>
      <c r="H69" s="140"/>
    </row>
    <row r="70" spans="2:18" ht="31.5" customHeight="1">
      <c r="E70" s="270"/>
      <c r="F70" s="270"/>
      <c r="G70" s="270"/>
      <c r="H70" s="270"/>
      <c r="I70" s="270"/>
      <c r="J70" s="270"/>
      <c r="K70" s="270"/>
      <c r="L70" s="270"/>
      <c r="M70" s="270"/>
      <c r="N70" s="270"/>
      <c r="O70" s="270"/>
      <c r="P70" s="270"/>
    </row>
    <row r="71" spans="2:18" ht="24" customHeight="1">
      <c r="B71" s="141"/>
      <c r="C71" s="142"/>
      <c r="D71" s="142"/>
      <c r="E71" s="142"/>
      <c r="F71" s="142"/>
      <c r="G71" s="142"/>
      <c r="H71" s="142"/>
      <c r="I71" s="142"/>
      <c r="J71" s="142"/>
      <c r="K71" s="142"/>
      <c r="L71" s="142"/>
      <c r="M71" s="142"/>
      <c r="N71" s="142"/>
      <c r="O71" s="142"/>
      <c r="P71" s="142"/>
      <c r="Q71" s="142"/>
      <c r="R71" s="142"/>
    </row>
    <row r="72" spans="2:18" ht="15" customHeight="1">
      <c r="B72" s="142"/>
      <c r="C72" s="142"/>
      <c r="D72" s="260"/>
      <c r="E72" s="260"/>
      <c r="F72" s="260"/>
      <c r="G72" s="260"/>
      <c r="H72" s="260"/>
      <c r="I72" s="260"/>
      <c r="J72" s="260"/>
      <c r="K72" s="260"/>
      <c r="L72" s="260"/>
      <c r="M72" s="260"/>
      <c r="N72" s="260"/>
      <c r="O72" s="260"/>
      <c r="P72" s="142"/>
      <c r="Q72" s="142"/>
      <c r="R72" s="142"/>
    </row>
    <row r="73" spans="2:18">
      <c r="D73" s="260"/>
      <c r="E73" s="260"/>
      <c r="F73" s="260"/>
      <c r="G73" s="260"/>
      <c r="H73" s="260"/>
      <c r="I73" s="260"/>
      <c r="J73" s="260"/>
      <c r="K73" s="260"/>
      <c r="L73" s="260"/>
      <c r="M73" s="260"/>
      <c r="N73" s="260"/>
      <c r="O73" s="260"/>
    </row>
  </sheetData>
  <sheetProtection formatCells="0" formatColumns="0" insertColumns="0" insertRows="0" deleteColumns="0" deleteRows="0"/>
  <mergeCells count="74">
    <mergeCell ref="A1:B4"/>
    <mergeCell ref="C1:J1"/>
    <mergeCell ref="K1:L1"/>
    <mergeCell ref="C2:J4"/>
    <mergeCell ref="K2:L2"/>
    <mergeCell ref="K3:L3"/>
    <mergeCell ref="K4:L4"/>
    <mergeCell ref="B5:K5"/>
    <mergeCell ref="C6:G6"/>
    <mergeCell ref="H6:I6"/>
    <mergeCell ref="J6:L6"/>
    <mergeCell ref="C7:G7"/>
    <mergeCell ref="H7:I7"/>
    <mergeCell ref="J7:L7"/>
    <mergeCell ref="A18:E18"/>
    <mergeCell ref="G18:L18"/>
    <mergeCell ref="C8:G8"/>
    <mergeCell ref="H8:I8"/>
    <mergeCell ref="J8:L8"/>
    <mergeCell ref="C9:G9"/>
    <mergeCell ref="H9:I9"/>
    <mergeCell ref="C10:G10"/>
    <mergeCell ref="H10:I10"/>
    <mergeCell ref="J10:L10"/>
    <mergeCell ref="B11:K11"/>
    <mergeCell ref="F12:G12"/>
    <mergeCell ref="H12:I12"/>
    <mergeCell ref="C13:L13"/>
    <mergeCell ref="A16:L16"/>
    <mergeCell ref="A27:B27"/>
    <mergeCell ref="A19:C19"/>
    <mergeCell ref="G19:H20"/>
    <mergeCell ref="I19:J19"/>
    <mergeCell ref="K19:L19"/>
    <mergeCell ref="A20:B20"/>
    <mergeCell ref="A21:B21"/>
    <mergeCell ref="A22:B22"/>
    <mergeCell ref="A23:B23"/>
    <mergeCell ref="A24:B24"/>
    <mergeCell ref="A25:B25"/>
    <mergeCell ref="A26:B26"/>
    <mergeCell ref="A38:B38"/>
    <mergeCell ref="D38:E38"/>
    <mergeCell ref="H38:I38"/>
    <mergeCell ref="J38:K38"/>
    <mergeCell ref="A28:B28"/>
    <mergeCell ref="A29:E29"/>
    <mergeCell ref="A30:B30"/>
    <mergeCell ref="A31:B31"/>
    <mergeCell ref="A32:B32"/>
    <mergeCell ref="A33:B33"/>
    <mergeCell ref="A34:B34"/>
    <mergeCell ref="A36:E36"/>
    <mergeCell ref="H36:K36"/>
    <mergeCell ref="A37:B37"/>
    <mergeCell ref="D37:E37"/>
    <mergeCell ref="A39:B39"/>
    <mergeCell ref="D39:E39"/>
    <mergeCell ref="J39:K39"/>
    <mergeCell ref="A40:B40"/>
    <mergeCell ref="D40:E40"/>
    <mergeCell ref="J40:K40"/>
    <mergeCell ref="D72:O73"/>
    <mergeCell ref="H46:I46"/>
    <mergeCell ref="J46:L46"/>
    <mergeCell ref="H51:I51"/>
    <mergeCell ref="J51:L51"/>
    <mergeCell ref="H52:I52"/>
    <mergeCell ref="J52:L52"/>
    <mergeCell ref="H53:K53"/>
    <mergeCell ref="A56:L56"/>
    <mergeCell ref="A57:L58"/>
    <mergeCell ref="A59:L59"/>
    <mergeCell ref="E70:P70"/>
  </mergeCells>
  <conditionalFormatting sqref="C6:G10">
    <cfRule type="containsBlanks" dxfId="129" priority="10">
      <formula>LEN(TRIM(C6))=0</formula>
    </cfRule>
  </conditionalFormatting>
  <conditionalFormatting sqref="C13:L13">
    <cfRule type="containsBlanks" dxfId="128" priority="9">
      <formula>LEN(TRIM(C13))=0</formula>
    </cfRule>
  </conditionalFormatting>
  <conditionalFormatting sqref="D20:D24">
    <cfRule type="containsBlanks" dxfId="127" priority="4">
      <formula>LEN(TRIM(D20))=0</formula>
    </cfRule>
  </conditionalFormatting>
  <conditionalFormatting sqref="D37:D38">
    <cfRule type="containsBlanks" dxfId="126" priority="3">
      <formula>LEN(TRIM(D37))=0</formula>
    </cfRule>
  </conditionalFormatting>
  <conditionalFormatting sqref="D30:E33">
    <cfRule type="containsBlanks" dxfId="125" priority="1">
      <formula>LEN(TRIM(D30))=0</formula>
    </cfRule>
  </conditionalFormatting>
  <conditionalFormatting sqref="E23">
    <cfRule type="containsBlanks" dxfId="124" priority="5">
      <formula>LEN(TRIM(E23))=0</formula>
    </cfRule>
  </conditionalFormatting>
  <conditionalFormatting sqref="F12:G12">
    <cfRule type="containsBlanks" dxfId="123" priority="8">
      <formula>LEN(TRIM(F12))=0</formula>
    </cfRule>
  </conditionalFormatting>
  <conditionalFormatting sqref="I22:I34">
    <cfRule type="containsBlanks" dxfId="122" priority="7">
      <formula>LEN(TRIM(I22))=0</formula>
    </cfRule>
  </conditionalFormatting>
  <conditionalFormatting sqref="I37">
    <cfRule type="containsBlanks" dxfId="121" priority="2">
      <formula>LEN(TRIM(I37))=0</formula>
    </cfRule>
  </conditionalFormatting>
  <conditionalFormatting sqref="K22:K34">
    <cfRule type="containsBlanks" dxfId="120" priority="6">
      <formula>LEN(TRIM(K22))=0</formula>
    </cfRule>
  </conditionalFormatting>
  <dataValidations count="2">
    <dataValidation type="list" allowBlank="1" showInputMessage="1" showErrorMessage="1" sqref="I37" xr:uid="{00000000-0002-0000-0A00-000000000000}">
      <formula1>"5 kN, 50 kN"</formula1>
    </dataValidation>
    <dataValidation type="list" allowBlank="1" showInputMessage="1" showErrorMessage="1" sqref="C12" xr:uid="{00000000-0002-0000-0A00-000001000000}">
      <formula1>$T$6:$T$13</formula1>
    </dataValidation>
  </dataValidations>
  <printOptions horizontalCentered="1" verticalCentered="1"/>
  <pageMargins left="0.31496062992126" right="0.31496062992126" top="0.15748031496063" bottom="0.55118110236220497" header="0" footer="0.118110236220472"/>
  <pageSetup scale="42" fitToWidth="0" fitToHeight="0" orientation="landscape" r:id="rId1"/>
  <headerFooter>
    <oddFooter>&amp;C&amp;"Arial,Normal"&amp;10GEODELTA S.A.S. Calle 68 B bis No 70 C 95, Móvil: 318 7902368 Bogotá DC - Colombia
e-mail: laboratoriogeodelta@gmail.com</oddFooter>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4" tint="0.79998168889431442"/>
  </sheetPr>
  <dimension ref="A1:AB73"/>
  <sheetViews>
    <sheetView showGridLines="0" view="pageBreakPreview" topLeftCell="A12" zoomScale="73" zoomScaleNormal="50" zoomScaleSheetLayoutView="73" zoomScalePageLayoutView="50" workbookViewId="0">
      <selection activeCell="J15" sqref="J15"/>
    </sheetView>
  </sheetViews>
  <sheetFormatPr baseColWidth="10" defaultColWidth="11" defaultRowHeight="14.25"/>
  <cols>
    <col min="1" max="1" width="10.5703125" style="3" customWidth="1"/>
    <col min="2" max="2" width="35.42578125" style="3" customWidth="1"/>
    <col min="3" max="3" width="20.85546875" style="3" customWidth="1"/>
    <col min="4" max="5" width="26.7109375" style="3" customWidth="1"/>
    <col min="6" max="6" width="3.7109375" style="3" customWidth="1"/>
    <col min="7" max="7" width="29.140625" style="3" customWidth="1"/>
    <col min="8" max="8" width="27.140625" style="3" customWidth="1"/>
    <col min="9" max="10" width="24.28515625" style="3" customWidth="1"/>
    <col min="11" max="12" width="22.42578125" style="3" customWidth="1"/>
    <col min="13" max="13" width="1.85546875" style="3" customWidth="1"/>
    <col min="14" max="16" width="12.85546875" style="3" customWidth="1"/>
    <col min="17" max="17" width="6.5703125" style="3" customWidth="1"/>
    <col min="18" max="18" width="6.28515625" style="3" customWidth="1"/>
    <col min="19" max="184" width="11" style="3"/>
    <col min="185" max="185" width="0.7109375" style="3" customWidth="1"/>
    <col min="186" max="186" width="6.5703125" style="3" customWidth="1"/>
    <col min="187" max="187" width="13.5703125" style="3" customWidth="1"/>
    <col min="188" max="188" width="13.42578125" style="3" customWidth="1"/>
    <col min="189" max="190" width="12.5703125" style="3" customWidth="1"/>
    <col min="191" max="191" width="14.85546875" style="3" customWidth="1"/>
    <col min="192" max="192" width="20.7109375" style="3" customWidth="1"/>
    <col min="193" max="193" width="12.5703125" style="3" customWidth="1"/>
    <col min="194" max="194" width="13" style="3" customWidth="1"/>
    <col min="195" max="195" width="16" style="3" customWidth="1"/>
    <col min="196" max="196" width="6.42578125" style="3" customWidth="1"/>
    <col min="197" max="197" width="16" style="3" customWidth="1"/>
    <col min="198" max="198" width="2.85546875" style="3" customWidth="1"/>
    <col min="199" max="199" width="0.85546875" style="3" customWidth="1"/>
    <col min="200" max="200" width="11" style="3"/>
    <col min="201" max="201" width="15.42578125" style="3" customWidth="1"/>
    <col min="202" max="204" width="14.85546875" style="3" customWidth="1"/>
    <col min="205" max="205" width="0.7109375" style="3" customWidth="1"/>
    <col min="206" max="206" width="11" style="3"/>
    <col min="207" max="207" width="15.7109375" style="3" customWidth="1"/>
    <col min="208" max="209" width="14.85546875" style="3" customWidth="1"/>
    <col min="210" max="210" width="3.28515625" style="3" customWidth="1"/>
    <col min="211" max="211" width="20.140625" style="3" customWidth="1"/>
    <col min="212" max="212" width="3.28515625" style="3" customWidth="1"/>
    <col min="213" max="217" width="11" style="3"/>
    <col min="218" max="230" width="4.7109375" style="3" customWidth="1"/>
    <col min="231" max="440" width="11" style="3"/>
    <col min="441" max="441" width="0.7109375" style="3" customWidth="1"/>
    <col min="442" max="442" width="6.5703125" style="3" customWidth="1"/>
    <col min="443" max="443" width="13.5703125" style="3" customWidth="1"/>
    <col min="444" max="444" width="13.42578125" style="3" customWidth="1"/>
    <col min="445" max="446" width="12.5703125" style="3" customWidth="1"/>
    <col min="447" max="447" width="14.85546875" style="3" customWidth="1"/>
    <col min="448" max="448" width="20.7109375" style="3" customWidth="1"/>
    <col min="449" max="449" width="12.5703125" style="3" customWidth="1"/>
    <col min="450" max="450" width="13" style="3" customWidth="1"/>
    <col min="451" max="451" width="16" style="3" customWidth="1"/>
    <col min="452" max="452" width="6.42578125" style="3" customWidth="1"/>
    <col min="453" max="453" width="16" style="3" customWidth="1"/>
    <col min="454" max="454" width="2.85546875" style="3" customWidth="1"/>
    <col min="455" max="455" width="0.85546875" style="3" customWidth="1"/>
    <col min="456" max="456" width="11" style="3"/>
    <col min="457" max="457" width="15.42578125" style="3" customWidth="1"/>
    <col min="458" max="460" width="14.85546875" style="3" customWidth="1"/>
    <col min="461" max="461" width="0.7109375" style="3" customWidth="1"/>
    <col min="462" max="462" width="11" style="3"/>
    <col min="463" max="463" width="15.7109375" style="3" customWidth="1"/>
    <col min="464" max="465" width="14.85546875" style="3" customWidth="1"/>
    <col min="466" max="466" width="3.28515625" style="3" customWidth="1"/>
    <col min="467" max="467" width="20.140625" style="3" customWidth="1"/>
    <col min="468" max="468" width="3.28515625" style="3" customWidth="1"/>
    <col min="469" max="473" width="11" style="3"/>
    <col min="474" max="486" width="4.7109375" style="3" customWidth="1"/>
    <col min="487" max="696" width="11" style="3"/>
    <col min="697" max="697" width="0.7109375" style="3" customWidth="1"/>
    <col min="698" max="698" width="6.5703125" style="3" customWidth="1"/>
    <col min="699" max="699" width="13.5703125" style="3" customWidth="1"/>
    <col min="700" max="700" width="13.42578125" style="3" customWidth="1"/>
    <col min="701" max="702" width="12.5703125" style="3" customWidth="1"/>
    <col min="703" max="703" width="14.85546875" style="3" customWidth="1"/>
    <col min="704" max="704" width="20.7109375" style="3" customWidth="1"/>
    <col min="705" max="705" width="12.5703125" style="3" customWidth="1"/>
    <col min="706" max="706" width="13" style="3" customWidth="1"/>
    <col min="707" max="707" width="16" style="3" customWidth="1"/>
    <col min="708" max="708" width="6.42578125" style="3" customWidth="1"/>
    <col min="709" max="709" width="16" style="3" customWidth="1"/>
    <col min="710" max="710" width="2.85546875" style="3" customWidth="1"/>
    <col min="711" max="711" width="0.85546875" style="3" customWidth="1"/>
    <col min="712" max="712" width="11" style="3"/>
    <col min="713" max="713" width="15.42578125" style="3" customWidth="1"/>
    <col min="714" max="716" width="14.85546875" style="3" customWidth="1"/>
    <col min="717" max="717" width="0.7109375" style="3" customWidth="1"/>
    <col min="718" max="718" width="11" style="3"/>
    <col min="719" max="719" width="15.7109375" style="3" customWidth="1"/>
    <col min="720" max="721" width="14.85546875" style="3" customWidth="1"/>
    <col min="722" max="722" width="3.28515625" style="3" customWidth="1"/>
    <col min="723" max="723" width="20.140625" style="3" customWidth="1"/>
    <col min="724" max="724" width="3.28515625" style="3" customWidth="1"/>
    <col min="725" max="729" width="11" style="3"/>
    <col min="730" max="742" width="4.7109375" style="3" customWidth="1"/>
    <col min="743" max="952" width="11" style="3"/>
    <col min="953" max="953" width="0.7109375" style="3" customWidth="1"/>
    <col min="954" max="954" width="6.5703125" style="3" customWidth="1"/>
    <col min="955" max="955" width="13.5703125" style="3" customWidth="1"/>
    <col min="956" max="956" width="13.42578125" style="3" customWidth="1"/>
    <col min="957" max="958" width="12.5703125" style="3" customWidth="1"/>
    <col min="959" max="959" width="14.85546875" style="3" customWidth="1"/>
    <col min="960" max="960" width="20.7109375" style="3" customWidth="1"/>
    <col min="961" max="961" width="12.5703125" style="3" customWidth="1"/>
    <col min="962" max="962" width="13" style="3" customWidth="1"/>
    <col min="963" max="963" width="16" style="3" customWidth="1"/>
    <col min="964" max="964" width="6.42578125" style="3" customWidth="1"/>
    <col min="965" max="965" width="16" style="3" customWidth="1"/>
    <col min="966" max="966" width="2.85546875" style="3" customWidth="1"/>
    <col min="967" max="967" width="0.85546875" style="3" customWidth="1"/>
    <col min="968" max="968" width="11" style="3"/>
    <col min="969" max="969" width="15.42578125" style="3" customWidth="1"/>
    <col min="970" max="972" width="14.85546875" style="3" customWidth="1"/>
    <col min="973" max="973" width="0.7109375" style="3" customWidth="1"/>
    <col min="974" max="974" width="11" style="3"/>
    <col min="975" max="975" width="15.7109375" style="3" customWidth="1"/>
    <col min="976" max="977" width="14.85546875" style="3" customWidth="1"/>
    <col min="978" max="978" width="3.28515625" style="3" customWidth="1"/>
    <col min="979" max="979" width="20.140625" style="3" customWidth="1"/>
    <col min="980" max="980" width="3.28515625" style="3" customWidth="1"/>
    <col min="981" max="985" width="11" style="3"/>
    <col min="986" max="998" width="4.7109375" style="3" customWidth="1"/>
    <col min="999" max="1208" width="11" style="3"/>
    <col min="1209" max="1209" width="0.7109375" style="3" customWidth="1"/>
    <col min="1210" max="1210" width="6.5703125" style="3" customWidth="1"/>
    <col min="1211" max="1211" width="13.5703125" style="3" customWidth="1"/>
    <col min="1212" max="1212" width="13.42578125" style="3" customWidth="1"/>
    <col min="1213" max="1214" width="12.5703125" style="3" customWidth="1"/>
    <col min="1215" max="1215" width="14.85546875" style="3" customWidth="1"/>
    <col min="1216" max="1216" width="20.7109375" style="3" customWidth="1"/>
    <col min="1217" max="1217" width="12.5703125" style="3" customWidth="1"/>
    <col min="1218" max="1218" width="13" style="3" customWidth="1"/>
    <col min="1219" max="1219" width="16" style="3" customWidth="1"/>
    <col min="1220" max="1220" width="6.42578125" style="3" customWidth="1"/>
    <col min="1221" max="1221" width="16" style="3" customWidth="1"/>
    <col min="1222" max="1222" width="2.85546875" style="3" customWidth="1"/>
    <col min="1223" max="1223" width="0.85546875" style="3" customWidth="1"/>
    <col min="1224" max="1224" width="11" style="3"/>
    <col min="1225" max="1225" width="15.42578125" style="3" customWidth="1"/>
    <col min="1226" max="1228" width="14.85546875" style="3" customWidth="1"/>
    <col min="1229" max="1229" width="0.7109375" style="3" customWidth="1"/>
    <col min="1230" max="1230" width="11" style="3"/>
    <col min="1231" max="1231" width="15.7109375" style="3" customWidth="1"/>
    <col min="1232" max="1233" width="14.85546875" style="3" customWidth="1"/>
    <col min="1234" max="1234" width="3.28515625" style="3" customWidth="1"/>
    <col min="1235" max="1235" width="20.140625" style="3" customWidth="1"/>
    <col min="1236" max="1236" width="3.28515625" style="3" customWidth="1"/>
    <col min="1237" max="1241" width="11" style="3"/>
    <col min="1242" max="1254" width="4.7109375" style="3" customWidth="1"/>
    <col min="1255" max="1464" width="11" style="3"/>
    <col min="1465" max="1465" width="0.7109375" style="3" customWidth="1"/>
    <col min="1466" max="1466" width="6.5703125" style="3" customWidth="1"/>
    <col min="1467" max="1467" width="13.5703125" style="3" customWidth="1"/>
    <col min="1468" max="1468" width="13.42578125" style="3" customWidth="1"/>
    <col min="1469" max="1470" width="12.5703125" style="3" customWidth="1"/>
    <col min="1471" max="1471" width="14.85546875" style="3" customWidth="1"/>
    <col min="1472" max="1472" width="20.7109375" style="3" customWidth="1"/>
    <col min="1473" max="1473" width="12.5703125" style="3" customWidth="1"/>
    <col min="1474" max="1474" width="13" style="3" customWidth="1"/>
    <col min="1475" max="1475" width="16" style="3" customWidth="1"/>
    <col min="1476" max="1476" width="6.42578125" style="3" customWidth="1"/>
    <col min="1477" max="1477" width="16" style="3" customWidth="1"/>
    <col min="1478" max="1478" width="2.85546875" style="3" customWidth="1"/>
    <col min="1479" max="1479" width="0.85546875" style="3" customWidth="1"/>
    <col min="1480" max="1480" width="11" style="3"/>
    <col min="1481" max="1481" width="15.42578125" style="3" customWidth="1"/>
    <col min="1482" max="1484" width="14.85546875" style="3" customWidth="1"/>
    <col min="1485" max="1485" width="0.7109375" style="3" customWidth="1"/>
    <col min="1486" max="1486" width="11" style="3"/>
    <col min="1487" max="1487" width="15.7109375" style="3" customWidth="1"/>
    <col min="1488" max="1489" width="14.85546875" style="3" customWidth="1"/>
    <col min="1490" max="1490" width="3.28515625" style="3" customWidth="1"/>
    <col min="1491" max="1491" width="20.140625" style="3" customWidth="1"/>
    <col min="1492" max="1492" width="3.28515625" style="3" customWidth="1"/>
    <col min="1493" max="1497" width="11" style="3"/>
    <col min="1498" max="1510" width="4.7109375" style="3" customWidth="1"/>
    <col min="1511" max="1720" width="11" style="3"/>
    <col min="1721" max="1721" width="0.7109375" style="3" customWidth="1"/>
    <col min="1722" max="1722" width="6.5703125" style="3" customWidth="1"/>
    <col min="1723" max="1723" width="13.5703125" style="3" customWidth="1"/>
    <col min="1724" max="1724" width="13.42578125" style="3" customWidth="1"/>
    <col min="1725" max="1726" width="12.5703125" style="3" customWidth="1"/>
    <col min="1727" max="1727" width="14.85546875" style="3" customWidth="1"/>
    <col min="1728" max="1728" width="20.7109375" style="3" customWidth="1"/>
    <col min="1729" max="1729" width="12.5703125" style="3" customWidth="1"/>
    <col min="1730" max="1730" width="13" style="3" customWidth="1"/>
    <col min="1731" max="1731" width="16" style="3" customWidth="1"/>
    <col min="1732" max="1732" width="6.42578125" style="3" customWidth="1"/>
    <col min="1733" max="1733" width="16" style="3" customWidth="1"/>
    <col min="1734" max="1734" width="2.85546875" style="3" customWidth="1"/>
    <col min="1735" max="1735" width="0.85546875" style="3" customWidth="1"/>
    <col min="1736" max="1736" width="11" style="3"/>
    <col min="1737" max="1737" width="15.42578125" style="3" customWidth="1"/>
    <col min="1738" max="1740" width="14.85546875" style="3" customWidth="1"/>
    <col min="1741" max="1741" width="0.7109375" style="3" customWidth="1"/>
    <col min="1742" max="1742" width="11" style="3"/>
    <col min="1743" max="1743" width="15.7109375" style="3" customWidth="1"/>
    <col min="1744" max="1745" width="14.85546875" style="3" customWidth="1"/>
    <col min="1746" max="1746" width="3.28515625" style="3" customWidth="1"/>
    <col min="1747" max="1747" width="20.140625" style="3" customWidth="1"/>
    <col min="1748" max="1748" width="3.28515625" style="3" customWidth="1"/>
    <col min="1749" max="1753" width="11" style="3"/>
    <col min="1754" max="1766" width="4.7109375" style="3" customWidth="1"/>
    <col min="1767" max="1976" width="11" style="3"/>
    <col min="1977" max="1977" width="0.7109375" style="3" customWidth="1"/>
    <col min="1978" max="1978" width="6.5703125" style="3" customWidth="1"/>
    <col min="1979" max="1979" width="13.5703125" style="3" customWidth="1"/>
    <col min="1980" max="1980" width="13.42578125" style="3" customWidth="1"/>
    <col min="1981" max="1982" width="12.5703125" style="3" customWidth="1"/>
    <col min="1983" max="1983" width="14.85546875" style="3" customWidth="1"/>
    <col min="1984" max="1984" width="20.7109375" style="3" customWidth="1"/>
    <col min="1985" max="1985" width="12.5703125" style="3" customWidth="1"/>
    <col min="1986" max="1986" width="13" style="3" customWidth="1"/>
    <col min="1987" max="1987" width="16" style="3" customWidth="1"/>
    <col min="1988" max="1988" width="6.42578125" style="3" customWidth="1"/>
    <col min="1989" max="1989" width="16" style="3" customWidth="1"/>
    <col min="1990" max="1990" width="2.85546875" style="3" customWidth="1"/>
    <col min="1991" max="1991" width="0.85546875" style="3" customWidth="1"/>
    <col min="1992" max="1992" width="11" style="3"/>
    <col min="1993" max="1993" width="15.42578125" style="3" customWidth="1"/>
    <col min="1994" max="1996" width="14.85546875" style="3" customWidth="1"/>
    <col min="1997" max="1997" width="0.7109375" style="3" customWidth="1"/>
    <col min="1998" max="1998" width="11" style="3"/>
    <col min="1999" max="1999" width="15.7109375" style="3" customWidth="1"/>
    <col min="2000" max="2001" width="14.85546875" style="3" customWidth="1"/>
    <col min="2002" max="2002" width="3.28515625" style="3" customWidth="1"/>
    <col min="2003" max="2003" width="20.140625" style="3" customWidth="1"/>
    <col min="2004" max="2004" width="3.28515625" style="3" customWidth="1"/>
    <col min="2005" max="2009" width="11" style="3"/>
    <col min="2010" max="2022" width="4.7109375" style="3" customWidth="1"/>
    <col min="2023" max="2232" width="11" style="3"/>
    <col min="2233" max="2233" width="0.7109375" style="3" customWidth="1"/>
    <col min="2234" max="2234" width="6.5703125" style="3" customWidth="1"/>
    <col min="2235" max="2235" width="13.5703125" style="3" customWidth="1"/>
    <col min="2236" max="2236" width="13.42578125" style="3" customWidth="1"/>
    <col min="2237" max="2238" width="12.5703125" style="3" customWidth="1"/>
    <col min="2239" max="2239" width="14.85546875" style="3" customWidth="1"/>
    <col min="2240" max="2240" width="20.7109375" style="3" customWidth="1"/>
    <col min="2241" max="2241" width="12.5703125" style="3" customWidth="1"/>
    <col min="2242" max="2242" width="13" style="3" customWidth="1"/>
    <col min="2243" max="2243" width="16" style="3" customWidth="1"/>
    <col min="2244" max="2244" width="6.42578125" style="3" customWidth="1"/>
    <col min="2245" max="2245" width="16" style="3" customWidth="1"/>
    <col min="2246" max="2246" width="2.85546875" style="3" customWidth="1"/>
    <col min="2247" max="2247" width="0.85546875" style="3" customWidth="1"/>
    <col min="2248" max="2248" width="11" style="3"/>
    <col min="2249" max="2249" width="15.42578125" style="3" customWidth="1"/>
    <col min="2250" max="2252" width="14.85546875" style="3" customWidth="1"/>
    <col min="2253" max="2253" width="0.7109375" style="3" customWidth="1"/>
    <col min="2254" max="2254" width="11" style="3"/>
    <col min="2255" max="2255" width="15.7109375" style="3" customWidth="1"/>
    <col min="2256" max="2257" width="14.85546875" style="3" customWidth="1"/>
    <col min="2258" max="2258" width="3.28515625" style="3" customWidth="1"/>
    <col min="2259" max="2259" width="20.140625" style="3" customWidth="1"/>
    <col min="2260" max="2260" width="3.28515625" style="3" customWidth="1"/>
    <col min="2261" max="2265" width="11" style="3"/>
    <col min="2266" max="2278" width="4.7109375" style="3" customWidth="1"/>
    <col min="2279" max="2488" width="11" style="3"/>
    <col min="2489" max="2489" width="0.7109375" style="3" customWidth="1"/>
    <col min="2490" max="2490" width="6.5703125" style="3" customWidth="1"/>
    <col min="2491" max="2491" width="13.5703125" style="3" customWidth="1"/>
    <col min="2492" max="2492" width="13.42578125" style="3" customWidth="1"/>
    <col min="2493" max="2494" width="12.5703125" style="3" customWidth="1"/>
    <col min="2495" max="2495" width="14.85546875" style="3" customWidth="1"/>
    <col min="2496" max="2496" width="20.7109375" style="3" customWidth="1"/>
    <col min="2497" max="2497" width="12.5703125" style="3" customWidth="1"/>
    <col min="2498" max="2498" width="13" style="3" customWidth="1"/>
    <col min="2499" max="2499" width="16" style="3" customWidth="1"/>
    <col min="2500" max="2500" width="6.42578125" style="3" customWidth="1"/>
    <col min="2501" max="2501" width="16" style="3" customWidth="1"/>
    <col min="2502" max="2502" width="2.85546875" style="3" customWidth="1"/>
    <col min="2503" max="2503" width="0.85546875" style="3" customWidth="1"/>
    <col min="2504" max="2504" width="11" style="3"/>
    <col min="2505" max="2505" width="15.42578125" style="3" customWidth="1"/>
    <col min="2506" max="2508" width="14.85546875" style="3" customWidth="1"/>
    <col min="2509" max="2509" width="0.7109375" style="3" customWidth="1"/>
    <col min="2510" max="2510" width="11" style="3"/>
    <col min="2511" max="2511" width="15.7109375" style="3" customWidth="1"/>
    <col min="2512" max="2513" width="14.85546875" style="3" customWidth="1"/>
    <col min="2514" max="2514" width="3.28515625" style="3" customWidth="1"/>
    <col min="2515" max="2515" width="20.140625" style="3" customWidth="1"/>
    <col min="2516" max="2516" width="3.28515625" style="3" customWidth="1"/>
    <col min="2517" max="2521" width="11" style="3"/>
    <col min="2522" max="2534" width="4.7109375" style="3" customWidth="1"/>
    <col min="2535" max="2744" width="11" style="3"/>
    <col min="2745" max="2745" width="0.7109375" style="3" customWidth="1"/>
    <col min="2746" max="2746" width="6.5703125" style="3" customWidth="1"/>
    <col min="2747" max="2747" width="13.5703125" style="3" customWidth="1"/>
    <col min="2748" max="2748" width="13.42578125" style="3" customWidth="1"/>
    <col min="2749" max="2750" width="12.5703125" style="3" customWidth="1"/>
    <col min="2751" max="2751" width="14.85546875" style="3" customWidth="1"/>
    <col min="2752" max="2752" width="20.7109375" style="3" customWidth="1"/>
    <col min="2753" max="2753" width="12.5703125" style="3" customWidth="1"/>
    <col min="2754" max="2754" width="13" style="3" customWidth="1"/>
    <col min="2755" max="2755" width="16" style="3" customWidth="1"/>
    <col min="2756" max="2756" width="6.42578125" style="3" customWidth="1"/>
    <col min="2757" max="2757" width="16" style="3" customWidth="1"/>
    <col min="2758" max="2758" width="2.85546875" style="3" customWidth="1"/>
    <col min="2759" max="2759" width="0.85546875" style="3" customWidth="1"/>
    <col min="2760" max="2760" width="11" style="3"/>
    <col min="2761" max="2761" width="15.42578125" style="3" customWidth="1"/>
    <col min="2762" max="2764" width="14.85546875" style="3" customWidth="1"/>
    <col min="2765" max="2765" width="0.7109375" style="3" customWidth="1"/>
    <col min="2766" max="2766" width="11" style="3"/>
    <col min="2767" max="2767" width="15.7109375" style="3" customWidth="1"/>
    <col min="2768" max="2769" width="14.85546875" style="3" customWidth="1"/>
    <col min="2770" max="2770" width="3.28515625" style="3" customWidth="1"/>
    <col min="2771" max="2771" width="20.140625" style="3" customWidth="1"/>
    <col min="2772" max="2772" width="3.28515625" style="3" customWidth="1"/>
    <col min="2773" max="2777" width="11" style="3"/>
    <col min="2778" max="2790" width="4.7109375" style="3" customWidth="1"/>
    <col min="2791" max="3000" width="11" style="3"/>
    <col min="3001" max="3001" width="0.7109375" style="3" customWidth="1"/>
    <col min="3002" max="3002" width="6.5703125" style="3" customWidth="1"/>
    <col min="3003" max="3003" width="13.5703125" style="3" customWidth="1"/>
    <col min="3004" max="3004" width="13.42578125" style="3" customWidth="1"/>
    <col min="3005" max="3006" width="12.5703125" style="3" customWidth="1"/>
    <col min="3007" max="3007" width="14.85546875" style="3" customWidth="1"/>
    <col min="3008" max="3008" width="20.7109375" style="3" customWidth="1"/>
    <col min="3009" max="3009" width="12.5703125" style="3" customWidth="1"/>
    <col min="3010" max="3010" width="13" style="3" customWidth="1"/>
    <col min="3011" max="3011" width="16" style="3" customWidth="1"/>
    <col min="3012" max="3012" width="6.42578125" style="3" customWidth="1"/>
    <col min="3013" max="3013" width="16" style="3" customWidth="1"/>
    <col min="3014" max="3014" width="2.85546875" style="3" customWidth="1"/>
    <col min="3015" max="3015" width="0.85546875" style="3" customWidth="1"/>
    <col min="3016" max="3016" width="11" style="3"/>
    <col min="3017" max="3017" width="15.42578125" style="3" customWidth="1"/>
    <col min="3018" max="3020" width="14.85546875" style="3" customWidth="1"/>
    <col min="3021" max="3021" width="0.7109375" style="3" customWidth="1"/>
    <col min="3022" max="3022" width="11" style="3"/>
    <col min="3023" max="3023" width="15.7109375" style="3" customWidth="1"/>
    <col min="3024" max="3025" width="14.85546875" style="3" customWidth="1"/>
    <col min="3026" max="3026" width="3.28515625" style="3" customWidth="1"/>
    <col min="3027" max="3027" width="20.140625" style="3" customWidth="1"/>
    <col min="3028" max="3028" width="3.28515625" style="3" customWidth="1"/>
    <col min="3029" max="3033" width="11" style="3"/>
    <col min="3034" max="3046" width="4.7109375" style="3" customWidth="1"/>
    <col min="3047" max="3256" width="11" style="3"/>
    <col min="3257" max="3257" width="0.7109375" style="3" customWidth="1"/>
    <col min="3258" max="3258" width="6.5703125" style="3" customWidth="1"/>
    <col min="3259" max="3259" width="13.5703125" style="3" customWidth="1"/>
    <col min="3260" max="3260" width="13.42578125" style="3" customWidth="1"/>
    <col min="3261" max="3262" width="12.5703125" style="3" customWidth="1"/>
    <col min="3263" max="3263" width="14.85546875" style="3" customWidth="1"/>
    <col min="3264" max="3264" width="20.7109375" style="3" customWidth="1"/>
    <col min="3265" max="3265" width="12.5703125" style="3" customWidth="1"/>
    <col min="3266" max="3266" width="13" style="3" customWidth="1"/>
    <col min="3267" max="3267" width="16" style="3" customWidth="1"/>
    <col min="3268" max="3268" width="6.42578125" style="3" customWidth="1"/>
    <col min="3269" max="3269" width="16" style="3" customWidth="1"/>
    <col min="3270" max="3270" width="2.85546875" style="3" customWidth="1"/>
    <col min="3271" max="3271" width="0.85546875" style="3" customWidth="1"/>
    <col min="3272" max="3272" width="11" style="3"/>
    <col min="3273" max="3273" width="15.42578125" style="3" customWidth="1"/>
    <col min="3274" max="3276" width="14.85546875" style="3" customWidth="1"/>
    <col min="3277" max="3277" width="0.7109375" style="3" customWidth="1"/>
    <col min="3278" max="3278" width="11" style="3"/>
    <col min="3279" max="3279" width="15.7109375" style="3" customWidth="1"/>
    <col min="3280" max="3281" width="14.85546875" style="3" customWidth="1"/>
    <col min="3282" max="3282" width="3.28515625" style="3" customWidth="1"/>
    <col min="3283" max="3283" width="20.140625" style="3" customWidth="1"/>
    <col min="3284" max="3284" width="3.28515625" style="3" customWidth="1"/>
    <col min="3285" max="3289" width="11" style="3"/>
    <col min="3290" max="3302" width="4.7109375" style="3" customWidth="1"/>
    <col min="3303" max="3512" width="11" style="3"/>
    <col min="3513" max="3513" width="0.7109375" style="3" customWidth="1"/>
    <col min="3514" max="3514" width="6.5703125" style="3" customWidth="1"/>
    <col min="3515" max="3515" width="13.5703125" style="3" customWidth="1"/>
    <col min="3516" max="3516" width="13.42578125" style="3" customWidth="1"/>
    <col min="3517" max="3518" width="12.5703125" style="3" customWidth="1"/>
    <col min="3519" max="3519" width="14.85546875" style="3" customWidth="1"/>
    <col min="3520" max="3520" width="20.7109375" style="3" customWidth="1"/>
    <col min="3521" max="3521" width="12.5703125" style="3" customWidth="1"/>
    <col min="3522" max="3522" width="13" style="3" customWidth="1"/>
    <col min="3523" max="3523" width="16" style="3" customWidth="1"/>
    <col min="3524" max="3524" width="6.42578125" style="3" customWidth="1"/>
    <col min="3525" max="3525" width="16" style="3" customWidth="1"/>
    <col min="3526" max="3526" width="2.85546875" style="3" customWidth="1"/>
    <col min="3527" max="3527" width="0.85546875" style="3" customWidth="1"/>
    <col min="3528" max="3528" width="11" style="3"/>
    <col min="3529" max="3529" width="15.42578125" style="3" customWidth="1"/>
    <col min="3530" max="3532" width="14.85546875" style="3" customWidth="1"/>
    <col min="3533" max="3533" width="0.7109375" style="3" customWidth="1"/>
    <col min="3534" max="3534" width="11" style="3"/>
    <col min="3535" max="3535" width="15.7109375" style="3" customWidth="1"/>
    <col min="3536" max="3537" width="14.85546875" style="3" customWidth="1"/>
    <col min="3538" max="3538" width="3.28515625" style="3" customWidth="1"/>
    <col min="3539" max="3539" width="20.140625" style="3" customWidth="1"/>
    <col min="3540" max="3540" width="3.28515625" style="3" customWidth="1"/>
    <col min="3541" max="3545" width="11" style="3"/>
    <col min="3546" max="3558" width="4.7109375" style="3" customWidth="1"/>
    <col min="3559" max="3768" width="11" style="3"/>
    <col min="3769" max="3769" width="0.7109375" style="3" customWidth="1"/>
    <col min="3770" max="3770" width="6.5703125" style="3" customWidth="1"/>
    <col min="3771" max="3771" width="13.5703125" style="3" customWidth="1"/>
    <col min="3772" max="3772" width="13.42578125" style="3" customWidth="1"/>
    <col min="3773" max="3774" width="12.5703125" style="3" customWidth="1"/>
    <col min="3775" max="3775" width="14.85546875" style="3" customWidth="1"/>
    <col min="3776" max="3776" width="20.7109375" style="3" customWidth="1"/>
    <col min="3777" max="3777" width="12.5703125" style="3" customWidth="1"/>
    <col min="3778" max="3778" width="13" style="3" customWidth="1"/>
    <col min="3779" max="3779" width="16" style="3" customWidth="1"/>
    <col min="3780" max="3780" width="6.42578125" style="3" customWidth="1"/>
    <col min="3781" max="3781" width="16" style="3" customWidth="1"/>
    <col min="3782" max="3782" width="2.85546875" style="3" customWidth="1"/>
    <col min="3783" max="3783" width="0.85546875" style="3" customWidth="1"/>
    <col min="3784" max="3784" width="11" style="3"/>
    <col min="3785" max="3785" width="15.42578125" style="3" customWidth="1"/>
    <col min="3786" max="3788" width="14.85546875" style="3" customWidth="1"/>
    <col min="3789" max="3789" width="0.7109375" style="3" customWidth="1"/>
    <col min="3790" max="3790" width="11" style="3"/>
    <col min="3791" max="3791" width="15.7109375" style="3" customWidth="1"/>
    <col min="3792" max="3793" width="14.85546875" style="3" customWidth="1"/>
    <col min="3794" max="3794" width="3.28515625" style="3" customWidth="1"/>
    <col min="3795" max="3795" width="20.140625" style="3" customWidth="1"/>
    <col min="3796" max="3796" width="3.28515625" style="3" customWidth="1"/>
    <col min="3797" max="3801" width="11" style="3"/>
    <col min="3802" max="3814" width="4.7109375" style="3" customWidth="1"/>
    <col min="3815" max="4024" width="11" style="3"/>
    <col min="4025" max="4025" width="0.7109375" style="3" customWidth="1"/>
    <col min="4026" max="4026" width="6.5703125" style="3" customWidth="1"/>
    <col min="4027" max="4027" width="13.5703125" style="3" customWidth="1"/>
    <col min="4028" max="4028" width="13.42578125" style="3" customWidth="1"/>
    <col min="4029" max="4030" width="12.5703125" style="3" customWidth="1"/>
    <col min="4031" max="4031" width="14.85546875" style="3" customWidth="1"/>
    <col min="4032" max="4032" width="20.7109375" style="3" customWidth="1"/>
    <col min="4033" max="4033" width="12.5703125" style="3" customWidth="1"/>
    <col min="4034" max="4034" width="13" style="3" customWidth="1"/>
    <col min="4035" max="4035" width="16" style="3" customWidth="1"/>
    <col min="4036" max="4036" width="6.42578125" style="3" customWidth="1"/>
    <col min="4037" max="4037" width="16" style="3" customWidth="1"/>
    <col min="4038" max="4038" width="2.85546875" style="3" customWidth="1"/>
    <col min="4039" max="4039" width="0.85546875" style="3" customWidth="1"/>
    <col min="4040" max="4040" width="11" style="3"/>
    <col min="4041" max="4041" width="15.42578125" style="3" customWidth="1"/>
    <col min="4042" max="4044" width="14.85546875" style="3" customWidth="1"/>
    <col min="4045" max="4045" width="0.7109375" style="3" customWidth="1"/>
    <col min="4046" max="4046" width="11" style="3"/>
    <col min="4047" max="4047" width="15.7109375" style="3" customWidth="1"/>
    <col min="4048" max="4049" width="14.85546875" style="3" customWidth="1"/>
    <col min="4050" max="4050" width="3.28515625" style="3" customWidth="1"/>
    <col min="4051" max="4051" width="20.140625" style="3" customWidth="1"/>
    <col min="4052" max="4052" width="3.28515625" style="3" customWidth="1"/>
    <col min="4053" max="4057" width="11" style="3"/>
    <col min="4058" max="4070" width="4.7109375" style="3" customWidth="1"/>
    <col min="4071" max="4280" width="11" style="3"/>
    <col min="4281" max="4281" width="0.7109375" style="3" customWidth="1"/>
    <col min="4282" max="4282" width="6.5703125" style="3" customWidth="1"/>
    <col min="4283" max="4283" width="13.5703125" style="3" customWidth="1"/>
    <col min="4284" max="4284" width="13.42578125" style="3" customWidth="1"/>
    <col min="4285" max="4286" width="12.5703125" style="3" customWidth="1"/>
    <col min="4287" max="4287" width="14.85546875" style="3" customWidth="1"/>
    <col min="4288" max="4288" width="20.7109375" style="3" customWidth="1"/>
    <col min="4289" max="4289" width="12.5703125" style="3" customWidth="1"/>
    <col min="4290" max="4290" width="13" style="3" customWidth="1"/>
    <col min="4291" max="4291" width="16" style="3" customWidth="1"/>
    <col min="4292" max="4292" width="6.42578125" style="3" customWidth="1"/>
    <col min="4293" max="4293" width="16" style="3" customWidth="1"/>
    <col min="4294" max="4294" width="2.85546875" style="3" customWidth="1"/>
    <col min="4295" max="4295" width="0.85546875" style="3" customWidth="1"/>
    <col min="4296" max="4296" width="11" style="3"/>
    <col min="4297" max="4297" width="15.42578125" style="3" customWidth="1"/>
    <col min="4298" max="4300" width="14.85546875" style="3" customWidth="1"/>
    <col min="4301" max="4301" width="0.7109375" style="3" customWidth="1"/>
    <col min="4302" max="4302" width="11" style="3"/>
    <col min="4303" max="4303" width="15.7109375" style="3" customWidth="1"/>
    <col min="4304" max="4305" width="14.85546875" style="3" customWidth="1"/>
    <col min="4306" max="4306" width="3.28515625" style="3" customWidth="1"/>
    <col min="4307" max="4307" width="20.140625" style="3" customWidth="1"/>
    <col min="4308" max="4308" width="3.28515625" style="3" customWidth="1"/>
    <col min="4309" max="4313" width="11" style="3"/>
    <col min="4314" max="4326" width="4.7109375" style="3" customWidth="1"/>
    <col min="4327" max="4536" width="11" style="3"/>
    <col min="4537" max="4537" width="0.7109375" style="3" customWidth="1"/>
    <col min="4538" max="4538" width="6.5703125" style="3" customWidth="1"/>
    <col min="4539" max="4539" width="13.5703125" style="3" customWidth="1"/>
    <col min="4540" max="4540" width="13.42578125" style="3" customWidth="1"/>
    <col min="4541" max="4542" width="12.5703125" style="3" customWidth="1"/>
    <col min="4543" max="4543" width="14.85546875" style="3" customWidth="1"/>
    <col min="4544" max="4544" width="20.7109375" style="3" customWidth="1"/>
    <col min="4545" max="4545" width="12.5703125" style="3" customWidth="1"/>
    <col min="4546" max="4546" width="13" style="3" customWidth="1"/>
    <col min="4547" max="4547" width="16" style="3" customWidth="1"/>
    <col min="4548" max="4548" width="6.42578125" style="3" customWidth="1"/>
    <col min="4549" max="4549" width="16" style="3" customWidth="1"/>
    <col min="4550" max="4550" width="2.85546875" style="3" customWidth="1"/>
    <col min="4551" max="4551" width="0.85546875" style="3" customWidth="1"/>
    <col min="4552" max="4552" width="11" style="3"/>
    <col min="4553" max="4553" width="15.42578125" style="3" customWidth="1"/>
    <col min="4554" max="4556" width="14.85546875" style="3" customWidth="1"/>
    <col min="4557" max="4557" width="0.7109375" style="3" customWidth="1"/>
    <col min="4558" max="4558" width="11" style="3"/>
    <col min="4559" max="4559" width="15.7109375" style="3" customWidth="1"/>
    <col min="4560" max="4561" width="14.85546875" style="3" customWidth="1"/>
    <col min="4562" max="4562" width="3.28515625" style="3" customWidth="1"/>
    <col min="4563" max="4563" width="20.140625" style="3" customWidth="1"/>
    <col min="4564" max="4564" width="3.28515625" style="3" customWidth="1"/>
    <col min="4565" max="4569" width="11" style="3"/>
    <col min="4570" max="4582" width="4.7109375" style="3" customWidth="1"/>
    <col min="4583" max="4792" width="11" style="3"/>
    <col min="4793" max="4793" width="0.7109375" style="3" customWidth="1"/>
    <col min="4794" max="4794" width="6.5703125" style="3" customWidth="1"/>
    <col min="4795" max="4795" width="13.5703125" style="3" customWidth="1"/>
    <col min="4796" max="4796" width="13.42578125" style="3" customWidth="1"/>
    <col min="4797" max="4798" width="12.5703125" style="3" customWidth="1"/>
    <col min="4799" max="4799" width="14.85546875" style="3" customWidth="1"/>
    <col min="4800" max="4800" width="20.7109375" style="3" customWidth="1"/>
    <col min="4801" max="4801" width="12.5703125" style="3" customWidth="1"/>
    <col min="4802" max="4802" width="13" style="3" customWidth="1"/>
    <col min="4803" max="4803" width="16" style="3" customWidth="1"/>
    <col min="4804" max="4804" width="6.42578125" style="3" customWidth="1"/>
    <col min="4805" max="4805" width="16" style="3" customWidth="1"/>
    <col min="4806" max="4806" width="2.85546875" style="3" customWidth="1"/>
    <col min="4807" max="4807" width="0.85546875" style="3" customWidth="1"/>
    <col min="4808" max="4808" width="11" style="3"/>
    <col min="4809" max="4809" width="15.42578125" style="3" customWidth="1"/>
    <col min="4810" max="4812" width="14.85546875" style="3" customWidth="1"/>
    <col min="4813" max="4813" width="0.7109375" style="3" customWidth="1"/>
    <col min="4814" max="4814" width="11" style="3"/>
    <col min="4815" max="4815" width="15.7109375" style="3" customWidth="1"/>
    <col min="4816" max="4817" width="14.85546875" style="3" customWidth="1"/>
    <col min="4818" max="4818" width="3.28515625" style="3" customWidth="1"/>
    <col min="4819" max="4819" width="20.140625" style="3" customWidth="1"/>
    <col min="4820" max="4820" width="3.28515625" style="3" customWidth="1"/>
    <col min="4821" max="4825" width="11" style="3"/>
    <col min="4826" max="4838" width="4.7109375" style="3" customWidth="1"/>
    <col min="4839" max="5048" width="11" style="3"/>
    <col min="5049" max="5049" width="0.7109375" style="3" customWidth="1"/>
    <col min="5050" max="5050" width="6.5703125" style="3" customWidth="1"/>
    <col min="5051" max="5051" width="13.5703125" style="3" customWidth="1"/>
    <col min="5052" max="5052" width="13.42578125" style="3" customWidth="1"/>
    <col min="5053" max="5054" width="12.5703125" style="3" customWidth="1"/>
    <col min="5055" max="5055" width="14.85546875" style="3" customWidth="1"/>
    <col min="5056" max="5056" width="20.7109375" style="3" customWidth="1"/>
    <col min="5057" max="5057" width="12.5703125" style="3" customWidth="1"/>
    <col min="5058" max="5058" width="13" style="3" customWidth="1"/>
    <col min="5059" max="5059" width="16" style="3" customWidth="1"/>
    <col min="5060" max="5060" width="6.42578125" style="3" customWidth="1"/>
    <col min="5061" max="5061" width="16" style="3" customWidth="1"/>
    <col min="5062" max="5062" width="2.85546875" style="3" customWidth="1"/>
    <col min="5063" max="5063" width="0.85546875" style="3" customWidth="1"/>
    <col min="5064" max="5064" width="11" style="3"/>
    <col min="5065" max="5065" width="15.42578125" style="3" customWidth="1"/>
    <col min="5066" max="5068" width="14.85546875" style="3" customWidth="1"/>
    <col min="5069" max="5069" width="0.7109375" style="3" customWidth="1"/>
    <col min="5070" max="5070" width="11" style="3"/>
    <col min="5071" max="5071" width="15.7109375" style="3" customWidth="1"/>
    <col min="5072" max="5073" width="14.85546875" style="3" customWidth="1"/>
    <col min="5074" max="5074" width="3.28515625" style="3" customWidth="1"/>
    <col min="5075" max="5075" width="20.140625" style="3" customWidth="1"/>
    <col min="5076" max="5076" width="3.28515625" style="3" customWidth="1"/>
    <col min="5077" max="5081" width="11" style="3"/>
    <col min="5082" max="5094" width="4.7109375" style="3" customWidth="1"/>
    <col min="5095" max="5304" width="11" style="3"/>
    <col min="5305" max="5305" width="0.7109375" style="3" customWidth="1"/>
    <col min="5306" max="5306" width="6.5703125" style="3" customWidth="1"/>
    <col min="5307" max="5307" width="13.5703125" style="3" customWidth="1"/>
    <col min="5308" max="5308" width="13.42578125" style="3" customWidth="1"/>
    <col min="5309" max="5310" width="12.5703125" style="3" customWidth="1"/>
    <col min="5311" max="5311" width="14.85546875" style="3" customWidth="1"/>
    <col min="5312" max="5312" width="20.7109375" style="3" customWidth="1"/>
    <col min="5313" max="5313" width="12.5703125" style="3" customWidth="1"/>
    <col min="5314" max="5314" width="13" style="3" customWidth="1"/>
    <col min="5315" max="5315" width="16" style="3" customWidth="1"/>
    <col min="5316" max="5316" width="6.42578125" style="3" customWidth="1"/>
    <col min="5317" max="5317" width="16" style="3" customWidth="1"/>
    <col min="5318" max="5318" width="2.85546875" style="3" customWidth="1"/>
    <col min="5319" max="5319" width="0.85546875" style="3" customWidth="1"/>
    <col min="5320" max="5320" width="11" style="3"/>
    <col min="5321" max="5321" width="15.42578125" style="3" customWidth="1"/>
    <col min="5322" max="5324" width="14.85546875" style="3" customWidth="1"/>
    <col min="5325" max="5325" width="0.7109375" style="3" customWidth="1"/>
    <col min="5326" max="5326" width="11" style="3"/>
    <col min="5327" max="5327" width="15.7109375" style="3" customWidth="1"/>
    <col min="5328" max="5329" width="14.85546875" style="3" customWidth="1"/>
    <col min="5330" max="5330" width="3.28515625" style="3" customWidth="1"/>
    <col min="5331" max="5331" width="20.140625" style="3" customWidth="1"/>
    <col min="5332" max="5332" width="3.28515625" style="3" customWidth="1"/>
    <col min="5333" max="5337" width="11" style="3"/>
    <col min="5338" max="5350" width="4.7109375" style="3" customWidth="1"/>
    <col min="5351" max="5560" width="11" style="3"/>
    <col min="5561" max="5561" width="0.7109375" style="3" customWidth="1"/>
    <col min="5562" max="5562" width="6.5703125" style="3" customWidth="1"/>
    <col min="5563" max="5563" width="13.5703125" style="3" customWidth="1"/>
    <col min="5564" max="5564" width="13.42578125" style="3" customWidth="1"/>
    <col min="5565" max="5566" width="12.5703125" style="3" customWidth="1"/>
    <col min="5567" max="5567" width="14.85546875" style="3" customWidth="1"/>
    <col min="5568" max="5568" width="20.7109375" style="3" customWidth="1"/>
    <col min="5569" max="5569" width="12.5703125" style="3" customWidth="1"/>
    <col min="5570" max="5570" width="13" style="3" customWidth="1"/>
    <col min="5571" max="5571" width="16" style="3" customWidth="1"/>
    <col min="5572" max="5572" width="6.42578125" style="3" customWidth="1"/>
    <col min="5573" max="5573" width="16" style="3" customWidth="1"/>
    <col min="5574" max="5574" width="2.85546875" style="3" customWidth="1"/>
    <col min="5575" max="5575" width="0.85546875" style="3" customWidth="1"/>
    <col min="5576" max="5576" width="11" style="3"/>
    <col min="5577" max="5577" width="15.42578125" style="3" customWidth="1"/>
    <col min="5578" max="5580" width="14.85546875" style="3" customWidth="1"/>
    <col min="5581" max="5581" width="0.7109375" style="3" customWidth="1"/>
    <col min="5582" max="5582" width="11" style="3"/>
    <col min="5583" max="5583" width="15.7109375" style="3" customWidth="1"/>
    <col min="5584" max="5585" width="14.85546875" style="3" customWidth="1"/>
    <col min="5586" max="5586" width="3.28515625" style="3" customWidth="1"/>
    <col min="5587" max="5587" width="20.140625" style="3" customWidth="1"/>
    <col min="5588" max="5588" width="3.28515625" style="3" customWidth="1"/>
    <col min="5589" max="5593" width="11" style="3"/>
    <col min="5594" max="5606" width="4.7109375" style="3" customWidth="1"/>
    <col min="5607" max="5816" width="11" style="3"/>
    <col min="5817" max="5817" width="0.7109375" style="3" customWidth="1"/>
    <col min="5818" max="5818" width="6.5703125" style="3" customWidth="1"/>
    <col min="5819" max="5819" width="13.5703125" style="3" customWidth="1"/>
    <col min="5820" max="5820" width="13.42578125" style="3" customWidth="1"/>
    <col min="5821" max="5822" width="12.5703125" style="3" customWidth="1"/>
    <col min="5823" max="5823" width="14.85546875" style="3" customWidth="1"/>
    <col min="5824" max="5824" width="20.7109375" style="3" customWidth="1"/>
    <col min="5825" max="5825" width="12.5703125" style="3" customWidth="1"/>
    <col min="5826" max="5826" width="13" style="3" customWidth="1"/>
    <col min="5827" max="5827" width="16" style="3" customWidth="1"/>
    <col min="5828" max="5828" width="6.42578125" style="3" customWidth="1"/>
    <col min="5829" max="5829" width="16" style="3" customWidth="1"/>
    <col min="5830" max="5830" width="2.85546875" style="3" customWidth="1"/>
    <col min="5831" max="5831" width="0.85546875" style="3" customWidth="1"/>
    <col min="5832" max="5832" width="11" style="3"/>
    <col min="5833" max="5833" width="15.42578125" style="3" customWidth="1"/>
    <col min="5834" max="5836" width="14.85546875" style="3" customWidth="1"/>
    <col min="5837" max="5837" width="0.7109375" style="3" customWidth="1"/>
    <col min="5838" max="5838" width="11" style="3"/>
    <col min="5839" max="5839" width="15.7109375" style="3" customWidth="1"/>
    <col min="5840" max="5841" width="14.85546875" style="3" customWidth="1"/>
    <col min="5842" max="5842" width="3.28515625" style="3" customWidth="1"/>
    <col min="5843" max="5843" width="20.140625" style="3" customWidth="1"/>
    <col min="5844" max="5844" width="3.28515625" style="3" customWidth="1"/>
    <col min="5845" max="5849" width="11" style="3"/>
    <col min="5850" max="5862" width="4.7109375" style="3" customWidth="1"/>
    <col min="5863" max="6072" width="11" style="3"/>
    <col min="6073" max="6073" width="0.7109375" style="3" customWidth="1"/>
    <col min="6074" max="6074" width="6.5703125" style="3" customWidth="1"/>
    <col min="6075" max="6075" width="13.5703125" style="3" customWidth="1"/>
    <col min="6076" max="6076" width="13.42578125" style="3" customWidth="1"/>
    <col min="6077" max="6078" width="12.5703125" style="3" customWidth="1"/>
    <col min="6079" max="6079" width="14.85546875" style="3" customWidth="1"/>
    <col min="6080" max="6080" width="20.7109375" style="3" customWidth="1"/>
    <col min="6081" max="6081" width="12.5703125" style="3" customWidth="1"/>
    <col min="6082" max="6082" width="13" style="3" customWidth="1"/>
    <col min="6083" max="6083" width="16" style="3" customWidth="1"/>
    <col min="6084" max="6084" width="6.42578125" style="3" customWidth="1"/>
    <col min="6085" max="6085" width="16" style="3" customWidth="1"/>
    <col min="6086" max="6086" width="2.85546875" style="3" customWidth="1"/>
    <col min="6087" max="6087" width="0.85546875" style="3" customWidth="1"/>
    <col min="6088" max="6088" width="11" style="3"/>
    <col min="6089" max="6089" width="15.42578125" style="3" customWidth="1"/>
    <col min="6090" max="6092" width="14.85546875" style="3" customWidth="1"/>
    <col min="6093" max="6093" width="0.7109375" style="3" customWidth="1"/>
    <col min="6094" max="6094" width="11" style="3"/>
    <col min="6095" max="6095" width="15.7109375" style="3" customWidth="1"/>
    <col min="6096" max="6097" width="14.85546875" style="3" customWidth="1"/>
    <col min="6098" max="6098" width="3.28515625" style="3" customWidth="1"/>
    <col min="6099" max="6099" width="20.140625" style="3" customWidth="1"/>
    <col min="6100" max="6100" width="3.28515625" style="3" customWidth="1"/>
    <col min="6101" max="6105" width="11" style="3"/>
    <col min="6106" max="6118" width="4.7109375" style="3" customWidth="1"/>
    <col min="6119" max="6328" width="11" style="3"/>
    <col min="6329" max="6329" width="0.7109375" style="3" customWidth="1"/>
    <col min="6330" max="6330" width="6.5703125" style="3" customWidth="1"/>
    <col min="6331" max="6331" width="13.5703125" style="3" customWidth="1"/>
    <col min="6332" max="6332" width="13.42578125" style="3" customWidth="1"/>
    <col min="6333" max="6334" width="12.5703125" style="3" customWidth="1"/>
    <col min="6335" max="6335" width="14.85546875" style="3" customWidth="1"/>
    <col min="6336" max="6336" width="20.7109375" style="3" customWidth="1"/>
    <col min="6337" max="6337" width="12.5703125" style="3" customWidth="1"/>
    <col min="6338" max="6338" width="13" style="3" customWidth="1"/>
    <col min="6339" max="6339" width="16" style="3" customWidth="1"/>
    <col min="6340" max="6340" width="6.42578125" style="3" customWidth="1"/>
    <col min="6341" max="6341" width="16" style="3" customWidth="1"/>
    <col min="6342" max="6342" width="2.85546875" style="3" customWidth="1"/>
    <col min="6343" max="6343" width="0.85546875" style="3" customWidth="1"/>
    <col min="6344" max="6344" width="11" style="3"/>
    <col min="6345" max="6345" width="15.42578125" style="3" customWidth="1"/>
    <col min="6346" max="6348" width="14.85546875" style="3" customWidth="1"/>
    <col min="6349" max="6349" width="0.7109375" style="3" customWidth="1"/>
    <col min="6350" max="6350" width="11" style="3"/>
    <col min="6351" max="6351" width="15.7109375" style="3" customWidth="1"/>
    <col min="6352" max="6353" width="14.85546875" style="3" customWidth="1"/>
    <col min="6354" max="6354" width="3.28515625" style="3" customWidth="1"/>
    <col min="6355" max="6355" width="20.140625" style="3" customWidth="1"/>
    <col min="6356" max="6356" width="3.28515625" style="3" customWidth="1"/>
    <col min="6357" max="6361" width="11" style="3"/>
    <col min="6362" max="6374" width="4.7109375" style="3" customWidth="1"/>
    <col min="6375" max="6584" width="11" style="3"/>
    <col min="6585" max="6585" width="0.7109375" style="3" customWidth="1"/>
    <col min="6586" max="6586" width="6.5703125" style="3" customWidth="1"/>
    <col min="6587" max="6587" width="13.5703125" style="3" customWidth="1"/>
    <col min="6588" max="6588" width="13.42578125" style="3" customWidth="1"/>
    <col min="6589" max="6590" width="12.5703125" style="3" customWidth="1"/>
    <col min="6591" max="6591" width="14.85546875" style="3" customWidth="1"/>
    <col min="6592" max="6592" width="20.7109375" style="3" customWidth="1"/>
    <col min="6593" max="6593" width="12.5703125" style="3" customWidth="1"/>
    <col min="6594" max="6594" width="13" style="3" customWidth="1"/>
    <col min="6595" max="6595" width="16" style="3" customWidth="1"/>
    <col min="6596" max="6596" width="6.42578125" style="3" customWidth="1"/>
    <col min="6597" max="6597" width="16" style="3" customWidth="1"/>
    <col min="6598" max="6598" width="2.85546875" style="3" customWidth="1"/>
    <col min="6599" max="6599" width="0.85546875" style="3" customWidth="1"/>
    <col min="6600" max="6600" width="11" style="3"/>
    <col min="6601" max="6601" width="15.42578125" style="3" customWidth="1"/>
    <col min="6602" max="6604" width="14.85546875" style="3" customWidth="1"/>
    <col min="6605" max="6605" width="0.7109375" style="3" customWidth="1"/>
    <col min="6606" max="6606" width="11" style="3"/>
    <col min="6607" max="6607" width="15.7109375" style="3" customWidth="1"/>
    <col min="6608" max="6609" width="14.85546875" style="3" customWidth="1"/>
    <col min="6610" max="6610" width="3.28515625" style="3" customWidth="1"/>
    <col min="6611" max="6611" width="20.140625" style="3" customWidth="1"/>
    <col min="6612" max="6612" width="3.28515625" style="3" customWidth="1"/>
    <col min="6613" max="6617" width="11" style="3"/>
    <col min="6618" max="6630" width="4.7109375" style="3" customWidth="1"/>
    <col min="6631" max="6840" width="11" style="3"/>
    <col min="6841" max="6841" width="0.7109375" style="3" customWidth="1"/>
    <col min="6842" max="6842" width="6.5703125" style="3" customWidth="1"/>
    <col min="6843" max="6843" width="13.5703125" style="3" customWidth="1"/>
    <col min="6844" max="6844" width="13.42578125" style="3" customWidth="1"/>
    <col min="6845" max="6846" width="12.5703125" style="3" customWidth="1"/>
    <col min="6847" max="6847" width="14.85546875" style="3" customWidth="1"/>
    <col min="6848" max="6848" width="20.7109375" style="3" customWidth="1"/>
    <col min="6849" max="6849" width="12.5703125" style="3" customWidth="1"/>
    <col min="6850" max="6850" width="13" style="3" customWidth="1"/>
    <col min="6851" max="6851" width="16" style="3" customWidth="1"/>
    <col min="6852" max="6852" width="6.42578125" style="3" customWidth="1"/>
    <col min="6853" max="6853" width="16" style="3" customWidth="1"/>
    <col min="6854" max="6854" width="2.85546875" style="3" customWidth="1"/>
    <col min="6855" max="6855" width="0.85546875" style="3" customWidth="1"/>
    <col min="6856" max="6856" width="11" style="3"/>
    <col min="6857" max="6857" width="15.42578125" style="3" customWidth="1"/>
    <col min="6858" max="6860" width="14.85546875" style="3" customWidth="1"/>
    <col min="6861" max="6861" width="0.7109375" style="3" customWidth="1"/>
    <col min="6862" max="6862" width="11" style="3"/>
    <col min="6863" max="6863" width="15.7109375" style="3" customWidth="1"/>
    <col min="6864" max="6865" width="14.85546875" style="3" customWidth="1"/>
    <col min="6866" max="6866" width="3.28515625" style="3" customWidth="1"/>
    <col min="6867" max="6867" width="20.140625" style="3" customWidth="1"/>
    <col min="6868" max="6868" width="3.28515625" style="3" customWidth="1"/>
    <col min="6869" max="6873" width="11" style="3"/>
    <col min="6874" max="6886" width="4.7109375" style="3" customWidth="1"/>
    <col min="6887" max="7096" width="11" style="3"/>
    <col min="7097" max="7097" width="0.7109375" style="3" customWidth="1"/>
    <col min="7098" max="7098" width="6.5703125" style="3" customWidth="1"/>
    <col min="7099" max="7099" width="13.5703125" style="3" customWidth="1"/>
    <col min="7100" max="7100" width="13.42578125" style="3" customWidth="1"/>
    <col min="7101" max="7102" width="12.5703125" style="3" customWidth="1"/>
    <col min="7103" max="7103" width="14.85546875" style="3" customWidth="1"/>
    <col min="7104" max="7104" width="20.7109375" style="3" customWidth="1"/>
    <col min="7105" max="7105" width="12.5703125" style="3" customWidth="1"/>
    <col min="7106" max="7106" width="13" style="3" customWidth="1"/>
    <col min="7107" max="7107" width="16" style="3" customWidth="1"/>
    <col min="7108" max="7108" width="6.42578125" style="3" customWidth="1"/>
    <col min="7109" max="7109" width="16" style="3" customWidth="1"/>
    <col min="7110" max="7110" width="2.85546875" style="3" customWidth="1"/>
    <col min="7111" max="7111" width="0.85546875" style="3" customWidth="1"/>
    <col min="7112" max="7112" width="11" style="3"/>
    <col min="7113" max="7113" width="15.42578125" style="3" customWidth="1"/>
    <col min="7114" max="7116" width="14.85546875" style="3" customWidth="1"/>
    <col min="7117" max="7117" width="0.7109375" style="3" customWidth="1"/>
    <col min="7118" max="7118" width="11" style="3"/>
    <col min="7119" max="7119" width="15.7109375" style="3" customWidth="1"/>
    <col min="7120" max="7121" width="14.85546875" style="3" customWidth="1"/>
    <col min="7122" max="7122" width="3.28515625" style="3" customWidth="1"/>
    <col min="7123" max="7123" width="20.140625" style="3" customWidth="1"/>
    <col min="7124" max="7124" width="3.28515625" style="3" customWidth="1"/>
    <col min="7125" max="7129" width="11" style="3"/>
    <col min="7130" max="7142" width="4.7109375" style="3" customWidth="1"/>
    <col min="7143" max="7352" width="11" style="3"/>
    <col min="7353" max="7353" width="0.7109375" style="3" customWidth="1"/>
    <col min="7354" max="7354" width="6.5703125" style="3" customWidth="1"/>
    <col min="7355" max="7355" width="13.5703125" style="3" customWidth="1"/>
    <col min="7356" max="7356" width="13.42578125" style="3" customWidth="1"/>
    <col min="7357" max="7358" width="12.5703125" style="3" customWidth="1"/>
    <col min="7359" max="7359" width="14.85546875" style="3" customWidth="1"/>
    <col min="7360" max="7360" width="20.7109375" style="3" customWidth="1"/>
    <col min="7361" max="7361" width="12.5703125" style="3" customWidth="1"/>
    <col min="7362" max="7362" width="13" style="3" customWidth="1"/>
    <col min="7363" max="7363" width="16" style="3" customWidth="1"/>
    <col min="7364" max="7364" width="6.42578125" style="3" customWidth="1"/>
    <col min="7365" max="7365" width="16" style="3" customWidth="1"/>
    <col min="7366" max="7366" width="2.85546875" style="3" customWidth="1"/>
    <col min="7367" max="7367" width="0.85546875" style="3" customWidth="1"/>
    <col min="7368" max="7368" width="11" style="3"/>
    <col min="7369" max="7369" width="15.42578125" style="3" customWidth="1"/>
    <col min="7370" max="7372" width="14.85546875" style="3" customWidth="1"/>
    <col min="7373" max="7373" width="0.7109375" style="3" customWidth="1"/>
    <col min="7374" max="7374" width="11" style="3"/>
    <col min="7375" max="7375" width="15.7109375" style="3" customWidth="1"/>
    <col min="7376" max="7377" width="14.85546875" style="3" customWidth="1"/>
    <col min="7378" max="7378" width="3.28515625" style="3" customWidth="1"/>
    <col min="7379" max="7379" width="20.140625" style="3" customWidth="1"/>
    <col min="7380" max="7380" width="3.28515625" style="3" customWidth="1"/>
    <col min="7381" max="7385" width="11" style="3"/>
    <col min="7386" max="7398" width="4.7109375" style="3" customWidth="1"/>
    <col min="7399" max="7608" width="11" style="3"/>
    <col min="7609" max="7609" width="0.7109375" style="3" customWidth="1"/>
    <col min="7610" max="7610" width="6.5703125" style="3" customWidth="1"/>
    <col min="7611" max="7611" width="13.5703125" style="3" customWidth="1"/>
    <col min="7612" max="7612" width="13.42578125" style="3" customWidth="1"/>
    <col min="7613" max="7614" width="12.5703125" style="3" customWidth="1"/>
    <col min="7615" max="7615" width="14.85546875" style="3" customWidth="1"/>
    <col min="7616" max="7616" width="20.7109375" style="3" customWidth="1"/>
    <col min="7617" max="7617" width="12.5703125" style="3" customWidth="1"/>
    <col min="7618" max="7618" width="13" style="3" customWidth="1"/>
    <col min="7619" max="7619" width="16" style="3" customWidth="1"/>
    <col min="7620" max="7620" width="6.42578125" style="3" customWidth="1"/>
    <col min="7621" max="7621" width="16" style="3" customWidth="1"/>
    <col min="7622" max="7622" width="2.85546875" style="3" customWidth="1"/>
    <col min="7623" max="7623" width="0.85546875" style="3" customWidth="1"/>
    <col min="7624" max="7624" width="11" style="3"/>
    <col min="7625" max="7625" width="15.42578125" style="3" customWidth="1"/>
    <col min="7626" max="7628" width="14.85546875" style="3" customWidth="1"/>
    <col min="7629" max="7629" width="0.7109375" style="3" customWidth="1"/>
    <col min="7630" max="7630" width="11" style="3"/>
    <col min="7631" max="7631" width="15.7109375" style="3" customWidth="1"/>
    <col min="7632" max="7633" width="14.85546875" style="3" customWidth="1"/>
    <col min="7634" max="7634" width="3.28515625" style="3" customWidth="1"/>
    <col min="7635" max="7635" width="20.140625" style="3" customWidth="1"/>
    <col min="7636" max="7636" width="3.28515625" style="3" customWidth="1"/>
    <col min="7637" max="7641" width="11" style="3"/>
    <col min="7642" max="7654" width="4.7109375" style="3" customWidth="1"/>
    <col min="7655" max="7864" width="11" style="3"/>
    <col min="7865" max="7865" width="0.7109375" style="3" customWidth="1"/>
    <col min="7866" max="7866" width="6.5703125" style="3" customWidth="1"/>
    <col min="7867" max="7867" width="13.5703125" style="3" customWidth="1"/>
    <col min="7868" max="7868" width="13.42578125" style="3" customWidth="1"/>
    <col min="7869" max="7870" width="12.5703125" style="3" customWidth="1"/>
    <col min="7871" max="7871" width="14.85546875" style="3" customWidth="1"/>
    <col min="7872" max="7872" width="20.7109375" style="3" customWidth="1"/>
    <col min="7873" max="7873" width="12.5703125" style="3" customWidth="1"/>
    <col min="7874" max="7874" width="13" style="3" customWidth="1"/>
    <col min="7875" max="7875" width="16" style="3" customWidth="1"/>
    <col min="7876" max="7876" width="6.42578125" style="3" customWidth="1"/>
    <col min="7877" max="7877" width="16" style="3" customWidth="1"/>
    <col min="7878" max="7878" width="2.85546875" style="3" customWidth="1"/>
    <col min="7879" max="7879" width="0.85546875" style="3" customWidth="1"/>
    <col min="7880" max="7880" width="11" style="3"/>
    <col min="7881" max="7881" width="15.42578125" style="3" customWidth="1"/>
    <col min="7882" max="7884" width="14.85546875" style="3" customWidth="1"/>
    <col min="7885" max="7885" width="0.7109375" style="3" customWidth="1"/>
    <col min="7886" max="7886" width="11" style="3"/>
    <col min="7887" max="7887" width="15.7109375" style="3" customWidth="1"/>
    <col min="7888" max="7889" width="14.85546875" style="3" customWidth="1"/>
    <col min="7890" max="7890" width="3.28515625" style="3" customWidth="1"/>
    <col min="7891" max="7891" width="20.140625" style="3" customWidth="1"/>
    <col min="7892" max="7892" width="3.28515625" style="3" customWidth="1"/>
    <col min="7893" max="7897" width="11" style="3"/>
    <col min="7898" max="7910" width="4.7109375" style="3" customWidth="1"/>
    <col min="7911" max="8120" width="11" style="3"/>
    <col min="8121" max="8121" width="0.7109375" style="3" customWidth="1"/>
    <col min="8122" max="8122" width="6.5703125" style="3" customWidth="1"/>
    <col min="8123" max="8123" width="13.5703125" style="3" customWidth="1"/>
    <col min="8124" max="8124" width="13.42578125" style="3" customWidth="1"/>
    <col min="8125" max="8126" width="12.5703125" style="3" customWidth="1"/>
    <col min="8127" max="8127" width="14.85546875" style="3" customWidth="1"/>
    <col min="8128" max="8128" width="20.7109375" style="3" customWidth="1"/>
    <col min="8129" max="8129" width="12.5703125" style="3" customWidth="1"/>
    <col min="8130" max="8130" width="13" style="3" customWidth="1"/>
    <col min="8131" max="8131" width="16" style="3" customWidth="1"/>
    <col min="8132" max="8132" width="6.42578125" style="3" customWidth="1"/>
    <col min="8133" max="8133" width="16" style="3" customWidth="1"/>
    <col min="8134" max="8134" width="2.85546875" style="3" customWidth="1"/>
    <col min="8135" max="8135" width="0.85546875" style="3" customWidth="1"/>
    <col min="8136" max="8136" width="11" style="3"/>
    <col min="8137" max="8137" width="15.42578125" style="3" customWidth="1"/>
    <col min="8138" max="8140" width="14.85546875" style="3" customWidth="1"/>
    <col min="8141" max="8141" width="0.7109375" style="3" customWidth="1"/>
    <col min="8142" max="8142" width="11" style="3"/>
    <col min="8143" max="8143" width="15.7109375" style="3" customWidth="1"/>
    <col min="8144" max="8145" width="14.85546875" style="3" customWidth="1"/>
    <col min="8146" max="8146" width="3.28515625" style="3" customWidth="1"/>
    <col min="8147" max="8147" width="20.140625" style="3" customWidth="1"/>
    <col min="8148" max="8148" width="3.28515625" style="3" customWidth="1"/>
    <col min="8149" max="8153" width="11" style="3"/>
    <col min="8154" max="8166" width="4.7109375" style="3" customWidth="1"/>
    <col min="8167" max="8376" width="11" style="3"/>
    <col min="8377" max="8377" width="0.7109375" style="3" customWidth="1"/>
    <col min="8378" max="8378" width="6.5703125" style="3" customWidth="1"/>
    <col min="8379" max="8379" width="13.5703125" style="3" customWidth="1"/>
    <col min="8380" max="8380" width="13.42578125" style="3" customWidth="1"/>
    <col min="8381" max="8382" width="12.5703125" style="3" customWidth="1"/>
    <col min="8383" max="8383" width="14.85546875" style="3" customWidth="1"/>
    <col min="8384" max="8384" width="20.7109375" style="3" customWidth="1"/>
    <col min="8385" max="8385" width="12.5703125" style="3" customWidth="1"/>
    <col min="8386" max="8386" width="13" style="3" customWidth="1"/>
    <col min="8387" max="8387" width="16" style="3" customWidth="1"/>
    <col min="8388" max="8388" width="6.42578125" style="3" customWidth="1"/>
    <col min="8389" max="8389" width="16" style="3" customWidth="1"/>
    <col min="8390" max="8390" width="2.85546875" style="3" customWidth="1"/>
    <col min="8391" max="8391" width="0.85546875" style="3" customWidth="1"/>
    <col min="8392" max="8392" width="11" style="3"/>
    <col min="8393" max="8393" width="15.42578125" style="3" customWidth="1"/>
    <col min="8394" max="8396" width="14.85546875" style="3" customWidth="1"/>
    <col min="8397" max="8397" width="0.7109375" style="3" customWidth="1"/>
    <col min="8398" max="8398" width="11" style="3"/>
    <col min="8399" max="8399" width="15.7109375" style="3" customWidth="1"/>
    <col min="8400" max="8401" width="14.85546875" style="3" customWidth="1"/>
    <col min="8402" max="8402" width="3.28515625" style="3" customWidth="1"/>
    <col min="8403" max="8403" width="20.140625" style="3" customWidth="1"/>
    <col min="8404" max="8404" width="3.28515625" style="3" customWidth="1"/>
    <col min="8405" max="8409" width="11" style="3"/>
    <col min="8410" max="8422" width="4.7109375" style="3" customWidth="1"/>
    <col min="8423" max="8632" width="11" style="3"/>
    <col min="8633" max="8633" width="0.7109375" style="3" customWidth="1"/>
    <col min="8634" max="8634" width="6.5703125" style="3" customWidth="1"/>
    <col min="8635" max="8635" width="13.5703125" style="3" customWidth="1"/>
    <col min="8636" max="8636" width="13.42578125" style="3" customWidth="1"/>
    <col min="8637" max="8638" width="12.5703125" style="3" customWidth="1"/>
    <col min="8639" max="8639" width="14.85546875" style="3" customWidth="1"/>
    <col min="8640" max="8640" width="20.7109375" style="3" customWidth="1"/>
    <col min="8641" max="8641" width="12.5703125" style="3" customWidth="1"/>
    <col min="8642" max="8642" width="13" style="3" customWidth="1"/>
    <col min="8643" max="8643" width="16" style="3" customWidth="1"/>
    <col min="8644" max="8644" width="6.42578125" style="3" customWidth="1"/>
    <col min="8645" max="8645" width="16" style="3" customWidth="1"/>
    <col min="8646" max="8646" width="2.85546875" style="3" customWidth="1"/>
    <col min="8647" max="8647" width="0.85546875" style="3" customWidth="1"/>
    <col min="8648" max="8648" width="11" style="3"/>
    <col min="8649" max="8649" width="15.42578125" style="3" customWidth="1"/>
    <col min="8650" max="8652" width="14.85546875" style="3" customWidth="1"/>
    <col min="8653" max="8653" width="0.7109375" style="3" customWidth="1"/>
    <col min="8654" max="8654" width="11" style="3"/>
    <col min="8655" max="8655" width="15.7109375" style="3" customWidth="1"/>
    <col min="8656" max="8657" width="14.85546875" style="3" customWidth="1"/>
    <col min="8658" max="8658" width="3.28515625" style="3" customWidth="1"/>
    <col min="8659" max="8659" width="20.140625" style="3" customWidth="1"/>
    <col min="8660" max="8660" width="3.28515625" style="3" customWidth="1"/>
    <col min="8661" max="8665" width="11" style="3"/>
    <col min="8666" max="8678" width="4.7109375" style="3" customWidth="1"/>
    <col min="8679" max="8888" width="11" style="3"/>
    <col min="8889" max="8889" width="0.7109375" style="3" customWidth="1"/>
    <col min="8890" max="8890" width="6.5703125" style="3" customWidth="1"/>
    <col min="8891" max="8891" width="13.5703125" style="3" customWidth="1"/>
    <col min="8892" max="8892" width="13.42578125" style="3" customWidth="1"/>
    <col min="8893" max="8894" width="12.5703125" style="3" customWidth="1"/>
    <col min="8895" max="8895" width="14.85546875" style="3" customWidth="1"/>
    <col min="8896" max="8896" width="20.7109375" style="3" customWidth="1"/>
    <col min="8897" max="8897" width="12.5703125" style="3" customWidth="1"/>
    <col min="8898" max="8898" width="13" style="3" customWidth="1"/>
    <col min="8899" max="8899" width="16" style="3" customWidth="1"/>
    <col min="8900" max="8900" width="6.42578125" style="3" customWidth="1"/>
    <col min="8901" max="8901" width="16" style="3" customWidth="1"/>
    <col min="8902" max="8902" width="2.85546875" style="3" customWidth="1"/>
    <col min="8903" max="8903" width="0.85546875" style="3" customWidth="1"/>
    <col min="8904" max="8904" width="11" style="3"/>
    <col min="8905" max="8905" width="15.42578125" style="3" customWidth="1"/>
    <col min="8906" max="8908" width="14.85546875" style="3" customWidth="1"/>
    <col min="8909" max="8909" width="0.7109375" style="3" customWidth="1"/>
    <col min="8910" max="8910" width="11" style="3"/>
    <col min="8911" max="8911" width="15.7109375" style="3" customWidth="1"/>
    <col min="8912" max="8913" width="14.85546875" style="3" customWidth="1"/>
    <col min="8914" max="8914" width="3.28515625" style="3" customWidth="1"/>
    <col min="8915" max="8915" width="20.140625" style="3" customWidth="1"/>
    <col min="8916" max="8916" width="3.28515625" style="3" customWidth="1"/>
    <col min="8917" max="8921" width="11" style="3"/>
    <col min="8922" max="8934" width="4.7109375" style="3" customWidth="1"/>
    <col min="8935" max="9144" width="11" style="3"/>
    <col min="9145" max="9145" width="0.7109375" style="3" customWidth="1"/>
    <col min="9146" max="9146" width="6.5703125" style="3" customWidth="1"/>
    <col min="9147" max="9147" width="13.5703125" style="3" customWidth="1"/>
    <col min="9148" max="9148" width="13.42578125" style="3" customWidth="1"/>
    <col min="9149" max="9150" width="12.5703125" style="3" customWidth="1"/>
    <col min="9151" max="9151" width="14.85546875" style="3" customWidth="1"/>
    <col min="9152" max="9152" width="20.7109375" style="3" customWidth="1"/>
    <col min="9153" max="9153" width="12.5703125" style="3" customWidth="1"/>
    <col min="9154" max="9154" width="13" style="3" customWidth="1"/>
    <col min="9155" max="9155" width="16" style="3" customWidth="1"/>
    <col min="9156" max="9156" width="6.42578125" style="3" customWidth="1"/>
    <col min="9157" max="9157" width="16" style="3" customWidth="1"/>
    <col min="9158" max="9158" width="2.85546875" style="3" customWidth="1"/>
    <col min="9159" max="9159" width="0.85546875" style="3" customWidth="1"/>
    <col min="9160" max="9160" width="11" style="3"/>
    <col min="9161" max="9161" width="15.42578125" style="3" customWidth="1"/>
    <col min="9162" max="9164" width="14.85546875" style="3" customWidth="1"/>
    <col min="9165" max="9165" width="0.7109375" style="3" customWidth="1"/>
    <col min="9166" max="9166" width="11" style="3"/>
    <col min="9167" max="9167" width="15.7109375" style="3" customWidth="1"/>
    <col min="9168" max="9169" width="14.85546875" style="3" customWidth="1"/>
    <col min="9170" max="9170" width="3.28515625" style="3" customWidth="1"/>
    <col min="9171" max="9171" width="20.140625" style="3" customWidth="1"/>
    <col min="9172" max="9172" width="3.28515625" style="3" customWidth="1"/>
    <col min="9173" max="9177" width="11" style="3"/>
    <col min="9178" max="9190" width="4.7109375" style="3" customWidth="1"/>
    <col min="9191" max="9400" width="11" style="3"/>
    <col min="9401" max="9401" width="0.7109375" style="3" customWidth="1"/>
    <col min="9402" max="9402" width="6.5703125" style="3" customWidth="1"/>
    <col min="9403" max="9403" width="13.5703125" style="3" customWidth="1"/>
    <col min="9404" max="9404" width="13.42578125" style="3" customWidth="1"/>
    <col min="9405" max="9406" width="12.5703125" style="3" customWidth="1"/>
    <col min="9407" max="9407" width="14.85546875" style="3" customWidth="1"/>
    <col min="9408" max="9408" width="20.7109375" style="3" customWidth="1"/>
    <col min="9409" max="9409" width="12.5703125" style="3" customWidth="1"/>
    <col min="9410" max="9410" width="13" style="3" customWidth="1"/>
    <col min="9411" max="9411" width="16" style="3" customWidth="1"/>
    <col min="9412" max="9412" width="6.42578125" style="3" customWidth="1"/>
    <col min="9413" max="9413" width="16" style="3" customWidth="1"/>
    <col min="9414" max="9414" width="2.85546875" style="3" customWidth="1"/>
    <col min="9415" max="9415" width="0.85546875" style="3" customWidth="1"/>
    <col min="9416" max="9416" width="11" style="3"/>
    <col min="9417" max="9417" width="15.42578125" style="3" customWidth="1"/>
    <col min="9418" max="9420" width="14.85546875" style="3" customWidth="1"/>
    <col min="9421" max="9421" width="0.7109375" style="3" customWidth="1"/>
    <col min="9422" max="9422" width="11" style="3"/>
    <col min="9423" max="9423" width="15.7109375" style="3" customWidth="1"/>
    <col min="9424" max="9425" width="14.85546875" style="3" customWidth="1"/>
    <col min="9426" max="9426" width="3.28515625" style="3" customWidth="1"/>
    <col min="9427" max="9427" width="20.140625" style="3" customWidth="1"/>
    <col min="9428" max="9428" width="3.28515625" style="3" customWidth="1"/>
    <col min="9429" max="9433" width="11" style="3"/>
    <col min="9434" max="9446" width="4.7109375" style="3" customWidth="1"/>
    <col min="9447" max="9656" width="11" style="3"/>
    <col min="9657" max="9657" width="0.7109375" style="3" customWidth="1"/>
    <col min="9658" max="9658" width="6.5703125" style="3" customWidth="1"/>
    <col min="9659" max="9659" width="13.5703125" style="3" customWidth="1"/>
    <col min="9660" max="9660" width="13.42578125" style="3" customWidth="1"/>
    <col min="9661" max="9662" width="12.5703125" style="3" customWidth="1"/>
    <col min="9663" max="9663" width="14.85546875" style="3" customWidth="1"/>
    <col min="9664" max="9664" width="20.7109375" style="3" customWidth="1"/>
    <col min="9665" max="9665" width="12.5703125" style="3" customWidth="1"/>
    <col min="9666" max="9666" width="13" style="3" customWidth="1"/>
    <col min="9667" max="9667" width="16" style="3" customWidth="1"/>
    <col min="9668" max="9668" width="6.42578125" style="3" customWidth="1"/>
    <col min="9669" max="9669" width="16" style="3" customWidth="1"/>
    <col min="9670" max="9670" width="2.85546875" style="3" customWidth="1"/>
    <col min="9671" max="9671" width="0.85546875" style="3" customWidth="1"/>
    <col min="9672" max="9672" width="11" style="3"/>
    <col min="9673" max="9673" width="15.42578125" style="3" customWidth="1"/>
    <col min="9674" max="9676" width="14.85546875" style="3" customWidth="1"/>
    <col min="9677" max="9677" width="0.7109375" style="3" customWidth="1"/>
    <col min="9678" max="9678" width="11" style="3"/>
    <col min="9679" max="9679" width="15.7109375" style="3" customWidth="1"/>
    <col min="9680" max="9681" width="14.85546875" style="3" customWidth="1"/>
    <col min="9682" max="9682" width="3.28515625" style="3" customWidth="1"/>
    <col min="9683" max="9683" width="20.140625" style="3" customWidth="1"/>
    <col min="9684" max="9684" width="3.28515625" style="3" customWidth="1"/>
    <col min="9685" max="9689" width="11" style="3"/>
    <col min="9690" max="9702" width="4.7109375" style="3" customWidth="1"/>
    <col min="9703" max="9912" width="11" style="3"/>
    <col min="9913" max="9913" width="0.7109375" style="3" customWidth="1"/>
    <col min="9914" max="9914" width="6.5703125" style="3" customWidth="1"/>
    <col min="9915" max="9915" width="13.5703125" style="3" customWidth="1"/>
    <col min="9916" max="9916" width="13.42578125" style="3" customWidth="1"/>
    <col min="9917" max="9918" width="12.5703125" style="3" customWidth="1"/>
    <col min="9919" max="9919" width="14.85546875" style="3" customWidth="1"/>
    <col min="9920" max="9920" width="20.7109375" style="3" customWidth="1"/>
    <col min="9921" max="9921" width="12.5703125" style="3" customWidth="1"/>
    <col min="9922" max="9922" width="13" style="3" customWidth="1"/>
    <col min="9923" max="9923" width="16" style="3" customWidth="1"/>
    <col min="9924" max="9924" width="6.42578125" style="3" customWidth="1"/>
    <col min="9925" max="9925" width="16" style="3" customWidth="1"/>
    <col min="9926" max="9926" width="2.85546875" style="3" customWidth="1"/>
    <col min="9927" max="9927" width="0.85546875" style="3" customWidth="1"/>
    <col min="9928" max="9928" width="11" style="3"/>
    <col min="9929" max="9929" width="15.42578125" style="3" customWidth="1"/>
    <col min="9930" max="9932" width="14.85546875" style="3" customWidth="1"/>
    <col min="9933" max="9933" width="0.7109375" style="3" customWidth="1"/>
    <col min="9934" max="9934" width="11" style="3"/>
    <col min="9935" max="9935" width="15.7109375" style="3" customWidth="1"/>
    <col min="9936" max="9937" width="14.85546875" style="3" customWidth="1"/>
    <col min="9938" max="9938" width="3.28515625" style="3" customWidth="1"/>
    <col min="9939" max="9939" width="20.140625" style="3" customWidth="1"/>
    <col min="9940" max="9940" width="3.28515625" style="3" customWidth="1"/>
    <col min="9941" max="9945" width="11" style="3"/>
    <col min="9946" max="9958" width="4.7109375" style="3" customWidth="1"/>
    <col min="9959" max="10168" width="11" style="3"/>
    <col min="10169" max="10169" width="0.7109375" style="3" customWidth="1"/>
    <col min="10170" max="10170" width="6.5703125" style="3" customWidth="1"/>
    <col min="10171" max="10171" width="13.5703125" style="3" customWidth="1"/>
    <col min="10172" max="10172" width="13.42578125" style="3" customWidth="1"/>
    <col min="10173" max="10174" width="12.5703125" style="3" customWidth="1"/>
    <col min="10175" max="10175" width="14.85546875" style="3" customWidth="1"/>
    <col min="10176" max="10176" width="20.7109375" style="3" customWidth="1"/>
    <col min="10177" max="10177" width="12.5703125" style="3" customWidth="1"/>
    <col min="10178" max="10178" width="13" style="3" customWidth="1"/>
    <col min="10179" max="10179" width="16" style="3" customWidth="1"/>
    <col min="10180" max="10180" width="6.42578125" style="3" customWidth="1"/>
    <col min="10181" max="10181" width="16" style="3" customWidth="1"/>
    <col min="10182" max="10182" width="2.85546875" style="3" customWidth="1"/>
    <col min="10183" max="10183" width="0.85546875" style="3" customWidth="1"/>
    <col min="10184" max="10184" width="11" style="3"/>
    <col min="10185" max="10185" width="15.42578125" style="3" customWidth="1"/>
    <col min="10186" max="10188" width="14.85546875" style="3" customWidth="1"/>
    <col min="10189" max="10189" width="0.7109375" style="3" customWidth="1"/>
    <col min="10190" max="10190" width="11" style="3"/>
    <col min="10191" max="10191" width="15.7109375" style="3" customWidth="1"/>
    <col min="10192" max="10193" width="14.85546875" style="3" customWidth="1"/>
    <col min="10194" max="10194" width="3.28515625" style="3" customWidth="1"/>
    <col min="10195" max="10195" width="20.140625" style="3" customWidth="1"/>
    <col min="10196" max="10196" width="3.28515625" style="3" customWidth="1"/>
    <col min="10197" max="10201" width="11" style="3"/>
    <col min="10202" max="10214" width="4.7109375" style="3" customWidth="1"/>
    <col min="10215" max="10424" width="11" style="3"/>
    <col min="10425" max="10425" width="0.7109375" style="3" customWidth="1"/>
    <col min="10426" max="10426" width="6.5703125" style="3" customWidth="1"/>
    <col min="10427" max="10427" width="13.5703125" style="3" customWidth="1"/>
    <col min="10428" max="10428" width="13.42578125" style="3" customWidth="1"/>
    <col min="10429" max="10430" width="12.5703125" style="3" customWidth="1"/>
    <col min="10431" max="10431" width="14.85546875" style="3" customWidth="1"/>
    <col min="10432" max="10432" width="20.7109375" style="3" customWidth="1"/>
    <col min="10433" max="10433" width="12.5703125" style="3" customWidth="1"/>
    <col min="10434" max="10434" width="13" style="3" customWidth="1"/>
    <col min="10435" max="10435" width="16" style="3" customWidth="1"/>
    <col min="10436" max="10436" width="6.42578125" style="3" customWidth="1"/>
    <col min="10437" max="10437" width="16" style="3" customWidth="1"/>
    <col min="10438" max="10438" width="2.85546875" style="3" customWidth="1"/>
    <col min="10439" max="10439" width="0.85546875" style="3" customWidth="1"/>
    <col min="10440" max="10440" width="11" style="3"/>
    <col min="10441" max="10441" width="15.42578125" style="3" customWidth="1"/>
    <col min="10442" max="10444" width="14.85546875" style="3" customWidth="1"/>
    <col min="10445" max="10445" width="0.7109375" style="3" customWidth="1"/>
    <col min="10446" max="10446" width="11" style="3"/>
    <col min="10447" max="10447" width="15.7109375" style="3" customWidth="1"/>
    <col min="10448" max="10449" width="14.85546875" style="3" customWidth="1"/>
    <col min="10450" max="10450" width="3.28515625" style="3" customWidth="1"/>
    <col min="10451" max="10451" width="20.140625" style="3" customWidth="1"/>
    <col min="10452" max="10452" width="3.28515625" style="3" customWidth="1"/>
    <col min="10453" max="10457" width="11" style="3"/>
    <col min="10458" max="10470" width="4.7109375" style="3" customWidth="1"/>
    <col min="10471" max="10680" width="11" style="3"/>
    <col min="10681" max="10681" width="0.7109375" style="3" customWidth="1"/>
    <col min="10682" max="10682" width="6.5703125" style="3" customWidth="1"/>
    <col min="10683" max="10683" width="13.5703125" style="3" customWidth="1"/>
    <col min="10684" max="10684" width="13.42578125" style="3" customWidth="1"/>
    <col min="10685" max="10686" width="12.5703125" style="3" customWidth="1"/>
    <col min="10687" max="10687" width="14.85546875" style="3" customWidth="1"/>
    <col min="10688" max="10688" width="20.7109375" style="3" customWidth="1"/>
    <col min="10689" max="10689" width="12.5703125" style="3" customWidth="1"/>
    <col min="10690" max="10690" width="13" style="3" customWidth="1"/>
    <col min="10691" max="10691" width="16" style="3" customWidth="1"/>
    <col min="10692" max="10692" width="6.42578125" style="3" customWidth="1"/>
    <col min="10693" max="10693" width="16" style="3" customWidth="1"/>
    <col min="10694" max="10694" width="2.85546875" style="3" customWidth="1"/>
    <col min="10695" max="10695" width="0.85546875" style="3" customWidth="1"/>
    <col min="10696" max="10696" width="11" style="3"/>
    <col min="10697" max="10697" width="15.42578125" style="3" customWidth="1"/>
    <col min="10698" max="10700" width="14.85546875" style="3" customWidth="1"/>
    <col min="10701" max="10701" width="0.7109375" style="3" customWidth="1"/>
    <col min="10702" max="10702" width="11" style="3"/>
    <col min="10703" max="10703" width="15.7109375" style="3" customWidth="1"/>
    <col min="10704" max="10705" width="14.85546875" style="3" customWidth="1"/>
    <col min="10706" max="10706" width="3.28515625" style="3" customWidth="1"/>
    <col min="10707" max="10707" width="20.140625" style="3" customWidth="1"/>
    <col min="10708" max="10708" width="3.28515625" style="3" customWidth="1"/>
    <col min="10709" max="10713" width="11" style="3"/>
    <col min="10714" max="10726" width="4.7109375" style="3" customWidth="1"/>
    <col min="10727" max="10936" width="11" style="3"/>
    <col min="10937" max="10937" width="0.7109375" style="3" customWidth="1"/>
    <col min="10938" max="10938" width="6.5703125" style="3" customWidth="1"/>
    <col min="10939" max="10939" width="13.5703125" style="3" customWidth="1"/>
    <col min="10940" max="10940" width="13.42578125" style="3" customWidth="1"/>
    <col min="10941" max="10942" width="12.5703125" style="3" customWidth="1"/>
    <col min="10943" max="10943" width="14.85546875" style="3" customWidth="1"/>
    <col min="10944" max="10944" width="20.7109375" style="3" customWidth="1"/>
    <col min="10945" max="10945" width="12.5703125" style="3" customWidth="1"/>
    <col min="10946" max="10946" width="13" style="3" customWidth="1"/>
    <col min="10947" max="10947" width="16" style="3" customWidth="1"/>
    <col min="10948" max="10948" width="6.42578125" style="3" customWidth="1"/>
    <col min="10949" max="10949" width="16" style="3" customWidth="1"/>
    <col min="10950" max="10950" width="2.85546875" style="3" customWidth="1"/>
    <col min="10951" max="10951" width="0.85546875" style="3" customWidth="1"/>
    <col min="10952" max="10952" width="11" style="3"/>
    <col min="10953" max="10953" width="15.42578125" style="3" customWidth="1"/>
    <col min="10954" max="10956" width="14.85546875" style="3" customWidth="1"/>
    <col min="10957" max="10957" width="0.7109375" style="3" customWidth="1"/>
    <col min="10958" max="10958" width="11" style="3"/>
    <col min="10959" max="10959" width="15.7109375" style="3" customWidth="1"/>
    <col min="10960" max="10961" width="14.85546875" style="3" customWidth="1"/>
    <col min="10962" max="10962" width="3.28515625" style="3" customWidth="1"/>
    <col min="10963" max="10963" width="20.140625" style="3" customWidth="1"/>
    <col min="10964" max="10964" width="3.28515625" style="3" customWidth="1"/>
    <col min="10965" max="10969" width="11" style="3"/>
    <col min="10970" max="10982" width="4.7109375" style="3" customWidth="1"/>
    <col min="10983" max="11192" width="11" style="3"/>
    <col min="11193" max="11193" width="0.7109375" style="3" customWidth="1"/>
    <col min="11194" max="11194" width="6.5703125" style="3" customWidth="1"/>
    <col min="11195" max="11195" width="13.5703125" style="3" customWidth="1"/>
    <col min="11196" max="11196" width="13.42578125" style="3" customWidth="1"/>
    <col min="11197" max="11198" width="12.5703125" style="3" customWidth="1"/>
    <col min="11199" max="11199" width="14.85546875" style="3" customWidth="1"/>
    <col min="11200" max="11200" width="20.7109375" style="3" customWidth="1"/>
    <col min="11201" max="11201" width="12.5703125" style="3" customWidth="1"/>
    <col min="11202" max="11202" width="13" style="3" customWidth="1"/>
    <col min="11203" max="11203" width="16" style="3" customWidth="1"/>
    <col min="11204" max="11204" width="6.42578125" style="3" customWidth="1"/>
    <col min="11205" max="11205" width="16" style="3" customWidth="1"/>
    <col min="11206" max="11206" width="2.85546875" style="3" customWidth="1"/>
    <col min="11207" max="11207" width="0.85546875" style="3" customWidth="1"/>
    <col min="11208" max="11208" width="11" style="3"/>
    <col min="11209" max="11209" width="15.42578125" style="3" customWidth="1"/>
    <col min="11210" max="11212" width="14.85546875" style="3" customWidth="1"/>
    <col min="11213" max="11213" width="0.7109375" style="3" customWidth="1"/>
    <col min="11214" max="11214" width="11" style="3"/>
    <col min="11215" max="11215" width="15.7109375" style="3" customWidth="1"/>
    <col min="11216" max="11217" width="14.85546875" style="3" customWidth="1"/>
    <col min="11218" max="11218" width="3.28515625" style="3" customWidth="1"/>
    <col min="11219" max="11219" width="20.140625" style="3" customWidth="1"/>
    <col min="11220" max="11220" width="3.28515625" style="3" customWidth="1"/>
    <col min="11221" max="11225" width="11" style="3"/>
    <col min="11226" max="11238" width="4.7109375" style="3" customWidth="1"/>
    <col min="11239" max="11448" width="11" style="3"/>
    <col min="11449" max="11449" width="0.7109375" style="3" customWidth="1"/>
    <col min="11450" max="11450" width="6.5703125" style="3" customWidth="1"/>
    <col min="11451" max="11451" width="13.5703125" style="3" customWidth="1"/>
    <col min="11452" max="11452" width="13.42578125" style="3" customWidth="1"/>
    <col min="11453" max="11454" width="12.5703125" style="3" customWidth="1"/>
    <col min="11455" max="11455" width="14.85546875" style="3" customWidth="1"/>
    <col min="11456" max="11456" width="20.7109375" style="3" customWidth="1"/>
    <col min="11457" max="11457" width="12.5703125" style="3" customWidth="1"/>
    <col min="11458" max="11458" width="13" style="3" customWidth="1"/>
    <col min="11459" max="11459" width="16" style="3" customWidth="1"/>
    <col min="11460" max="11460" width="6.42578125" style="3" customWidth="1"/>
    <col min="11461" max="11461" width="16" style="3" customWidth="1"/>
    <col min="11462" max="11462" width="2.85546875" style="3" customWidth="1"/>
    <col min="11463" max="11463" width="0.85546875" style="3" customWidth="1"/>
    <col min="11464" max="11464" width="11" style="3"/>
    <col min="11465" max="11465" width="15.42578125" style="3" customWidth="1"/>
    <col min="11466" max="11468" width="14.85546875" style="3" customWidth="1"/>
    <col min="11469" max="11469" width="0.7109375" style="3" customWidth="1"/>
    <col min="11470" max="11470" width="11" style="3"/>
    <col min="11471" max="11471" width="15.7109375" style="3" customWidth="1"/>
    <col min="11472" max="11473" width="14.85546875" style="3" customWidth="1"/>
    <col min="11474" max="11474" width="3.28515625" style="3" customWidth="1"/>
    <col min="11475" max="11475" width="20.140625" style="3" customWidth="1"/>
    <col min="11476" max="11476" width="3.28515625" style="3" customWidth="1"/>
    <col min="11477" max="11481" width="11" style="3"/>
    <col min="11482" max="11494" width="4.7109375" style="3" customWidth="1"/>
    <col min="11495" max="11704" width="11" style="3"/>
    <col min="11705" max="11705" width="0.7109375" style="3" customWidth="1"/>
    <col min="11706" max="11706" width="6.5703125" style="3" customWidth="1"/>
    <col min="11707" max="11707" width="13.5703125" style="3" customWidth="1"/>
    <col min="11708" max="11708" width="13.42578125" style="3" customWidth="1"/>
    <col min="11709" max="11710" width="12.5703125" style="3" customWidth="1"/>
    <col min="11711" max="11711" width="14.85546875" style="3" customWidth="1"/>
    <col min="11712" max="11712" width="20.7109375" style="3" customWidth="1"/>
    <col min="11713" max="11713" width="12.5703125" style="3" customWidth="1"/>
    <col min="11714" max="11714" width="13" style="3" customWidth="1"/>
    <col min="11715" max="11715" width="16" style="3" customWidth="1"/>
    <col min="11716" max="11716" width="6.42578125" style="3" customWidth="1"/>
    <col min="11717" max="11717" width="16" style="3" customWidth="1"/>
    <col min="11718" max="11718" width="2.85546875" style="3" customWidth="1"/>
    <col min="11719" max="11719" width="0.85546875" style="3" customWidth="1"/>
    <col min="11720" max="11720" width="11" style="3"/>
    <col min="11721" max="11721" width="15.42578125" style="3" customWidth="1"/>
    <col min="11722" max="11724" width="14.85546875" style="3" customWidth="1"/>
    <col min="11725" max="11725" width="0.7109375" style="3" customWidth="1"/>
    <col min="11726" max="11726" width="11" style="3"/>
    <col min="11727" max="11727" width="15.7109375" style="3" customWidth="1"/>
    <col min="11728" max="11729" width="14.85546875" style="3" customWidth="1"/>
    <col min="11730" max="11730" width="3.28515625" style="3" customWidth="1"/>
    <col min="11731" max="11731" width="20.140625" style="3" customWidth="1"/>
    <col min="11732" max="11732" width="3.28515625" style="3" customWidth="1"/>
    <col min="11733" max="11737" width="11" style="3"/>
    <col min="11738" max="11750" width="4.7109375" style="3" customWidth="1"/>
    <col min="11751" max="11960" width="11" style="3"/>
    <col min="11961" max="11961" width="0.7109375" style="3" customWidth="1"/>
    <col min="11962" max="11962" width="6.5703125" style="3" customWidth="1"/>
    <col min="11963" max="11963" width="13.5703125" style="3" customWidth="1"/>
    <col min="11964" max="11964" width="13.42578125" style="3" customWidth="1"/>
    <col min="11965" max="11966" width="12.5703125" style="3" customWidth="1"/>
    <col min="11967" max="11967" width="14.85546875" style="3" customWidth="1"/>
    <col min="11968" max="11968" width="20.7109375" style="3" customWidth="1"/>
    <col min="11969" max="11969" width="12.5703125" style="3" customWidth="1"/>
    <col min="11970" max="11970" width="13" style="3" customWidth="1"/>
    <col min="11971" max="11971" width="16" style="3" customWidth="1"/>
    <col min="11972" max="11972" width="6.42578125" style="3" customWidth="1"/>
    <col min="11973" max="11973" width="16" style="3" customWidth="1"/>
    <col min="11974" max="11974" width="2.85546875" style="3" customWidth="1"/>
    <col min="11975" max="11975" width="0.85546875" style="3" customWidth="1"/>
    <col min="11976" max="11976" width="11" style="3"/>
    <col min="11977" max="11977" width="15.42578125" style="3" customWidth="1"/>
    <col min="11978" max="11980" width="14.85546875" style="3" customWidth="1"/>
    <col min="11981" max="11981" width="0.7109375" style="3" customWidth="1"/>
    <col min="11982" max="11982" width="11" style="3"/>
    <col min="11983" max="11983" width="15.7109375" style="3" customWidth="1"/>
    <col min="11984" max="11985" width="14.85546875" style="3" customWidth="1"/>
    <col min="11986" max="11986" width="3.28515625" style="3" customWidth="1"/>
    <col min="11987" max="11987" width="20.140625" style="3" customWidth="1"/>
    <col min="11988" max="11988" width="3.28515625" style="3" customWidth="1"/>
    <col min="11989" max="11993" width="11" style="3"/>
    <col min="11994" max="12006" width="4.7109375" style="3" customWidth="1"/>
    <col min="12007" max="12216" width="11" style="3"/>
    <col min="12217" max="12217" width="0.7109375" style="3" customWidth="1"/>
    <col min="12218" max="12218" width="6.5703125" style="3" customWidth="1"/>
    <col min="12219" max="12219" width="13.5703125" style="3" customWidth="1"/>
    <col min="12220" max="12220" width="13.42578125" style="3" customWidth="1"/>
    <col min="12221" max="12222" width="12.5703125" style="3" customWidth="1"/>
    <col min="12223" max="12223" width="14.85546875" style="3" customWidth="1"/>
    <col min="12224" max="12224" width="20.7109375" style="3" customWidth="1"/>
    <col min="12225" max="12225" width="12.5703125" style="3" customWidth="1"/>
    <col min="12226" max="12226" width="13" style="3" customWidth="1"/>
    <col min="12227" max="12227" width="16" style="3" customWidth="1"/>
    <col min="12228" max="12228" width="6.42578125" style="3" customWidth="1"/>
    <col min="12229" max="12229" width="16" style="3" customWidth="1"/>
    <col min="12230" max="12230" width="2.85546875" style="3" customWidth="1"/>
    <col min="12231" max="12231" width="0.85546875" style="3" customWidth="1"/>
    <col min="12232" max="12232" width="11" style="3"/>
    <col min="12233" max="12233" width="15.42578125" style="3" customWidth="1"/>
    <col min="12234" max="12236" width="14.85546875" style="3" customWidth="1"/>
    <col min="12237" max="12237" width="0.7109375" style="3" customWidth="1"/>
    <col min="12238" max="12238" width="11" style="3"/>
    <col min="12239" max="12239" width="15.7109375" style="3" customWidth="1"/>
    <col min="12240" max="12241" width="14.85546875" style="3" customWidth="1"/>
    <col min="12242" max="12242" width="3.28515625" style="3" customWidth="1"/>
    <col min="12243" max="12243" width="20.140625" style="3" customWidth="1"/>
    <col min="12244" max="12244" width="3.28515625" style="3" customWidth="1"/>
    <col min="12245" max="12249" width="11" style="3"/>
    <col min="12250" max="12262" width="4.7109375" style="3" customWidth="1"/>
    <col min="12263" max="12472" width="11" style="3"/>
    <col min="12473" max="12473" width="0.7109375" style="3" customWidth="1"/>
    <col min="12474" max="12474" width="6.5703125" style="3" customWidth="1"/>
    <col min="12475" max="12475" width="13.5703125" style="3" customWidth="1"/>
    <col min="12476" max="12476" width="13.42578125" style="3" customWidth="1"/>
    <col min="12477" max="12478" width="12.5703125" style="3" customWidth="1"/>
    <col min="12479" max="12479" width="14.85546875" style="3" customWidth="1"/>
    <col min="12480" max="12480" width="20.7109375" style="3" customWidth="1"/>
    <col min="12481" max="12481" width="12.5703125" style="3" customWidth="1"/>
    <col min="12482" max="12482" width="13" style="3" customWidth="1"/>
    <col min="12483" max="12483" width="16" style="3" customWidth="1"/>
    <col min="12484" max="12484" width="6.42578125" style="3" customWidth="1"/>
    <col min="12485" max="12485" width="16" style="3" customWidth="1"/>
    <col min="12486" max="12486" width="2.85546875" style="3" customWidth="1"/>
    <col min="12487" max="12487" width="0.85546875" style="3" customWidth="1"/>
    <col min="12488" max="12488" width="11" style="3"/>
    <col min="12489" max="12489" width="15.42578125" style="3" customWidth="1"/>
    <col min="12490" max="12492" width="14.85546875" style="3" customWidth="1"/>
    <col min="12493" max="12493" width="0.7109375" style="3" customWidth="1"/>
    <col min="12494" max="12494" width="11" style="3"/>
    <col min="12495" max="12495" width="15.7109375" style="3" customWidth="1"/>
    <col min="12496" max="12497" width="14.85546875" style="3" customWidth="1"/>
    <col min="12498" max="12498" width="3.28515625" style="3" customWidth="1"/>
    <col min="12499" max="12499" width="20.140625" style="3" customWidth="1"/>
    <col min="12500" max="12500" width="3.28515625" style="3" customWidth="1"/>
    <col min="12501" max="12505" width="11" style="3"/>
    <col min="12506" max="12518" width="4.7109375" style="3" customWidth="1"/>
    <col min="12519" max="12728" width="11" style="3"/>
    <col min="12729" max="12729" width="0.7109375" style="3" customWidth="1"/>
    <col min="12730" max="12730" width="6.5703125" style="3" customWidth="1"/>
    <col min="12731" max="12731" width="13.5703125" style="3" customWidth="1"/>
    <col min="12732" max="12732" width="13.42578125" style="3" customWidth="1"/>
    <col min="12733" max="12734" width="12.5703125" style="3" customWidth="1"/>
    <col min="12735" max="12735" width="14.85546875" style="3" customWidth="1"/>
    <col min="12736" max="12736" width="20.7109375" style="3" customWidth="1"/>
    <col min="12737" max="12737" width="12.5703125" style="3" customWidth="1"/>
    <col min="12738" max="12738" width="13" style="3" customWidth="1"/>
    <col min="12739" max="12739" width="16" style="3" customWidth="1"/>
    <col min="12740" max="12740" width="6.42578125" style="3" customWidth="1"/>
    <col min="12741" max="12741" width="16" style="3" customWidth="1"/>
    <col min="12742" max="12742" width="2.85546875" style="3" customWidth="1"/>
    <col min="12743" max="12743" width="0.85546875" style="3" customWidth="1"/>
    <col min="12744" max="12744" width="11" style="3"/>
    <col min="12745" max="12745" width="15.42578125" style="3" customWidth="1"/>
    <col min="12746" max="12748" width="14.85546875" style="3" customWidth="1"/>
    <col min="12749" max="12749" width="0.7109375" style="3" customWidth="1"/>
    <col min="12750" max="12750" width="11" style="3"/>
    <col min="12751" max="12751" width="15.7109375" style="3" customWidth="1"/>
    <col min="12752" max="12753" width="14.85546875" style="3" customWidth="1"/>
    <col min="12754" max="12754" width="3.28515625" style="3" customWidth="1"/>
    <col min="12755" max="12755" width="20.140625" style="3" customWidth="1"/>
    <col min="12756" max="12756" width="3.28515625" style="3" customWidth="1"/>
    <col min="12757" max="12761" width="11" style="3"/>
    <col min="12762" max="12774" width="4.7109375" style="3" customWidth="1"/>
    <col min="12775" max="12984" width="11" style="3"/>
    <col min="12985" max="12985" width="0.7109375" style="3" customWidth="1"/>
    <col min="12986" max="12986" width="6.5703125" style="3" customWidth="1"/>
    <col min="12987" max="12987" width="13.5703125" style="3" customWidth="1"/>
    <col min="12988" max="12988" width="13.42578125" style="3" customWidth="1"/>
    <col min="12989" max="12990" width="12.5703125" style="3" customWidth="1"/>
    <col min="12991" max="12991" width="14.85546875" style="3" customWidth="1"/>
    <col min="12992" max="12992" width="20.7109375" style="3" customWidth="1"/>
    <col min="12993" max="12993" width="12.5703125" style="3" customWidth="1"/>
    <col min="12994" max="12994" width="13" style="3" customWidth="1"/>
    <col min="12995" max="12995" width="16" style="3" customWidth="1"/>
    <col min="12996" max="12996" width="6.42578125" style="3" customWidth="1"/>
    <col min="12997" max="12997" width="16" style="3" customWidth="1"/>
    <col min="12998" max="12998" width="2.85546875" style="3" customWidth="1"/>
    <col min="12999" max="12999" width="0.85546875" style="3" customWidth="1"/>
    <col min="13000" max="13000" width="11" style="3"/>
    <col min="13001" max="13001" width="15.42578125" style="3" customWidth="1"/>
    <col min="13002" max="13004" width="14.85546875" style="3" customWidth="1"/>
    <col min="13005" max="13005" width="0.7109375" style="3" customWidth="1"/>
    <col min="13006" max="13006" width="11" style="3"/>
    <col min="13007" max="13007" width="15.7109375" style="3" customWidth="1"/>
    <col min="13008" max="13009" width="14.85546875" style="3" customWidth="1"/>
    <col min="13010" max="13010" width="3.28515625" style="3" customWidth="1"/>
    <col min="13011" max="13011" width="20.140625" style="3" customWidth="1"/>
    <col min="13012" max="13012" width="3.28515625" style="3" customWidth="1"/>
    <col min="13013" max="13017" width="11" style="3"/>
    <col min="13018" max="13030" width="4.7109375" style="3" customWidth="1"/>
    <col min="13031" max="13240" width="11" style="3"/>
    <col min="13241" max="13241" width="0.7109375" style="3" customWidth="1"/>
    <col min="13242" max="13242" width="6.5703125" style="3" customWidth="1"/>
    <col min="13243" max="13243" width="13.5703125" style="3" customWidth="1"/>
    <col min="13244" max="13244" width="13.42578125" style="3" customWidth="1"/>
    <col min="13245" max="13246" width="12.5703125" style="3" customWidth="1"/>
    <col min="13247" max="13247" width="14.85546875" style="3" customWidth="1"/>
    <col min="13248" max="13248" width="20.7109375" style="3" customWidth="1"/>
    <col min="13249" max="13249" width="12.5703125" style="3" customWidth="1"/>
    <col min="13250" max="13250" width="13" style="3" customWidth="1"/>
    <col min="13251" max="13251" width="16" style="3" customWidth="1"/>
    <col min="13252" max="13252" width="6.42578125" style="3" customWidth="1"/>
    <col min="13253" max="13253" width="16" style="3" customWidth="1"/>
    <col min="13254" max="13254" width="2.85546875" style="3" customWidth="1"/>
    <col min="13255" max="13255" width="0.85546875" style="3" customWidth="1"/>
    <col min="13256" max="13256" width="11" style="3"/>
    <col min="13257" max="13257" width="15.42578125" style="3" customWidth="1"/>
    <col min="13258" max="13260" width="14.85546875" style="3" customWidth="1"/>
    <col min="13261" max="13261" width="0.7109375" style="3" customWidth="1"/>
    <col min="13262" max="13262" width="11" style="3"/>
    <col min="13263" max="13263" width="15.7109375" style="3" customWidth="1"/>
    <col min="13264" max="13265" width="14.85546875" style="3" customWidth="1"/>
    <col min="13266" max="13266" width="3.28515625" style="3" customWidth="1"/>
    <col min="13267" max="13267" width="20.140625" style="3" customWidth="1"/>
    <col min="13268" max="13268" width="3.28515625" style="3" customWidth="1"/>
    <col min="13269" max="13273" width="11" style="3"/>
    <col min="13274" max="13286" width="4.7109375" style="3" customWidth="1"/>
    <col min="13287" max="13496" width="11" style="3"/>
    <col min="13497" max="13497" width="0.7109375" style="3" customWidth="1"/>
    <col min="13498" max="13498" width="6.5703125" style="3" customWidth="1"/>
    <col min="13499" max="13499" width="13.5703125" style="3" customWidth="1"/>
    <col min="13500" max="13500" width="13.42578125" style="3" customWidth="1"/>
    <col min="13501" max="13502" width="12.5703125" style="3" customWidth="1"/>
    <col min="13503" max="13503" width="14.85546875" style="3" customWidth="1"/>
    <col min="13504" max="13504" width="20.7109375" style="3" customWidth="1"/>
    <col min="13505" max="13505" width="12.5703125" style="3" customWidth="1"/>
    <col min="13506" max="13506" width="13" style="3" customWidth="1"/>
    <col min="13507" max="13507" width="16" style="3" customWidth="1"/>
    <col min="13508" max="13508" width="6.42578125" style="3" customWidth="1"/>
    <col min="13509" max="13509" width="16" style="3" customWidth="1"/>
    <col min="13510" max="13510" width="2.85546875" style="3" customWidth="1"/>
    <col min="13511" max="13511" width="0.85546875" style="3" customWidth="1"/>
    <col min="13512" max="13512" width="11" style="3"/>
    <col min="13513" max="13513" width="15.42578125" style="3" customWidth="1"/>
    <col min="13514" max="13516" width="14.85546875" style="3" customWidth="1"/>
    <col min="13517" max="13517" width="0.7109375" style="3" customWidth="1"/>
    <col min="13518" max="13518" width="11" style="3"/>
    <col min="13519" max="13519" width="15.7109375" style="3" customWidth="1"/>
    <col min="13520" max="13521" width="14.85546875" style="3" customWidth="1"/>
    <col min="13522" max="13522" width="3.28515625" style="3" customWidth="1"/>
    <col min="13523" max="13523" width="20.140625" style="3" customWidth="1"/>
    <col min="13524" max="13524" width="3.28515625" style="3" customWidth="1"/>
    <col min="13525" max="13529" width="11" style="3"/>
    <col min="13530" max="13542" width="4.7109375" style="3" customWidth="1"/>
    <col min="13543" max="13752" width="11" style="3"/>
    <col min="13753" max="13753" width="0.7109375" style="3" customWidth="1"/>
    <col min="13754" max="13754" width="6.5703125" style="3" customWidth="1"/>
    <col min="13755" max="13755" width="13.5703125" style="3" customWidth="1"/>
    <col min="13756" max="13756" width="13.42578125" style="3" customWidth="1"/>
    <col min="13757" max="13758" width="12.5703125" style="3" customWidth="1"/>
    <col min="13759" max="13759" width="14.85546875" style="3" customWidth="1"/>
    <col min="13760" max="13760" width="20.7109375" style="3" customWidth="1"/>
    <col min="13761" max="13761" width="12.5703125" style="3" customWidth="1"/>
    <col min="13762" max="13762" width="13" style="3" customWidth="1"/>
    <col min="13763" max="13763" width="16" style="3" customWidth="1"/>
    <col min="13764" max="13764" width="6.42578125" style="3" customWidth="1"/>
    <col min="13765" max="13765" width="16" style="3" customWidth="1"/>
    <col min="13766" max="13766" width="2.85546875" style="3" customWidth="1"/>
    <col min="13767" max="13767" width="0.85546875" style="3" customWidth="1"/>
    <col min="13768" max="13768" width="11" style="3"/>
    <col min="13769" max="13769" width="15.42578125" style="3" customWidth="1"/>
    <col min="13770" max="13772" width="14.85546875" style="3" customWidth="1"/>
    <col min="13773" max="13773" width="0.7109375" style="3" customWidth="1"/>
    <col min="13774" max="13774" width="11" style="3"/>
    <col min="13775" max="13775" width="15.7109375" style="3" customWidth="1"/>
    <col min="13776" max="13777" width="14.85546875" style="3" customWidth="1"/>
    <col min="13778" max="13778" width="3.28515625" style="3" customWidth="1"/>
    <col min="13779" max="13779" width="20.140625" style="3" customWidth="1"/>
    <col min="13780" max="13780" width="3.28515625" style="3" customWidth="1"/>
    <col min="13781" max="13785" width="11" style="3"/>
    <col min="13786" max="13798" width="4.7109375" style="3" customWidth="1"/>
    <col min="13799" max="14008" width="11" style="3"/>
    <col min="14009" max="14009" width="0.7109375" style="3" customWidth="1"/>
    <col min="14010" max="14010" width="6.5703125" style="3" customWidth="1"/>
    <col min="14011" max="14011" width="13.5703125" style="3" customWidth="1"/>
    <col min="14012" max="14012" width="13.42578125" style="3" customWidth="1"/>
    <col min="14013" max="14014" width="12.5703125" style="3" customWidth="1"/>
    <col min="14015" max="14015" width="14.85546875" style="3" customWidth="1"/>
    <col min="14016" max="14016" width="20.7109375" style="3" customWidth="1"/>
    <col min="14017" max="14017" width="12.5703125" style="3" customWidth="1"/>
    <col min="14018" max="14018" width="13" style="3" customWidth="1"/>
    <col min="14019" max="14019" width="16" style="3" customWidth="1"/>
    <col min="14020" max="14020" width="6.42578125" style="3" customWidth="1"/>
    <col min="14021" max="14021" width="16" style="3" customWidth="1"/>
    <col min="14022" max="14022" width="2.85546875" style="3" customWidth="1"/>
    <col min="14023" max="14023" width="0.85546875" style="3" customWidth="1"/>
    <col min="14024" max="14024" width="11" style="3"/>
    <col min="14025" max="14025" width="15.42578125" style="3" customWidth="1"/>
    <col min="14026" max="14028" width="14.85546875" style="3" customWidth="1"/>
    <col min="14029" max="14029" width="0.7109375" style="3" customWidth="1"/>
    <col min="14030" max="14030" width="11" style="3"/>
    <col min="14031" max="14031" width="15.7109375" style="3" customWidth="1"/>
    <col min="14032" max="14033" width="14.85546875" style="3" customWidth="1"/>
    <col min="14034" max="14034" width="3.28515625" style="3" customWidth="1"/>
    <col min="14035" max="14035" width="20.140625" style="3" customWidth="1"/>
    <col min="14036" max="14036" width="3.28515625" style="3" customWidth="1"/>
    <col min="14037" max="14041" width="11" style="3"/>
    <col min="14042" max="14054" width="4.7109375" style="3" customWidth="1"/>
    <col min="14055" max="14264" width="11" style="3"/>
    <col min="14265" max="14265" width="0.7109375" style="3" customWidth="1"/>
    <col min="14266" max="14266" width="6.5703125" style="3" customWidth="1"/>
    <col min="14267" max="14267" width="13.5703125" style="3" customWidth="1"/>
    <col min="14268" max="14268" width="13.42578125" style="3" customWidth="1"/>
    <col min="14269" max="14270" width="12.5703125" style="3" customWidth="1"/>
    <col min="14271" max="14271" width="14.85546875" style="3" customWidth="1"/>
    <col min="14272" max="14272" width="20.7109375" style="3" customWidth="1"/>
    <col min="14273" max="14273" width="12.5703125" style="3" customWidth="1"/>
    <col min="14274" max="14274" width="13" style="3" customWidth="1"/>
    <col min="14275" max="14275" width="16" style="3" customWidth="1"/>
    <col min="14276" max="14276" width="6.42578125" style="3" customWidth="1"/>
    <col min="14277" max="14277" width="16" style="3" customWidth="1"/>
    <col min="14278" max="14278" width="2.85546875" style="3" customWidth="1"/>
    <col min="14279" max="14279" width="0.85546875" style="3" customWidth="1"/>
    <col min="14280" max="14280" width="11" style="3"/>
    <col min="14281" max="14281" width="15.42578125" style="3" customWidth="1"/>
    <col min="14282" max="14284" width="14.85546875" style="3" customWidth="1"/>
    <col min="14285" max="14285" width="0.7109375" style="3" customWidth="1"/>
    <col min="14286" max="14286" width="11" style="3"/>
    <col min="14287" max="14287" width="15.7109375" style="3" customWidth="1"/>
    <col min="14288" max="14289" width="14.85546875" style="3" customWidth="1"/>
    <col min="14290" max="14290" width="3.28515625" style="3" customWidth="1"/>
    <col min="14291" max="14291" width="20.140625" style="3" customWidth="1"/>
    <col min="14292" max="14292" width="3.28515625" style="3" customWidth="1"/>
    <col min="14293" max="14297" width="11" style="3"/>
    <col min="14298" max="14310" width="4.7109375" style="3" customWidth="1"/>
    <col min="14311" max="14520" width="11" style="3"/>
    <col min="14521" max="14521" width="0.7109375" style="3" customWidth="1"/>
    <col min="14522" max="14522" width="6.5703125" style="3" customWidth="1"/>
    <col min="14523" max="14523" width="13.5703125" style="3" customWidth="1"/>
    <col min="14524" max="14524" width="13.42578125" style="3" customWidth="1"/>
    <col min="14525" max="14526" width="12.5703125" style="3" customWidth="1"/>
    <col min="14527" max="14527" width="14.85546875" style="3" customWidth="1"/>
    <col min="14528" max="14528" width="20.7109375" style="3" customWidth="1"/>
    <col min="14529" max="14529" width="12.5703125" style="3" customWidth="1"/>
    <col min="14530" max="14530" width="13" style="3" customWidth="1"/>
    <col min="14531" max="14531" width="16" style="3" customWidth="1"/>
    <col min="14532" max="14532" width="6.42578125" style="3" customWidth="1"/>
    <col min="14533" max="14533" width="16" style="3" customWidth="1"/>
    <col min="14534" max="14534" width="2.85546875" style="3" customWidth="1"/>
    <col min="14535" max="14535" width="0.85546875" style="3" customWidth="1"/>
    <col min="14536" max="14536" width="11" style="3"/>
    <col min="14537" max="14537" width="15.42578125" style="3" customWidth="1"/>
    <col min="14538" max="14540" width="14.85546875" style="3" customWidth="1"/>
    <col min="14541" max="14541" width="0.7109375" style="3" customWidth="1"/>
    <col min="14542" max="14542" width="11" style="3"/>
    <col min="14543" max="14543" width="15.7109375" style="3" customWidth="1"/>
    <col min="14544" max="14545" width="14.85546875" style="3" customWidth="1"/>
    <col min="14546" max="14546" width="3.28515625" style="3" customWidth="1"/>
    <col min="14547" max="14547" width="20.140625" style="3" customWidth="1"/>
    <col min="14548" max="14548" width="3.28515625" style="3" customWidth="1"/>
    <col min="14549" max="14553" width="11" style="3"/>
    <col min="14554" max="14566" width="4.7109375" style="3" customWidth="1"/>
    <col min="14567" max="14776" width="11" style="3"/>
    <col min="14777" max="14777" width="0.7109375" style="3" customWidth="1"/>
    <col min="14778" max="14778" width="6.5703125" style="3" customWidth="1"/>
    <col min="14779" max="14779" width="13.5703125" style="3" customWidth="1"/>
    <col min="14780" max="14780" width="13.42578125" style="3" customWidth="1"/>
    <col min="14781" max="14782" width="12.5703125" style="3" customWidth="1"/>
    <col min="14783" max="14783" width="14.85546875" style="3" customWidth="1"/>
    <col min="14784" max="14784" width="20.7109375" style="3" customWidth="1"/>
    <col min="14785" max="14785" width="12.5703125" style="3" customWidth="1"/>
    <col min="14786" max="14786" width="13" style="3" customWidth="1"/>
    <col min="14787" max="14787" width="16" style="3" customWidth="1"/>
    <col min="14788" max="14788" width="6.42578125" style="3" customWidth="1"/>
    <col min="14789" max="14789" width="16" style="3" customWidth="1"/>
    <col min="14790" max="14790" width="2.85546875" style="3" customWidth="1"/>
    <col min="14791" max="14791" width="0.85546875" style="3" customWidth="1"/>
    <col min="14792" max="14792" width="11" style="3"/>
    <col min="14793" max="14793" width="15.42578125" style="3" customWidth="1"/>
    <col min="14794" max="14796" width="14.85546875" style="3" customWidth="1"/>
    <col min="14797" max="14797" width="0.7109375" style="3" customWidth="1"/>
    <col min="14798" max="14798" width="11" style="3"/>
    <col min="14799" max="14799" width="15.7109375" style="3" customWidth="1"/>
    <col min="14800" max="14801" width="14.85546875" style="3" customWidth="1"/>
    <col min="14802" max="14802" width="3.28515625" style="3" customWidth="1"/>
    <col min="14803" max="14803" width="20.140625" style="3" customWidth="1"/>
    <col min="14804" max="14804" width="3.28515625" style="3" customWidth="1"/>
    <col min="14805" max="14809" width="11" style="3"/>
    <col min="14810" max="14822" width="4.7109375" style="3" customWidth="1"/>
    <col min="14823" max="15032" width="11" style="3"/>
    <col min="15033" max="15033" width="0.7109375" style="3" customWidth="1"/>
    <col min="15034" max="15034" width="6.5703125" style="3" customWidth="1"/>
    <col min="15035" max="15035" width="13.5703125" style="3" customWidth="1"/>
    <col min="15036" max="15036" width="13.42578125" style="3" customWidth="1"/>
    <col min="15037" max="15038" width="12.5703125" style="3" customWidth="1"/>
    <col min="15039" max="15039" width="14.85546875" style="3" customWidth="1"/>
    <col min="15040" max="15040" width="20.7109375" style="3" customWidth="1"/>
    <col min="15041" max="15041" width="12.5703125" style="3" customWidth="1"/>
    <col min="15042" max="15042" width="13" style="3" customWidth="1"/>
    <col min="15043" max="15043" width="16" style="3" customWidth="1"/>
    <col min="15044" max="15044" width="6.42578125" style="3" customWidth="1"/>
    <col min="15045" max="15045" width="16" style="3" customWidth="1"/>
    <col min="15046" max="15046" width="2.85546875" style="3" customWidth="1"/>
    <col min="15047" max="15047" width="0.85546875" style="3" customWidth="1"/>
    <col min="15048" max="15048" width="11" style="3"/>
    <col min="15049" max="15049" width="15.42578125" style="3" customWidth="1"/>
    <col min="15050" max="15052" width="14.85546875" style="3" customWidth="1"/>
    <col min="15053" max="15053" width="0.7109375" style="3" customWidth="1"/>
    <col min="15054" max="15054" width="11" style="3"/>
    <col min="15055" max="15055" width="15.7109375" style="3" customWidth="1"/>
    <col min="15056" max="15057" width="14.85546875" style="3" customWidth="1"/>
    <col min="15058" max="15058" width="3.28515625" style="3" customWidth="1"/>
    <col min="15059" max="15059" width="20.140625" style="3" customWidth="1"/>
    <col min="15060" max="15060" width="3.28515625" style="3" customWidth="1"/>
    <col min="15061" max="15065" width="11" style="3"/>
    <col min="15066" max="15078" width="4.7109375" style="3" customWidth="1"/>
    <col min="15079" max="15288" width="11" style="3"/>
    <col min="15289" max="15289" width="0.7109375" style="3" customWidth="1"/>
    <col min="15290" max="15290" width="6.5703125" style="3" customWidth="1"/>
    <col min="15291" max="15291" width="13.5703125" style="3" customWidth="1"/>
    <col min="15292" max="15292" width="13.42578125" style="3" customWidth="1"/>
    <col min="15293" max="15294" width="12.5703125" style="3" customWidth="1"/>
    <col min="15295" max="15295" width="14.85546875" style="3" customWidth="1"/>
    <col min="15296" max="15296" width="20.7109375" style="3" customWidth="1"/>
    <col min="15297" max="15297" width="12.5703125" style="3" customWidth="1"/>
    <col min="15298" max="15298" width="13" style="3" customWidth="1"/>
    <col min="15299" max="15299" width="16" style="3" customWidth="1"/>
    <col min="15300" max="15300" width="6.42578125" style="3" customWidth="1"/>
    <col min="15301" max="15301" width="16" style="3" customWidth="1"/>
    <col min="15302" max="15302" width="2.85546875" style="3" customWidth="1"/>
    <col min="15303" max="15303" width="0.85546875" style="3" customWidth="1"/>
    <col min="15304" max="15304" width="11" style="3"/>
    <col min="15305" max="15305" width="15.42578125" style="3" customWidth="1"/>
    <col min="15306" max="15308" width="14.85546875" style="3" customWidth="1"/>
    <col min="15309" max="15309" width="0.7109375" style="3" customWidth="1"/>
    <col min="15310" max="15310" width="11" style="3"/>
    <col min="15311" max="15311" width="15.7109375" style="3" customWidth="1"/>
    <col min="15312" max="15313" width="14.85546875" style="3" customWidth="1"/>
    <col min="15314" max="15314" width="3.28515625" style="3" customWidth="1"/>
    <col min="15315" max="15315" width="20.140625" style="3" customWidth="1"/>
    <col min="15316" max="15316" width="3.28515625" style="3" customWidth="1"/>
    <col min="15317" max="15321" width="11" style="3"/>
    <col min="15322" max="15334" width="4.7109375" style="3" customWidth="1"/>
    <col min="15335" max="15544" width="11" style="3"/>
    <col min="15545" max="15545" width="0.7109375" style="3" customWidth="1"/>
    <col min="15546" max="15546" width="6.5703125" style="3" customWidth="1"/>
    <col min="15547" max="15547" width="13.5703125" style="3" customWidth="1"/>
    <col min="15548" max="15548" width="13.42578125" style="3" customWidth="1"/>
    <col min="15549" max="15550" width="12.5703125" style="3" customWidth="1"/>
    <col min="15551" max="15551" width="14.85546875" style="3" customWidth="1"/>
    <col min="15552" max="15552" width="20.7109375" style="3" customWidth="1"/>
    <col min="15553" max="15553" width="12.5703125" style="3" customWidth="1"/>
    <col min="15554" max="15554" width="13" style="3" customWidth="1"/>
    <col min="15555" max="15555" width="16" style="3" customWidth="1"/>
    <col min="15556" max="15556" width="6.42578125" style="3" customWidth="1"/>
    <col min="15557" max="15557" width="16" style="3" customWidth="1"/>
    <col min="15558" max="15558" width="2.85546875" style="3" customWidth="1"/>
    <col min="15559" max="15559" width="0.85546875" style="3" customWidth="1"/>
    <col min="15560" max="15560" width="11" style="3"/>
    <col min="15561" max="15561" width="15.42578125" style="3" customWidth="1"/>
    <col min="15562" max="15564" width="14.85546875" style="3" customWidth="1"/>
    <col min="15565" max="15565" width="0.7109375" style="3" customWidth="1"/>
    <col min="15566" max="15566" width="11" style="3"/>
    <col min="15567" max="15567" width="15.7109375" style="3" customWidth="1"/>
    <col min="15568" max="15569" width="14.85546875" style="3" customWidth="1"/>
    <col min="15570" max="15570" width="3.28515625" style="3" customWidth="1"/>
    <col min="15571" max="15571" width="20.140625" style="3" customWidth="1"/>
    <col min="15572" max="15572" width="3.28515625" style="3" customWidth="1"/>
    <col min="15573" max="15577" width="11" style="3"/>
    <col min="15578" max="15590" width="4.7109375" style="3" customWidth="1"/>
    <col min="15591" max="15800" width="11" style="3"/>
    <col min="15801" max="15801" width="0.7109375" style="3" customWidth="1"/>
    <col min="15802" max="15802" width="6.5703125" style="3" customWidth="1"/>
    <col min="15803" max="15803" width="13.5703125" style="3" customWidth="1"/>
    <col min="15804" max="15804" width="13.42578125" style="3" customWidth="1"/>
    <col min="15805" max="15806" width="12.5703125" style="3" customWidth="1"/>
    <col min="15807" max="15807" width="14.85546875" style="3" customWidth="1"/>
    <col min="15808" max="15808" width="20.7109375" style="3" customWidth="1"/>
    <col min="15809" max="15809" width="12.5703125" style="3" customWidth="1"/>
    <col min="15810" max="15810" width="13" style="3" customWidth="1"/>
    <col min="15811" max="15811" width="16" style="3" customWidth="1"/>
    <col min="15812" max="15812" width="6.42578125" style="3" customWidth="1"/>
    <col min="15813" max="15813" width="16" style="3" customWidth="1"/>
    <col min="15814" max="15814" width="2.85546875" style="3" customWidth="1"/>
    <col min="15815" max="15815" width="0.85546875" style="3" customWidth="1"/>
    <col min="15816" max="15816" width="11" style="3"/>
    <col min="15817" max="15817" width="15.42578125" style="3" customWidth="1"/>
    <col min="15818" max="15820" width="14.85546875" style="3" customWidth="1"/>
    <col min="15821" max="15821" width="0.7109375" style="3" customWidth="1"/>
    <col min="15822" max="15822" width="11" style="3"/>
    <col min="15823" max="15823" width="15.7109375" style="3" customWidth="1"/>
    <col min="15824" max="15825" width="14.85546875" style="3" customWidth="1"/>
    <col min="15826" max="15826" width="3.28515625" style="3" customWidth="1"/>
    <col min="15827" max="15827" width="20.140625" style="3" customWidth="1"/>
    <col min="15828" max="15828" width="3.28515625" style="3" customWidth="1"/>
    <col min="15829" max="15833" width="11" style="3"/>
    <col min="15834" max="15846" width="4.7109375" style="3" customWidth="1"/>
    <col min="15847" max="16056" width="11" style="3"/>
    <col min="16057" max="16057" width="0.7109375" style="3" customWidth="1"/>
    <col min="16058" max="16058" width="6.5703125" style="3" customWidth="1"/>
    <col min="16059" max="16059" width="13.5703125" style="3" customWidth="1"/>
    <col min="16060" max="16060" width="13.42578125" style="3" customWidth="1"/>
    <col min="16061" max="16062" width="12.5703125" style="3" customWidth="1"/>
    <col min="16063" max="16063" width="14.85546875" style="3" customWidth="1"/>
    <col min="16064" max="16064" width="20.7109375" style="3" customWidth="1"/>
    <col min="16065" max="16065" width="12.5703125" style="3" customWidth="1"/>
    <col min="16066" max="16066" width="13" style="3" customWidth="1"/>
    <col min="16067" max="16067" width="16" style="3" customWidth="1"/>
    <col min="16068" max="16068" width="6.42578125" style="3" customWidth="1"/>
    <col min="16069" max="16069" width="16" style="3" customWidth="1"/>
    <col min="16070" max="16070" width="2.85546875" style="3" customWidth="1"/>
    <col min="16071" max="16071" width="0.85546875" style="3" customWidth="1"/>
    <col min="16072" max="16072" width="11" style="3"/>
    <col min="16073" max="16073" width="15.42578125" style="3" customWidth="1"/>
    <col min="16074" max="16076" width="14.85546875" style="3" customWidth="1"/>
    <col min="16077" max="16077" width="0.7109375" style="3" customWidth="1"/>
    <col min="16078" max="16078" width="11" style="3"/>
    <col min="16079" max="16079" width="15.7109375" style="3" customWidth="1"/>
    <col min="16080" max="16081" width="14.85546875" style="3" customWidth="1"/>
    <col min="16082" max="16082" width="3.28515625" style="3" customWidth="1"/>
    <col min="16083" max="16083" width="20.140625" style="3" customWidth="1"/>
    <col min="16084" max="16084" width="3.28515625" style="3" customWidth="1"/>
    <col min="16085" max="16089" width="11" style="3"/>
    <col min="16090" max="16102" width="4.7109375" style="3" customWidth="1"/>
    <col min="16103" max="16384" width="11" style="3"/>
  </cols>
  <sheetData>
    <row r="1" spans="1:28" s="1" customFormat="1" ht="19.5" customHeight="1">
      <c r="A1" s="236"/>
      <c r="B1" s="237"/>
      <c r="C1" s="179" t="s">
        <v>0</v>
      </c>
      <c r="D1" s="179"/>
      <c r="E1" s="179"/>
      <c r="F1" s="179"/>
      <c r="G1" s="179"/>
      <c r="H1" s="179"/>
      <c r="I1" s="179"/>
      <c r="J1" s="179"/>
      <c r="K1" s="180" t="s">
        <v>1</v>
      </c>
      <c r="L1" s="181"/>
      <c r="O1" s="80"/>
      <c r="P1" s="80"/>
      <c r="Q1" s="80"/>
      <c r="R1" s="80"/>
      <c r="S1" s="80"/>
      <c r="T1" s="80"/>
      <c r="U1" s="80"/>
      <c r="V1" s="80"/>
      <c r="W1" s="80"/>
      <c r="X1" s="80"/>
      <c r="Y1" s="80"/>
      <c r="Z1" s="80"/>
      <c r="AA1" s="80"/>
    </row>
    <row r="2" spans="1:28" s="1" customFormat="1" ht="19.5" customHeight="1">
      <c r="A2" s="238"/>
      <c r="B2" s="186"/>
      <c r="C2" s="241" t="s">
        <v>2</v>
      </c>
      <c r="D2" s="241"/>
      <c r="E2" s="241"/>
      <c r="F2" s="241"/>
      <c r="G2" s="241"/>
      <c r="H2" s="241"/>
      <c r="I2" s="241"/>
      <c r="J2" s="241"/>
      <c r="K2" s="182" t="s">
        <v>89</v>
      </c>
      <c r="L2" s="183"/>
      <c r="O2" s="80"/>
      <c r="P2" s="80"/>
      <c r="Q2" s="80"/>
      <c r="R2" s="80"/>
      <c r="S2" s="80"/>
      <c r="T2" s="80"/>
      <c r="U2" s="80"/>
      <c r="V2" s="80"/>
      <c r="W2" s="80"/>
      <c r="X2" s="80"/>
      <c r="Y2" s="80"/>
      <c r="Z2" s="80"/>
      <c r="AA2" s="80"/>
    </row>
    <row r="3" spans="1:28" s="1" customFormat="1" ht="19.5" customHeight="1">
      <c r="A3" s="238"/>
      <c r="B3" s="186"/>
      <c r="C3" s="241"/>
      <c r="D3" s="241"/>
      <c r="E3" s="241"/>
      <c r="F3" s="241"/>
      <c r="G3" s="241"/>
      <c r="H3" s="241"/>
      <c r="I3" s="241"/>
      <c r="J3" s="241"/>
      <c r="K3" s="182" t="s">
        <v>3</v>
      </c>
      <c r="L3" s="183"/>
      <c r="Q3" s="132"/>
      <c r="R3" s="80"/>
      <c r="T3" s="132" t="s">
        <v>4</v>
      </c>
      <c r="U3" s="132"/>
      <c r="V3" s="80"/>
      <c r="W3" s="80"/>
      <c r="X3" s="80"/>
      <c r="Y3" s="80"/>
      <c r="Z3" s="80"/>
      <c r="AA3" s="80"/>
    </row>
    <row r="4" spans="1:28" s="1" customFormat="1" ht="19.5" customHeight="1" thickBot="1">
      <c r="A4" s="239"/>
      <c r="B4" s="240"/>
      <c r="C4" s="242"/>
      <c r="D4" s="242"/>
      <c r="E4" s="242"/>
      <c r="F4" s="242"/>
      <c r="G4" s="242"/>
      <c r="H4" s="242"/>
      <c r="I4" s="242"/>
      <c r="J4" s="242"/>
      <c r="K4" s="184" t="s">
        <v>88</v>
      </c>
      <c r="L4" s="185"/>
      <c r="Q4" s="132"/>
      <c r="R4" s="80"/>
      <c r="S4" s="132"/>
      <c r="T4" s="132"/>
      <c r="U4" s="132"/>
      <c r="V4" s="80"/>
      <c r="W4" s="80"/>
      <c r="X4" s="80"/>
      <c r="Y4" s="80"/>
      <c r="Z4" s="80"/>
      <c r="AA4" s="80"/>
    </row>
    <row r="5" spans="1:28" s="1" customFormat="1" ht="3.95" customHeight="1" thickBot="1">
      <c r="A5" s="5"/>
      <c r="B5" s="186"/>
      <c r="C5" s="186"/>
      <c r="D5" s="186"/>
      <c r="E5" s="186"/>
      <c r="F5" s="186"/>
      <c r="G5" s="186"/>
      <c r="H5" s="186"/>
      <c r="I5" s="186"/>
      <c r="J5" s="186"/>
      <c r="K5" s="186"/>
      <c r="L5" s="81"/>
      <c r="Q5" s="132"/>
      <c r="R5" s="132"/>
      <c r="T5" s="132"/>
      <c r="U5" s="132"/>
      <c r="V5" s="80"/>
      <c r="W5" s="80"/>
      <c r="X5" s="80"/>
      <c r="Y5" s="80"/>
      <c r="Z5" s="80"/>
      <c r="AA5" s="80"/>
      <c r="AB5" s="80"/>
    </row>
    <row r="6" spans="1:28" s="1" customFormat="1" ht="22.5" customHeight="1">
      <c r="A6" s="6"/>
      <c r="B6" s="7" t="s">
        <v>5</v>
      </c>
      <c r="C6" s="273" t="s">
        <v>91</v>
      </c>
      <c r="D6" s="273"/>
      <c r="E6" s="273"/>
      <c r="F6" s="273"/>
      <c r="G6" s="273"/>
      <c r="H6" s="188" t="s">
        <v>6</v>
      </c>
      <c r="I6" s="188"/>
      <c r="J6" s="189">
        <v>45884</v>
      </c>
      <c r="K6" s="189"/>
      <c r="L6" s="190"/>
      <c r="Q6" s="80"/>
      <c r="R6" s="80"/>
      <c r="T6" s="133" t="s">
        <v>7</v>
      </c>
      <c r="U6" s="80"/>
      <c r="V6" s="80"/>
      <c r="W6" s="80"/>
      <c r="X6" s="80"/>
      <c r="Y6" s="80"/>
      <c r="Z6" s="80"/>
      <c r="AA6" s="80"/>
      <c r="AB6" s="80"/>
    </row>
    <row r="7" spans="1:28" s="1" customFormat="1" ht="24.75" customHeight="1">
      <c r="A7" s="5"/>
      <c r="B7" s="9" t="s">
        <v>8</v>
      </c>
      <c r="C7" s="274" t="s">
        <v>92</v>
      </c>
      <c r="D7" s="274"/>
      <c r="E7" s="274"/>
      <c r="F7" s="274"/>
      <c r="G7" s="274"/>
      <c r="H7" s="192" t="s">
        <v>9</v>
      </c>
      <c r="I7" s="192"/>
      <c r="J7" s="193">
        <v>45923</v>
      </c>
      <c r="K7" s="193"/>
      <c r="L7" s="194"/>
      <c r="Q7" s="80"/>
      <c r="R7" s="80"/>
      <c r="T7" s="133" t="s">
        <v>10</v>
      </c>
      <c r="U7" s="80"/>
      <c r="V7" s="80"/>
      <c r="W7" s="80"/>
      <c r="X7" s="80"/>
      <c r="Y7" s="80"/>
      <c r="Z7" s="80"/>
      <c r="AA7" s="80"/>
      <c r="AB7" s="80"/>
    </row>
    <row r="8" spans="1:28" s="1" customFormat="1" ht="22.5" customHeight="1">
      <c r="A8" s="5"/>
      <c r="B8" s="9" t="s">
        <v>11</v>
      </c>
      <c r="C8" s="271" t="s">
        <v>12</v>
      </c>
      <c r="D8" s="272"/>
      <c r="E8" s="272"/>
      <c r="F8" s="272"/>
      <c r="G8" s="272"/>
      <c r="H8" s="192" t="s">
        <v>13</v>
      </c>
      <c r="I8" s="192"/>
      <c r="J8" s="193">
        <v>45932</v>
      </c>
      <c r="K8" s="193"/>
      <c r="L8" s="194"/>
      <c r="Q8" s="80"/>
      <c r="R8" s="80"/>
      <c r="S8" s="1">
        <f>17-2.57</f>
        <v>14.43</v>
      </c>
      <c r="T8" s="133" t="s">
        <v>14</v>
      </c>
      <c r="U8" s="80"/>
      <c r="V8" s="80"/>
      <c r="W8" s="80"/>
      <c r="X8" s="80"/>
      <c r="Y8" s="80"/>
      <c r="Z8" s="80"/>
      <c r="AA8" s="80"/>
      <c r="AB8" s="80"/>
    </row>
    <row r="9" spans="1:28" s="1" customFormat="1" ht="22.5" customHeight="1">
      <c r="A9" s="5"/>
      <c r="B9" s="9" t="s">
        <v>15</v>
      </c>
      <c r="C9" s="202" t="s">
        <v>93</v>
      </c>
      <c r="D9" s="202"/>
      <c r="E9" s="202"/>
      <c r="F9" s="202"/>
      <c r="G9" s="202"/>
      <c r="H9" s="192" t="s">
        <v>16</v>
      </c>
      <c r="I9" s="192"/>
      <c r="J9" s="82" t="s">
        <v>17</v>
      </c>
      <c r="K9" s="83" t="s">
        <v>90</v>
      </c>
      <c r="L9" s="84" t="s">
        <v>85</v>
      </c>
      <c r="Q9" s="80"/>
      <c r="R9" s="80"/>
      <c r="T9" s="133" t="s">
        <v>18</v>
      </c>
      <c r="U9" s="80"/>
      <c r="V9" s="80"/>
      <c r="W9" s="80"/>
      <c r="X9" s="80"/>
      <c r="Y9" s="80"/>
      <c r="Z9" s="80"/>
      <c r="AA9" s="80"/>
      <c r="AB9" s="80"/>
    </row>
    <row r="10" spans="1:28" s="1" customFormat="1" ht="22.5" customHeight="1">
      <c r="A10" s="5"/>
      <c r="B10" s="10" t="s">
        <v>19</v>
      </c>
      <c r="C10" s="202" t="s">
        <v>20</v>
      </c>
      <c r="D10" s="202"/>
      <c r="E10" s="202"/>
      <c r="F10" s="202"/>
      <c r="G10" s="202"/>
      <c r="H10" s="196" t="s">
        <v>21</v>
      </c>
      <c r="I10" s="196"/>
      <c r="J10" s="197" t="str">
        <f>CONCATENATE(K9,," ",L9,"-",D12,"-",F12)</f>
        <v>056 25-:P-VILLA RICA  AP4-3</v>
      </c>
      <c r="K10" s="197"/>
      <c r="L10" s="198"/>
      <c r="Q10" s="80"/>
      <c r="R10" s="80"/>
      <c r="T10" s="133" t="s">
        <v>22</v>
      </c>
      <c r="U10" s="80"/>
      <c r="V10" s="80"/>
      <c r="W10" s="80"/>
      <c r="X10" s="80"/>
      <c r="Y10" s="80"/>
      <c r="Z10" s="80"/>
      <c r="AA10" s="80"/>
      <c r="AB10" s="80"/>
    </row>
    <row r="11" spans="1:28" s="1" customFormat="1" ht="3.95" customHeight="1" thickBot="1">
      <c r="A11" s="11"/>
      <c r="B11" s="199"/>
      <c r="C11" s="199"/>
      <c r="D11" s="199"/>
      <c r="E11" s="199"/>
      <c r="F11" s="199"/>
      <c r="G11" s="199"/>
      <c r="H11" s="199"/>
      <c r="I11" s="199"/>
      <c r="J11" s="199"/>
      <c r="K11" s="199"/>
      <c r="L11" s="85"/>
      <c r="Q11" s="80"/>
      <c r="R11" s="80"/>
      <c r="T11" s="133"/>
      <c r="U11" s="80"/>
      <c r="V11" s="80"/>
      <c r="W11" s="80"/>
      <c r="X11" s="80"/>
      <c r="Y11" s="80"/>
      <c r="Z11" s="80"/>
      <c r="AA11" s="80"/>
      <c r="AB11" s="80"/>
    </row>
    <row r="12" spans="1:28" s="1" customFormat="1" ht="22.5" customHeight="1">
      <c r="A12" s="6"/>
      <c r="B12" s="7" t="s">
        <v>23</v>
      </c>
      <c r="C12" s="12" t="s">
        <v>10</v>
      </c>
      <c r="D12" s="13" t="s">
        <v>115</v>
      </c>
      <c r="E12" s="14" t="s">
        <v>24</v>
      </c>
      <c r="F12" s="200">
        <v>3</v>
      </c>
      <c r="G12" s="200"/>
      <c r="H12" s="201" t="s">
        <v>25</v>
      </c>
      <c r="I12" s="201"/>
      <c r="J12" s="86">
        <v>1.3</v>
      </c>
      <c r="K12" s="87" t="s">
        <v>26</v>
      </c>
      <c r="L12" s="88">
        <v>1.5</v>
      </c>
      <c r="Q12" s="80"/>
      <c r="R12" s="80"/>
      <c r="T12" s="133"/>
      <c r="U12" s="80"/>
      <c r="V12" s="80"/>
      <c r="W12" s="80"/>
      <c r="X12" s="80"/>
      <c r="Y12" s="80"/>
      <c r="Z12" s="80"/>
      <c r="AA12" s="80"/>
      <c r="AB12" s="80"/>
    </row>
    <row r="13" spans="1:28" s="1" customFormat="1" ht="22.5" customHeight="1">
      <c r="A13" s="5"/>
      <c r="B13" s="9" t="s">
        <v>27</v>
      </c>
      <c r="C13" s="202" t="s">
        <v>113</v>
      </c>
      <c r="D13" s="202"/>
      <c r="E13" s="202"/>
      <c r="F13" s="202"/>
      <c r="G13" s="202"/>
      <c r="H13" s="202"/>
      <c r="I13" s="202"/>
      <c r="J13" s="202"/>
      <c r="K13" s="202"/>
      <c r="L13" s="203"/>
      <c r="O13" s="1">
        <f>-MOD1</f>
        <v>0</v>
      </c>
      <c r="Q13" s="80"/>
      <c r="R13" s="80"/>
      <c r="T13" s="133"/>
      <c r="U13" s="80"/>
      <c r="V13" s="80"/>
      <c r="W13" s="80"/>
      <c r="X13" s="80"/>
      <c r="Y13" s="80"/>
      <c r="Z13" s="80"/>
      <c r="AA13" s="80"/>
      <c r="AB13" s="80"/>
    </row>
    <row r="14" spans="1:28" s="1" customFormat="1" ht="6.95" customHeight="1" thickBot="1">
      <c r="A14" s="11"/>
      <c r="B14" s="15"/>
      <c r="C14" s="16"/>
      <c r="D14" s="16"/>
      <c r="E14" s="16"/>
      <c r="F14" s="16"/>
      <c r="G14" s="16"/>
      <c r="H14" s="16"/>
      <c r="I14" s="16"/>
      <c r="J14" s="16"/>
      <c r="K14" s="16"/>
      <c r="L14" s="89"/>
      <c r="P14" s="80"/>
      <c r="Q14" s="80"/>
      <c r="R14" s="80"/>
      <c r="S14" s="80"/>
      <c r="T14" s="80"/>
      <c r="U14" s="80"/>
      <c r="V14" s="80"/>
      <c r="W14" s="80"/>
      <c r="X14" s="80"/>
      <c r="Y14" s="80"/>
      <c r="Z14" s="80"/>
      <c r="AA14" s="80"/>
      <c r="AB14" s="80"/>
    </row>
    <row r="15" spans="1:28" ht="14.25" customHeight="1" thickBot="1">
      <c r="A15" s="17"/>
      <c r="B15" s="18"/>
      <c r="C15" s="18"/>
      <c r="D15" s="18"/>
      <c r="E15" s="18"/>
      <c r="F15" s="18"/>
      <c r="G15" s="18"/>
      <c r="H15" s="18"/>
      <c r="I15" s="18"/>
      <c r="J15" s="18"/>
      <c r="K15" s="18"/>
      <c r="L15" s="90"/>
    </row>
    <row r="16" spans="1:28" ht="22.5" customHeight="1" thickBot="1">
      <c r="A16" s="204"/>
      <c r="B16" s="205"/>
      <c r="C16" s="205"/>
      <c r="D16" s="205"/>
      <c r="E16" s="205"/>
      <c r="F16" s="205"/>
      <c r="G16" s="205"/>
      <c r="H16" s="205"/>
      <c r="I16" s="205"/>
      <c r="J16" s="205"/>
      <c r="K16" s="205"/>
      <c r="L16" s="206"/>
    </row>
    <row r="17" spans="1:19" ht="22.5" customHeight="1" thickBot="1">
      <c r="A17" s="17"/>
      <c r="B17" s="18"/>
      <c r="C17" s="18"/>
      <c r="D17" s="18"/>
      <c r="E17" s="18"/>
      <c r="F17" s="18"/>
      <c r="G17" s="19"/>
      <c r="H17" s="19"/>
      <c r="I17" s="19"/>
      <c r="J17" s="19"/>
      <c r="K17" s="19"/>
      <c r="L17" s="91"/>
    </row>
    <row r="18" spans="1:19" s="2" customFormat="1" ht="22.5" customHeight="1" thickBot="1">
      <c r="A18" s="207" t="s">
        <v>28</v>
      </c>
      <c r="B18" s="208"/>
      <c r="C18" s="208"/>
      <c r="D18" s="208"/>
      <c r="E18" s="209"/>
      <c r="F18" s="20"/>
      <c r="G18" s="207" t="s">
        <v>28</v>
      </c>
      <c r="H18" s="208"/>
      <c r="I18" s="208"/>
      <c r="J18" s="208"/>
      <c r="K18" s="208"/>
      <c r="L18" s="209"/>
      <c r="O18" s="92"/>
    </row>
    <row r="19" spans="1:19" s="2" customFormat="1" ht="27.75" customHeight="1" thickBot="1">
      <c r="A19" s="210"/>
      <c r="B19" s="211"/>
      <c r="C19" s="211"/>
      <c r="D19" s="22" t="s">
        <v>29</v>
      </c>
      <c r="E19" s="23" t="s">
        <v>30</v>
      </c>
      <c r="F19" s="24"/>
      <c r="G19" s="243" t="s">
        <v>31</v>
      </c>
      <c r="H19" s="244"/>
      <c r="I19" s="212" t="s">
        <v>32</v>
      </c>
      <c r="J19" s="213"/>
      <c r="K19" s="214" t="s">
        <v>33</v>
      </c>
      <c r="L19" s="215"/>
    </row>
    <row r="20" spans="1:19" s="2" customFormat="1" ht="22.5" customHeight="1">
      <c r="A20" s="216" t="s">
        <v>34</v>
      </c>
      <c r="B20" s="217"/>
      <c r="C20" s="25"/>
      <c r="D20" s="26">
        <v>703</v>
      </c>
      <c r="E20" s="27">
        <v>703</v>
      </c>
      <c r="F20" s="28"/>
      <c r="G20" s="245"/>
      <c r="H20" s="246"/>
      <c r="I20" s="93" t="s">
        <v>35</v>
      </c>
      <c r="J20" s="168" t="s">
        <v>36</v>
      </c>
      <c r="K20" s="95" t="s">
        <v>37</v>
      </c>
      <c r="L20" s="150" t="s">
        <v>36</v>
      </c>
      <c r="N20" s="92"/>
    </row>
    <row r="21" spans="1:19" s="2" customFormat="1" ht="22.5" customHeight="1">
      <c r="A21" s="216" t="s">
        <v>38</v>
      </c>
      <c r="B21" s="217"/>
      <c r="C21" s="25" t="s">
        <v>39</v>
      </c>
      <c r="D21" s="160">
        <v>15.5</v>
      </c>
      <c r="E21" s="161">
        <f>D21</f>
        <v>15.5</v>
      </c>
      <c r="F21" s="31"/>
      <c r="G21" s="96" t="s">
        <v>40</v>
      </c>
      <c r="H21" s="32" t="s">
        <v>41</v>
      </c>
      <c r="I21" s="96" t="s">
        <v>42</v>
      </c>
      <c r="J21" s="151" t="s">
        <v>43</v>
      </c>
      <c r="K21" s="96" t="s">
        <v>42</v>
      </c>
      <c r="L21" s="151" t="s">
        <v>43</v>
      </c>
      <c r="N21" s="97"/>
    </row>
    <row r="22" spans="1:19" s="2" customFormat="1" ht="22.5" customHeight="1">
      <c r="A22" s="216" t="s">
        <v>44</v>
      </c>
      <c r="B22" s="217"/>
      <c r="C22" s="25" t="s">
        <v>39</v>
      </c>
      <c r="D22" s="160">
        <v>15.3</v>
      </c>
      <c r="E22" s="161">
        <f>D22+E39</f>
        <v>15.3</v>
      </c>
      <c r="F22" s="31"/>
      <c r="G22" s="145">
        <v>0</v>
      </c>
      <c r="H22" s="33">
        <v>0</v>
      </c>
      <c r="I22" s="144">
        <v>0</v>
      </c>
      <c r="J22" s="152">
        <v>0</v>
      </c>
      <c r="K22" s="144">
        <v>0</v>
      </c>
      <c r="L22" s="152">
        <v>0</v>
      </c>
      <c r="N22" s="97"/>
      <c r="O22" s="2">
        <v>6.0999999999999999E-2</v>
      </c>
      <c r="S22" s="2">
        <v>2.1000000000000001E-2</v>
      </c>
    </row>
    <row r="23" spans="1:19" s="2" customFormat="1" ht="22.5" customHeight="1">
      <c r="A23" s="216" t="s">
        <v>45</v>
      </c>
      <c r="B23" s="217"/>
      <c r="C23" s="34" t="s">
        <v>46</v>
      </c>
      <c r="D23" s="35">
        <v>10613</v>
      </c>
      <c r="E23" s="169">
        <v>10850</v>
      </c>
      <c r="F23" s="31"/>
      <c r="G23" s="145">
        <v>5.0000000000000001E-3</v>
      </c>
      <c r="H23" s="33">
        <v>0.127</v>
      </c>
      <c r="I23" s="144">
        <v>0.34399999999999997</v>
      </c>
      <c r="J23" s="153">
        <f t="shared" ref="J23:J34" si="0">((I23/19.32)*10)</f>
        <v>0.17805383022774324</v>
      </c>
      <c r="K23" s="98">
        <v>6.0999999999999999E-2</v>
      </c>
      <c r="L23" s="153">
        <f t="shared" ref="L23:L34" si="1">((K23/19.32)*10)</f>
        <v>3.1573498964803312E-2</v>
      </c>
      <c r="N23" s="97"/>
      <c r="O23" s="2">
        <v>0.215</v>
      </c>
      <c r="S23" s="2">
        <v>7.5999999999999998E-2</v>
      </c>
    </row>
    <row r="24" spans="1:19" s="2" customFormat="1" ht="22.5" customHeight="1">
      <c r="A24" s="216" t="s">
        <v>47</v>
      </c>
      <c r="B24" s="217"/>
      <c r="C24" s="34" t="s">
        <v>46</v>
      </c>
      <c r="D24" s="167">
        <v>5878</v>
      </c>
      <c r="E24" s="37">
        <f>D24</f>
        <v>5878</v>
      </c>
      <c r="F24" s="38"/>
      <c r="G24" s="145">
        <v>2.5000000000000001E-2</v>
      </c>
      <c r="H24" s="33">
        <v>0.63500000000000001</v>
      </c>
      <c r="I24" s="144">
        <v>0.71699999999999997</v>
      </c>
      <c r="J24" s="153">
        <f t="shared" si="0"/>
        <v>0.3711180124223602</v>
      </c>
      <c r="K24" s="98">
        <v>0.215</v>
      </c>
      <c r="L24" s="153">
        <f t="shared" si="1"/>
        <v>0.11128364389233954</v>
      </c>
      <c r="N24" s="97"/>
      <c r="O24" s="2">
        <v>0.4</v>
      </c>
      <c r="S24" s="2">
        <v>0.16</v>
      </c>
    </row>
    <row r="25" spans="1:19" s="2" customFormat="1" ht="22.5" customHeight="1">
      <c r="A25" s="216" t="s">
        <v>48</v>
      </c>
      <c r="B25" s="217"/>
      <c r="C25" s="34" t="s">
        <v>46</v>
      </c>
      <c r="D25" s="39">
        <f>+D23-D24</f>
        <v>4735</v>
      </c>
      <c r="E25" s="174">
        <f>E23-E24</f>
        <v>4972</v>
      </c>
      <c r="F25" s="41"/>
      <c r="G25" s="145">
        <v>0.05</v>
      </c>
      <c r="H25" s="33">
        <v>1.27</v>
      </c>
      <c r="I25" s="144">
        <v>0.998</v>
      </c>
      <c r="J25" s="153">
        <f t="shared" si="0"/>
        <v>0.5165631469979296</v>
      </c>
      <c r="K25" s="98">
        <v>0.4</v>
      </c>
      <c r="L25" s="153">
        <f t="shared" si="1"/>
        <v>0.20703933747412007</v>
      </c>
      <c r="N25" s="97"/>
      <c r="O25" s="2">
        <v>0.61199999999999999</v>
      </c>
      <c r="S25" s="2">
        <v>0.27200000000000002</v>
      </c>
    </row>
    <row r="26" spans="1:19" s="2" customFormat="1" ht="22.5" customHeight="1">
      <c r="A26" s="216" t="s">
        <v>49</v>
      </c>
      <c r="B26" s="217"/>
      <c r="C26" s="34" t="s">
        <v>50</v>
      </c>
      <c r="D26" s="39">
        <f>((PI()*(D21*D21))/4)*D22</f>
        <v>2886.9862039704258</v>
      </c>
      <c r="E26" s="174">
        <f>((PI()*(E21*E21))/4)*E22</f>
        <v>2886.9862039704258</v>
      </c>
      <c r="F26" s="41"/>
      <c r="G26" s="145">
        <v>7.4999999999999997E-2</v>
      </c>
      <c r="H26" s="33">
        <v>1.905</v>
      </c>
      <c r="I26" s="144">
        <v>1.216</v>
      </c>
      <c r="J26" s="153">
        <f t="shared" si="0"/>
        <v>0.62939958592132506</v>
      </c>
      <c r="K26" s="98">
        <v>0.61199999999999999</v>
      </c>
      <c r="L26" s="153">
        <f t="shared" si="1"/>
        <v>0.31677018633540377</v>
      </c>
      <c r="N26" s="97"/>
      <c r="O26" s="2">
        <v>0.83</v>
      </c>
      <c r="S26" s="2">
        <v>0.40500000000000003</v>
      </c>
    </row>
    <row r="27" spans="1:19" s="2" customFormat="1" ht="22.5" customHeight="1">
      <c r="A27" s="216" t="s">
        <v>51</v>
      </c>
      <c r="B27" s="217"/>
      <c r="C27" s="34" t="s">
        <v>52</v>
      </c>
      <c r="D27" s="42">
        <f>D25/D26</f>
        <v>1.6401186792953948</v>
      </c>
      <c r="E27" s="175">
        <f>E25/E26</f>
        <v>1.7222112087553756</v>
      </c>
      <c r="F27" s="44"/>
      <c r="G27" s="146">
        <v>0.1</v>
      </c>
      <c r="H27" s="45">
        <v>2.54</v>
      </c>
      <c r="I27" s="154">
        <v>1.4379999999999999</v>
      </c>
      <c r="J27" s="155">
        <f t="shared" si="0"/>
        <v>0.74430641821946164</v>
      </c>
      <c r="K27" s="158">
        <v>0.83</v>
      </c>
      <c r="L27" s="155">
        <f t="shared" si="1"/>
        <v>0.42960662525879911</v>
      </c>
      <c r="N27" s="97"/>
      <c r="O27" s="2">
        <v>1.0820000000000001</v>
      </c>
      <c r="S27" s="2">
        <v>0.58099999999999996</v>
      </c>
    </row>
    <row r="28" spans="1:19" s="2" customFormat="1" ht="22.5" customHeight="1" thickBot="1">
      <c r="A28" s="218" t="s">
        <v>53</v>
      </c>
      <c r="B28" s="219"/>
      <c r="C28" s="46" t="s">
        <v>52</v>
      </c>
      <c r="D28" s="47">
        <f>D27/(1+D34/100)</f>
        <v>1.2145570469254798</v>
      </c>
      <c r="E28" s="48">
        <f>E27/(1+E34/100)</f>
        <v>1.2751888259906732</v>
      </c>
      <c r="F28" s="49"/>
      <c r="G28" s="145">
        <v>0.125</v>
      </c>
      <c r="H28" s="33">
        <v>3.1749999999999998</v>
      </c>
      <c r="I28" s="144">
        <v>1.645</v>
      </c>
      <c r="J28" s="153">
        <f t="shared" si="0"/>
        <v>0.85144927536231885</v>
      </c>
      <c r="K28" s="98">
        <v>1.0820000000000001</v>
      </c>
      <c r="L28" s="153">
        <f t="shared" si="1"/>
        <v>0.5600414078674949</v>
      </c>
      <c r="N28" s="97"/>
      <c r="O28" s="2">
        <v>1.31</v>
      </c>
      <c r="S28" s="2">
        <v>0.78</v>
      </c>
    </row>
    <row r="29" spans="1:19" s="2" customFormat="1" ht="22.5" customHeight="1" thickBot="1">
      <c r="A29" s="207" t="s">
        <v>54</v>
      </c>
      <c r="B29" s="208" t="s">
        <v>54</v>
      </c>
      <c r="C29" s="208"/>
      <c r="D29" s="208"/>
      <c r="E29" s="209"/>
      <c r="F29" s="49"/>
      <c r="G29" s="147">
        <v>0.15</v>
      </c>
      <c r="H29" s="33">
        <v>3.81</v>
      </c>
      <c r="I29" s="144">
        <v>1.855</v>
      </c>
      <c r="J29" s="153">
        <f t="shared" si="0"/>
        <v>0.96014492753623182</v>
      </c>
      <c r="K29" s="98">
        <v>1.31</v>
      </c>
      <c r="L29" s="153">
        <f>((K29/19.32)*10)</f>
        <v>0.67805383022774335</v>
      </c>
      <c r="N29" s="97"/>
      <c r="O29" s="2">
        <v>1.4770000000000001</v>
      </c>
      <c r="S29" s="2">
        <v>0.98499999999999999</v>
      </c>
    </row>
    <row r="30" spans="1:19" s="2" customFormat="1" ht="22.5" customHeight="1">
      <c r="A30" s="258" t="s">
        <v>55</v>
      </c>
      <c r="B30" s="259"/>
      <c r="C30" s="50"/>
      <c r="D30" s="51">
        <v>681</v>
      </c>
      <c r="E30" s="52">
        <v>205</v>
      </c>
      <c r="F30" s="44"/>
      <c r="G30" s="145">
        <v>0.17499999999999999</v>
      </c>
      <c r="H30" s="33">
        <v>4.4450000000000003</v>
      </c>
      <c r="I30" s="98">
        <v>2.1059999999999999</v>
      </c>
      <c r="J30" s="153">
        <f t="shared" si="0"/>
        <v>1.0900621118012421</v>
      </c>
      <c r="K30" s="98">
        <v>1.4770000000000001</v>
      </c>
      <c r="L30" s="153">
        <f t="shared" si="1"/>
        <v>0.76449275362318836</v>
      </c>
      <c r="N30" s="97"/>
      <c r="O30" s="2">
        <v>1.613</v>
      </c>
      <c r="S30" s="2">
        <v>1.1599999999999999</v>
      </c>
    </row>
    <row r="31" spans="1:19" s="2" customFormat="1" ht="22.5" customHeight="1">
      <c r="A31" s="216" t="s">
        <v>56</v>
      </c>
      <c r="B31" s="217"/>
      <c r="C31" s="25" t="s">
        <v>46</v>
      </c>
      <c r="D31" s="53">
        <v>211.2</v>
      </c>
      <c r="E31" s="54">
        <v>465.89</v>
      </c>
      <c r="F31" s="41"/>
      <c r="G31" s="146">
        <v>0.2</v>
      </c>
      <c r="H31" s="45">
        <v>5.08</v>
      </c>
      <c r="I31" s="158">
        <v>2.2970000000000002</v>
      </c>
      <c r="J31" s="155">
        <f t="shared" si="0"/>
        <v>1.1889233954451346</v>
      </c>
      <c r="K31" s="158">
        <v>1.613</v>
      </c>
      <c r="L31" s="155">
        <f t="shared" si="1"/>
        <v>0.83488612836438925</v>
      </c>
      <c r="N31" s="97"/>
      <c r="O31" s="2">
        <v>1.9359999999999999</v>
      </c>
      <c r="S31" s="2">
        <v>1.2969999999999999</v>
      </c>
    </row>
    <row r="32" spans="1:19" s="2" customFormat="1" ht="22.5" customHeight="1">
      <c r="A32" s="216" t="s">
        <v>57</v>
      </c>
      <c r="B32" s="217"/>
      <c r="C32" s="25" t="s">
        <v>46</v>
      </c>
      <c r="D32" s="53">
        <v>166.06</v>
      </c>
      <c r="E32" s="54">
        <v>360.51</v>
      </c>
      <c r="F32" s="49"/>
      <c r="G32" s="145">
        <v>0.3</v>
      </c>
      <c r="H32" s="33">
        <v>7.62</v>
      </c>
      <c r="I32" s="144">
        <v>3.238</v>
      </c>
      <c r="J32" s="153">
        <f t="shared" si="0"/>
        <v>1.6759834368530022</v>
      </c>
      <c r="K32" s="98">
        <v>1.9359999999999999</v>
      </c>
      <c r="L32" s="153">
        <f t="shared" si="1"/>
        <v>1.0020703933747412</v>
      </c>
      <c r="N32" s="97"/>
      <c r="O32" s="2">
        <v>2.202</v>
      </c>
      <c r="S32" s="2">
        <v>1.2529999999999999</v>
      </c>
    </row>
    <row r="33" spans="1:19" s="2" customFormat="1" ht="22.5" customHeight="1">
      <c r="A33" s="216" t="s">
        <v>58</v>
      </c>
      <c r="B33" s="217"/>
      <c r="C33" s="25" t="s">
        <v>46</v>
      </c>
      <c r="D33" s="53">
        <v>37.229999999999997</v>
      </c>
      <c r="E33" s="54">
        <v>59.9</v>
      </c>
      <c r="F33" s="49"/>
      <c r="G33" s="145">
        <v>0.4</v>
      </c>
      <c r="H33" s="33">
        <v>10.16</v>
      </c>
      <c r="I33" s="144">
        <v>4.0010000000000003</v>
      </c>
      <c r="J33" s="153">
        <f t="shared" si="0"/>
        <v>2.070910973084886</v>
      </c>
      <c r="K33" s="98">
        <v>2.202</v>
      </c>
      <c r="L33" s="153">
        <f t="shared" si="1"/>
        <v>1.139751552795031</v>
      </c>
      <c r="N33" s="97"/>
      <c r="O33" s="2">
        <v>2.4420000000000002</v>
      </c>
      <c r="S33" s="2">
        <v>1.2529999999999999</v>
      </c>
    </row>
    <row r="34" spans="1:19" s="2" customFormat="1" ht="22.5" customHeight="1" thickBot="1">
      <c r="A34" s="218" t="s">
        <v>59</v>
      </c>
      <c r="B34" s="219"/>
      <c r="C34" s="46" t="s">
        <v>60</v>
      </c>
      <c r="D34" s="47">
        <f>((D31-D32)/(D32-D33))*100</f>
        <v>35.038422727625537</v>
      </c>
      <c r="E34" s="48">
        <f>((E31-E32)/(E32-E33))*100</f>
        <v>35.055387378996038</v>
      </c>
      <c r="F34" s="49"/>
      <c r="G34" s="148">
        <v>0.5</v>
      </c>
      <c r="H34" s="149">
        <v>12.7</v>
      </c>
      <c r="I34" s="156">
        <v>4.5330000000000004</v>
      </c>
      <c r="J34" s="157">
        <f t="shared" si="0"/>
        <v>2.3462732919254661</v>
      </c>
      <c r="K34" s="159">
        <v>2.4420000000000002</v>
      </c>
      <c r="L34" s="157">
        <f t="shared" si="1"/>
        <v>1.2639751552795031</v>
      </c>
      <c r="N34" s="97"/>
    </row>
    <row r="35" spans="1:19" s="2" customFormat="1" ht="11.25" customHeight="1" thickBot="1">
      <c r="A35" s="55"/>
      <c r="B35" s="56"/>
      <c r="C35" s="57"/>
      <c r="D35" s="58"/>
      <c r="E35" s="58"/>
      <c r="F35" s="59"/>
      <c r="G35" s="58"/>
      <c r="H35" s="58"/>
      <c r="I35" s="58"/>
      <c r="J35" s="58"/>
      <c r="K35" s="58"/>
      <c r="L35" s="99"/>
      <c r="N35" s="97"/>
    </row>
    <row r="36" spans="1:19" s="2" customFormat="1" ht="22.5" customHeight="1" thickBot="1">
      <c r="A36" s="247" t="s">
        <v>61</v>
      </c>
      <c r="B36" s="248"/>
      <c r="C36" s="248"/>
      <c r="D36" s="248"/>
      <c r="E36" s="249"/>
      <c r="F36" s="60"/>
      <c r="G36" s="60"/>
      <c r="H36" s="207" t="s">
        <v>62</v>
      </c>
      <c r="I36" s="208"/>
      <c r="J36" s="208"/>
      <c r="K36" s="209"/>
      <c r="L36" s="100"/>
    </row>
    <row r="37" spans="1:19" s="2" customFormat="1" ht="22.5" customHeight="1" thickBot="1">
      <c r="A37" s="250" t="s">
        <v>63</v>
      </c>
      <c r="B37" s="251"/>
      <c r="C37" s="61" t="s">
        <v>64</v>
      </c>
      <c r="D37" s="277">
        <v>0.68</v>
      </c>
      <c r="E37" s="278"/>
      <c r="F37" s="62"/>
      <c r="G37" s="62"/>
      <c r="H37" s="63" t="s">
        <v>65</v>
      </c>
      <c r="I37" s="101" t="s">
        <v>86</v>
      </c>
      <c r="J37" s="63" t="s">
        <v>66</v>
      </c>
      <c r="K37" s="102" t="s">
        <v>67</v>
      </c>
      <c r="L37" s="99"/>
    </row>
    <row r="38" spans="1:19" s="2" customFormat="1" ht="22.5" customHeight="1" thickBot="1">
      <c r="A38" s="224" t="s">
        <v>68</v>
      </c>
      <c r="B38" s="225"/>
      <c r="C38" s="64" t="s">
        <v>64</v>
      </c>
      <c r="D38" s="279">
        <v>0.68110000000000004</v>
      </c>
      <c r="E38" s="280"/>
      <c r="F38" s="62"/>
      <c r="G38" s="62"/>
      <c r="H38" s="256" t="s">
        <v>69</v>
      </c>
      <c r="I38" s="257"/>
      <c r="J38" s="256" t="s">
        <v>70</v>
      </c>
      <c r="K38" s="257"/>
      <c r="L38" s="99"/>
    </row>
    <row r="39" spans="1:19" s="2" customFormat="1" ht="22.5" customHeight="1" thickBot="1">
      <c r="A39" s="224" t="s">
        <v>71</v>
      </c>
      <c r="B39" s="225"/>
      <c r="C39" s="65" t="s">
        <v>39</v>
      </c>
      <c r="D39" s="226">
        <f>(D38-D37)*2.54</f>
        <v>2.7939999999999745E-3</v>
      </c>
      <c r="E39" s="227"/>
      <c r="F39" s="31"/>
      <c r="G39" s="68"/>
      <c r="H39" s="163" t="s">
        <v>72</v>
      </c>
      <c r="I39" s="164">
        <v>4555</v>
      </c>
      <c r="J39" s="275">
        <v>4</v>
      </c>
      <c r="K39" s="229"/>
      <c r="L39" s="99"/>
    </row>
    <row r="40" spans="1:19" s="2" customFormat="1" ht="22.5" customHeight="1" thickBot="1">
      <c r="A40" s="230" t="s">
        <v>73</v>
      </c>
      <c r="B40" s="231"/>
      <c r="C40" s="67" t="s">
        <v>60</v>
      </c>
      <c r="D40" s="232">
        <f>IF(D39&lt;&gt;"",IF(D22&lt;&gt;"",D39/D22*100,""),"")</f>
        <v>1.8261437908496565E-2</v>
      </c>
      <c r="E40" s="233"/>
      <c r="F40" s="68"/>
      <c r="H40" s="165" t="s">
        <v>33</v>
      </c>
      <c r="I40" s="166">
        <v>4555</v>
      </c>
      <c r="J40" s="276">
        <v>4</v>
      </c>
      <c r="K40" s="235"/>
      <c r="L40" s="99"/>
      <c r="P40" s="105"/>
      <c r="Q40" s="105"/>
      <c r="R40" s="134"/>
    </row>
    <row r="41" spans="1:19" s="2" customFormat="1" ht="33" customHeight="1" thickBot="1">
      <c r="A41" s="70"/>
      <c r="B41" s="58"/>
      <c r="C41" s="58"/>
      <c r="D41" s="58"/>
      <c r="E41" s="58"/>
      <c r="F41" s="71"/>
      <c r="G41" s="58"/>
      <c r="H41" s="70"/>
      <c r="I41" s="58"/>
      <c r="J41" s="107" t="str">
        <f>I19</f>
        <v>ANTES DE INMERSIÓN</v>
      </c>
      <c r="K41" s="107" t="str">
        <f>K19</f>
        <v xml:space="preserve">DESPUÉS DE INMERSIÓN </v>
      </c>
      <c r="L41" s="108"/>
      <c r="M41" s="20"/>
      <c r="P41" s="109"/>
      <c r="Q41" s="135"/>
      <c r="R41" s="136"/>
    </row>
    <row r="42" spans="1:19" s="2" customFormat="1" ht="22.5" customHeight="1">
      <c r="A42" s="70"/>
      <c r="B42" s="58"/>
      <c r="C42" s="58"/>
      <c r="D42" s="58"/>
      <c r="E42" s="58"/>
      <c r="F42" s="58"/>
      <c r="G42" s="58"/>
      <c r="H42" s="21" t="s">
        <v>74</v>
      </c>
      <c r="I42" s="110" t="s">
        <v>60</v>
      </c>
      <c r="J42" s="111">
        <f>(J27/6.9)*100</f>
        <v>10.787049539412488</v>
      </c>
      <c r="K42" s="112">
        <f>(L27/6.9)*100</f>
        <v>6.2261829747652042</v>
      </c>
      <c r="L42" s="99"/>
      <c r="P42" s="113"/>
      <c r="Q42" s="137"/>
      <c r="R42" s="136"/>
    </row>
    <row r="43" spans="1:19" s="2" customFormat="1" ht="22.5" customHeight="1" thickBot="1">
      <c r="A43" s="70"/>
      <c r="B43" s="73"/>
      <c r="C43" s="58"/>
      <c r="D43" s="58"/>
      <c r="E43" s="58"/>
      <c r="F43" s="58"/>
      <c r="G43" s="58"/>
      <c r="H43" s="74" t="s">
        <v>75</v>
      </c>
      <c r="I43" s="114" t="s">
        <v>60</v>
      </c>
      <c r="J43" s="115">
        <f>(J31/10.3)*100</f>
        <v>11.542945586845967</v>
      </c>
      <c r="K43" s="116">
        <f>(L31/10.3)*100</f>
        <v>8.1056905666445545</v>
      </c>
      <c r="L43" s="99"/>
      <c r="P43" s="117"/>
      <c r="Q43" s="138"/>
      <c r="R43" s="139"/>
    </row>
    <row r="44" spans="1:19" s="2" customFormat="1" ht="22.5" customHeight="1" thickBot="1">
      <c r="A44" s="70"/>
      <c r="B44" s="73"/>
      <c r="C44" s="73"/>
      <c r="D44" s="73"/>
      <c r="E44" s="58"/>
      <c r="F44" s="58"/>
      <c r="G44" s="58"/>
      <c r="H44" s="74" t="s">
        <v>76</v>
      </c>
      <c r="I44" s="114"/>
      <c r="J44" s="118">
        <f>IF(J42&lt;J43,J42,J43)</f>
        <v>10.787049539412488</v>
      </c>
      <c r="K44" s="119">
        <f>IF(K42&lt;K43,K42,K43)</f>
        <v>6.2261829747652042</v>
      </c>
      <c r="L44" s="120"/>
      <c r="M44" s="121"/>
    </row>
    <row r="45" spans="1:19" s="2" customFormat="1" ht="22.5" customHeight="1">
      <c r="A45" s="70"/>
      <c r="B45" s="58"/>
      <c r="C45" s="58"/>
      <c r="D45" s="59"/>
      <c r="E45" s="59"/>
      <c r="F45" s="59"/>
      <c r="G45" s="58"/>
      <c r="H45" s="4"/>
      <c r="I45" s="122"/>
      <c r="J45" s="122"/>
      <c r="K45" s="122"/>
      <c r="L45" s="99"/>
    </row>
    <row r="46" spans="1:19" s="2" customFormat="1" ht="22.5" customHeight="1">
      <c r="A46" s="70"/>
      <c r="B46" s="58"/>
      <c r="C46" s="58"/>
      <c r="D46" s="59"/>
      <c r="E46" s="59"/>
      <c r="F46" s="59"/>
      <c r="G46" s="58"/>
      <c r="H46" s="222" t="s">
        <v>77</v>
      </c>
      <c r="I46" s="222"/>
      <c r="J46" s="222" t="s">
        <v>78</v>
      </c>
      <c r="K46" s="222"/>
      <c r="L46" s="223"/>
    </row>
    <row r="47" spans="1:19" s="2" customFormat="1" ht="22.5" customHeight="1">
      <c r="A47" s="70"/>
      <c r="B47" s="56"/>
      <c r="C47" s="75"/>
      <c r="D47" s="76"/>
      <c r="E47" s="59"/>
      <c r="F47" s="59"/>
      <c r="G47" s="59"/>
      <c r="H47" s="77"/>
      <c r="I47" s="123"/>
      <c r="J47" s="77"/>
      <c r="K47" s="123"/>
      <c r="L47" s="124"/>
    </row>
    <row r="48" spans="1:19" s="2" customFormat="1" ht="22.5" customHeight="1">
      <c r="A48" s="70"/>
      <c r="B48" s="56"/>
      <c r="C48" s="75"/>
      <c r="D48" s="76"/>
      <c r="E48" s="59"/>
      <c r="F48" s="59"/>
      <c r="G48" s="59"/>
      <c r="H48" s="77"/>
      <c r="I48" s="123"/>
      <c r="J48" s="77"/>
      <c r="K48" s="123"/>
      <c r="L48" s="124"/>
    </row>
    <row r="49" spans="1:15" s="2" customFormat="1" ht="22.5" customHeight="1">
      <c r="A49" s="70"/>
      <c r="B49" s="56"/>
      <c r="C49" s="75"/>
      <c r="D49" s="76"/>
      <c r="E49" s="59"/>
      <c r="F49" s="59"/>
      <c r="G49" s="59"/>
      <c r="H49" s="77"/>
      <c r="I49" s="123"/>
      <c r="J49" s="77"/>
      <c r="K49"/>
      <c r="L49" s="124"/>
    </row>
    <row r="50" spans="1:15" s="2" customFormat="1" ht="22.5" customHeight="1">
      <c r="A50" s="70"/>
      <c r="B50" s="56"/>
      <c r="C50" s="75"/>
      <c r="D50" s="76"/>
      <c r="E50" s="59"/>
      <c r="F50" s="59"/>
      <c r="G50" s="59"/>
      <c r="H50" s="78"/>
      <c r="I50" s="78"/>
      <c r="J50" s="77"/>
      <c r="K50" s="123"/>
      <c r="L50" s="124"/>
    </row>
    <row r="51" spans="1:15" s="2" customFormat="1" ht="22.5" customHeight="1">
      <c r="A51" s="70"/>
      <c r="B51" s="56"/>
      <c r="C51" s="75"/>
      <c r="D51" s="76"/>
      <c r="E51" s="59"/>
      <c r="F51" s="59"/>
      <c r="G51" s="59"/>
      <c r="H51" s="220" t="s">
        <v>79</v>
      </c>
      <c r="I51" s="220"/>
      <c r="J51" s="220" t="s">
        <v>87</v>
      </c>
      <c r="K51" s="220"/>
      <c r="L51" s="221"/>
    </row>
    <row r="52" spans="1:15" s="2" customFormat="1" ht="22.5" customHeight="1">
      <c r="A52" s="70"/>
      <c r="B52" s="56"/>
      <c r="C52" s="75"/>
      <c r="D52" s="76"/>
      <c r="E52" s="59"/>
      <c r="F52" s="59"/>
      <c r="G52" s="59"/>
      <c r="H52" s="222" t="s">
        <v>80</v>
      </c>
      <c r="I52" s="222"/>
      <c r="J52" s="222" t="s">
        <v>81</v>
      </c>
      <c r="K52" s="222"/>
      <c r="L52" s="223"/>
    </row>
    <row r="53" spans="1:15" s="2" customFormat="1" ht="22.5" customHeight="1">
      <c r="A53" s="70"/>
      <c r="B53" s="56"/>
      <c r="C53" s="75"/>
      <c r="D53" s="76"/>
      <c r="E53" s="59"/>
      <c r="F53" s="59"/>
      <c r="G53" s="59"/>
      <c r="H53" s="186"/>
      <c r="I53" s="186"/>
      <c r="J53" s="186"/>
      <c r="K53" s="186"/>
      <c r="L53" s="99"/>
    </row>
    <row r="54" spans="1:15" s="2" customFormat="1" ht="22.5" customHeight="1">
      <c r="A54" s="70"/>
      <c r="B54" s="56"/>
      <c r="C54" s="75"/>
      <c r="D54" s="76"/>
      <c r="E54" s="59"/>
      <c r="F54" s="59"/>
      <c r="G54" s="59"/>
      <c r="H54" s="58"/>
      <c r="I54" s="58"/>
      <c r="J54" s="125"/>
      <c r="K54" s="58"/>
      <c r="L54" s="99"/>
      <c r="M54" s="126"/>
      <c r="N54" s="3"/>
    </row>
    <row r="55" spans="1:15" s="2" customFormat="1" ht="22.5" customHeight="1">
      <c r="A55" s="70"/>
      <c r="B55" s="56"/>
      <c r="C55" s="75"/>
      <c r="D55" s="76"/>
      <c r="E55" s="59"/>
      <c r="F55" s="59"/>
      <c r="G55" s="59"/>
      <c r="H55" s="58"/>
      <c r="I55" s="58"/>
      <c r="J55" s="127"/>
      <c r="K55" s="125"/>
      <c r="L55" s="128"/>
      <c r="M55" s="129"/>
      <c r="N55" s="3"/>
    </row>
    <row r="56" spans="1:15" s="2" customFormat="1" ht="22.5" customHeight="1">
      <c r="A56" s="264" t="s">
        <v>82</v>
      </c>
      <c r="B56" s="265"/>
      <c r="C56" s="265"/>
      <c r="D56" s="265"/>
      <c r="E56" s="265"/>
      <c r="F56" s="265"/>
      <c r="G56" s="265"/>
      <c r="H56" s="265"/>
      <c r="I56" s="265"/>
      <c r="J56" s="265"/>
      <c r="K56" s="265"/>
      <c r="L56" s="266"/>
      <c r="M56" s="130"/>
      <c r="N56" s="3"/>
      <c r="O56" s="3"/>
    </row>
    <row r="57" spans="1:15" s="2" customFormat="1" ht="22.5" customHeight="1">
      <c r="A57" s="261" t="s">
        <v>83</v>
      </c>
      <c r="B57" s="262"/>
      <c r="C57" s="262"/>
      <c r="D57" s="262"/>
      <c r="E57" s="262"/>
      <c r="F57" s="262"/>
      <c r="G57" s="262"/>
      <c r="H57" s="262"/>
      <c r="I57" s="262"/>
      <c r="J57" s="262"/>
      <c r="K57" s="262"/>
      <c r="L57" s="263"/>
      <c r="M57" s="3"/>
      <c r="N57" s="3"/>
      <c r="O57" s="3"/>
    </row>
    <row r="58" spans="1:15" s="2" customFormat="1" ht="22.5" customHeight="1">
      <c r="A58" s="261"/>
      <c r="B58" s="262"/>
      <c r="C58" s="262"/>
      <c r="D58" s="262"/>
      <c r="E58" s="262"/>
      <c r="F58" s="262"/>
      <c r="G58" s="262"/>
      <c r="H58" s="262"/>
      <c r="I58" s="262"/>
      <c r="J58" s="262"/>
      <c r="K58" s="262"/>
      <c r="L58" s="263"/>
      <c r="M58" s="3"/>
      <c r="N58" s="3"/>
      <c r="O58" s="3"/>
    </row>
    <row r="59" spans="1:15" ht="15" thickBot="1">
      <c r="A59" s="267" t="s">
        <v>84</v>
      </c>
      <c r="B59" s="268"/>
      <c r="C59" s="268"/>
      <c r="D59" s="268"/>
      <c r="E59" s="268"/>
      <c r="F59" s="268"/>
      <c r="G59" s="268"/>
      <c r="H59" s="268"/>
      <c r="I59" s="268"/>
      <c r="J59" s="268"/>
      <c r="K59" s="268"/>
      <c r="L59" s="269"/>
    </row>
    <row r="63" spans="1:15">
      <c r="I63" s="79"/>
      <c r="J63" s="79"/>
      <c r="K63" s="79"/>
      <c r="L63" s="79"/>
      <c r="M63" s="79"/>
      <c r="N63" s="79"/>
    </row>
    <row r="64" spans="1:15" ht="15" customHeight="1">
      <c r="E64" s="79"/>
      <c r="F64" s="79"/>
      <c r="G64" s="79"/>
      <c r="H64" s="79"/>
      <c r="I64" s="131"/>
      <c r="J64" s="131"/>
      <c r="K64" s="131"/>
      <c r="L64" s="131"/>
      <c r="M64" s="131"/>
      <c r="N64" s="131"/>
    </row>
    <row r="65" spans="2:18" ht="15" customHeight="1">
      <c r="E65" s="131"/>
      <c r="F65" s="131"/>
      <c r="G65" s="131"/>
      <c r="H65" s="131"/>
      <c r="I65" s="131"/>
      <c r="J65" s="131"/>
      <c r="K65" s="131"/>
      <c r="L65" s="131"/>
      <c r="M65" s="131"/>
      <c r="N65" s="131"/>
    </row>
    <row r="66" spans="2:18" ht="15" customHeight="1">
      <c r="E66" s="131"/>
      <c r="F66" s="131"/>
      <c r="G66" s="131"/>
      <c r="H66" s="131"/>
      <c r="I66" s="131"/>
      <c r="J66" s="131"/>
      <c r="K66" s="131"/>
      <c r="L66" s="131"/>
      <c r="M66" s="131"/>
      <c r="N66" s="131"/>
    </row>
    <row r="67" spans="2:18" ht="30.75" customHeight="1">
      <c r="E67" s="131"/>
      <c r="F67" s="131"/>
      <c r="G67" s="131"/>
      <c r="H67" s="131"/>
      <c r="I67" s="140"/>
      <c r="J67" s="140"/>
      <c r="K67" s="140"/>
      <c r="L67" s="140"/>
      <c r="M67" s="140"/>
      <c r="N67" s="140"/>
    </row>
    <row r="68" spans="2:18" ht="15" customHeight="1">
      <c r="E68" s="140"/>
      <c r="F68" s="140"/>
      <c r="G68" s="140"/>
      <c r="H68" s="140"/>
      <c r="I68" s="140"/>
      <c r="J68" s="140"/>
      <c r="K68" s="140"/>
      <c r="L68" s="140"/>
      <c r="M68" s="140"/>
      <c r="N68" s="140"/>
    </row>
    <row r="69" spans="2:18" ht="15" customHeight="1">
      <c r="E69" s="140"/>
      <c r="F69" s="140"/>
      <c r="G69" s="140"/>
      <c r="H69" s="140"/>
    </row>
    <row r="70" spans="2:18" ht="31.5" customHeight="1">
      <c r="E70" s="270"/>
      <c r="F70" s="270"/>
      <c r="G70" s="270"/>
      <c r="H70" s="270"/>
      <c r="I70" s="270"/>
      <c r="J70" s="270"/>
      <c r="K70" s="270"/>
      <c r="L70" s="270"/>
      <c r="M70" s="270"/>
      <c r="N70" s="270"/>
      <c r="O70" s="270"/>
      <c r="P70" s="270"/>
    </row>
    <row r="71" spans="2:18" ht="24" customHeight="1">
      <c r="B71" s="141"/>
      <c r="C71" s="142"/>
      <c r="D71" s="142"/>
      <c r="E71" s="142"/>
      <c r="F71" s="142"/>
      <c r="G71" s="142"/>
      <c r="H71" s="142"/>
      <c r="I71" s="142"/>
      <c r="J71" s="142"/>
      <c r="K71" s="142"/>
      <c r="L71" s="142"/>
      <c r="M71" s="142"/>
      <c r="N71" s="142"/>
      <c r="O71" s="142"/>
      <c r="P71" s="142"/>
      <c r="Q71" s="142"/>
      <c r="R71" s="142"/>
    </row>
    <row r="72" spans="2:18" ht="15" customHeight="1">
      <c r="B72" s="142"/>
      <c r="C72" s="142"/>
      <c r="D72" s="260"/>
      <c r="E72" s="260"/>
      <c r="F72" s="260"/>
      <c r="G72" s="260"/>
      <c r="H72" s="260"/>
      <c r="I72" s="260"/>
      <c r="J72" s="260"/>
      <c r="K72" s="260"/>
      <c r="L72" s="260"/>
      <c r="M72" s="260"/>
      <c r="N72" s="260"/>
      <c r="O72" s="260"/>
      <c r="P72" s="142"/>
      <c r="Q72" s="142"/>
      <c r="R72" s="142"/>
    </row>
    <row r="73" spans="2:18">
      <c r="D73" s="260"/>
      <c r="E73" s="260"/>
      <c r="F73" s="260"/>
      <c r="G73" s="260"/>
      <c r="H73" s="260"/>
      <c r="I73" s="260"/>
      <c r="J73" s="260"/>
      <c r="K73" s="260"/>
      <c r="L73" s="260"/>
      <c r="M73" s="260"/>
      <c r="N73" s="260"/>
      <c r="O73" s="260"/>
    </row>
  </sheetData>
  <sheetProtection formatCells="0" formatColumns="0" insertColumns="0" insertRows="0" deleteColumns="0" deleteRows="0"/>
  <mergeCells count="74">
    <mergeCell ref="A1:B4"/>
    <mergeCell ref="C1:J1"/>
    <mergeCell ref="K1:L1"/>
    <mergeCell ref="C2:J4"/>
    <mergeCell ref="K2:L2"/>
    <mergeCell ref="K3:L3"/>
    <mergeCell ref="K4:L4"/>
    <mergeCell ref="B5:K5"/>
    <mergeCell ref="C6:G6"/>
    <mergeCell ref="H6:I6"/>
    <mergeCell ref="J6:L6"/>
    <mergeCell ref="C7:G7"/>
    <mergeCell ref="H7:I7"/>
    <mergeCell ref="J7:L7"/>
    <mergeCell ref="A18:E18"/>
    <mergeCell ref="G18:L18"/>
    <mergeCell ref="C8:G8"/>
    <mergeCell ref="H8:I8"/>
    <mergeCell ref="J8:L8"/>
    <mergeCell ref="C9:G9"/>
    <mergeCell ref="H9:I9"/>
    <mergeCell ref="C10:G10"/>
    <mergeCell ref="H10:I10"/>
    <mergeCell ref="J10:L10"/>
    <mergeCell ref="B11:K11"/>
    <mergeCell ref="F12:G12"/>
    <mergeCell ref="H12:I12"/>
    <mergeCell ref="C13:L13"/>
    <mergeCell ref="A16:L16"/>
    <mergeCell ref="A27:B27"/>
    <mergeCell ref="A19:C19"/>
    <mergeCell ref="G19:H20"/>
    <mergeCell ref="I19:J19"/>
    <mergeCell ref="K19:L19"/>
    <mergeCell ref="A20:B20"/>
    <mergeCell ref="A21:B21"/>
    <mergeCell ref="A22:B22"/>
    <mergeCell ref="A23:B23"/>
    <mergeCell ref="A24:B24"/>
    <mergeCell ref="A25:B25"/>
    <mergeCell ref="A26:B26"/>
    <mergeCell ref="A38:B38"/>
    <mergeCell ref="D38:E38"/>
    <mergeCell ref="H38:I38"/>
    <mergeCell ref="J38:K38"/>
    <mergeCell ref="A28:B28"/>
    <mergeCell ref="A29:E29"/>
    <mergeCell ref="A30:B30"/>
    <mergeCell ref="A31:B31"/>
    <mergeCell ref="A32:B32"/>
    <mergeCell ref="A33:B33"/>
    <mergeCell ref="A34:B34"/>
    <mergeCell ref="A36:E36"/>
    <mergeCell ref="H36:K36"/>
    <mergeCell ref="A37:B37"/>
    <mergeCell ref="D37:E37"/>
    <mergeCell ref="A39:B39"/>
    <mergeCell ref="D39:E39"/>
    <mergeCell ref="J39:K39"/>
    <mergeCell ref="A40:B40"/>
    <mergeCell ref="D40:E40"/>
    <mergeCell ref="J40:K40"/>
    <mergeCell ref="D72:O73"/>
    <mergeCell ref="H46:I46"/>
    <mergeCell ref="J46:L46"/>
    <mergeCell ref="H51:I51"/>
    <mergeCell ref="J51:L51"/>
    <mergeCell ref="H52:I52"/>
    <mergeCell ref="J52:L52"/>
    <mergeCell ref="H53:K53"/>
    <mergeCell ref="A56:L56"/>
    <mergeCell ref="A57:L58"/>
    <mergeCell ref="A59:L59"/>
    <mergeCell ref="E70:P70"/>
  </mergeCells>
  <conditionalFormatting sqref="C6:G10">
    <cfRule type="containsBlanks" dxfId="119" priority="10">
      <formula>LEN(TRIM(C6))=0</formula>
    </cfRule>
  </conditionalFormatting>
  <conditionalFormatting sqref="C13:L13">
    <cfRule type="containsBlanks" dxfId="118" priority="9">
      <formula>LEN(TRIM(C13))=0</formula>
    </cfRule>
  </conditionalFormatting>
  <conditionalFormatting sqref="D20:D24">
    <cfRule type="containsBlanks" dxfId="117" priority="4">
      <formula>LEN(TRIM(D20))=0</formula>
    </cfRule>
  </conditionalFormatting>
  <conditionalFormatting sqref="D37:D38">
    <cfRule type="containsBlanks" dxfId="116" priority="3">
      <formula>LEN(TRIM(D37))=0</formula>
    </cfRule>
  </conditionalFormatting>
  <conditionalFormatting sqref="D30:E33">
    <cfRule type="containsBlanks" dxfId="115" priority="1">
      <formula>LEN(TRIM(D30))=0</formula>
    </cfRule>
  </conditionalFormatting>
  <conditionalFormatting sqref="E23">
    <cfRule type="containsBlanks" dxfId="114" priority="5">
      <formula>LEN(TRIM(E23))=0</formula>
    </cfRule>
  </conditionalFormatting>
  <conditionalFormatting sqref="F12:G12">
    <cfRule type="containsBlanks" dxfId="113" priority="8">
      <formula>LEN(TRIM(F12))=0</formula>
    </cfRule>
  </conditionalFormatting>
  <conditionalFormatting sqref="I22:I34">
    <cfRule type="containsBlanks" dxfId="112" priority="7">
      <formula>LEN(TRIM(I22))=0</formula>
    </cfRule>
  </conditionalFormatting>
  <conditionalFormatting sqref="I37">
    <cfRule type="containsBlanks" dxfId="111" priority="2">
      <formula>LEN(TRIM(I37))=0</formula>
    </cfRule>
  </conditionalFormatting>
  <conditionalFormatting sqref="K22:K34">
    <cfRule type="containsBlanks" dxfId="110" priority="6">
      <formula>LEN(TRIM(K22))=0</formula>
    </cfRule>
  </conditionalFormatting>
  <dataValidations count="2">
    <dataValidation type="list" allowBlank="1" showInputMessage="1" showErrorMessage="1" sqref="I37" xr:uid="{00000000-0002-0000-0B00-000000000000}">
      <formula1>"5 kN, 50 kN"</formula1>
    </dataValidation>
    <dataValidation type="list" allowBlank="1" showInputMessage="1" showErrorMessage="1" sqref="C12" xr:uid="{00000000-0002-0000-0B00-000001000000}">
      <formula1>$T$6:$T$13</formula1>
    </dataValidation>
  </dataValidations>
  <printOptions horizontalCentered="1" verticalCentered="1"/>
  <pageMargins left="0.31496062992126" right="0.31496062992126" top="0.15748031496063" bottom="0.55118110236220497" header="0" footer="0.118110236220472"/>
  <pageSetup scale="42" fitToWidth="0" fitToHeight="0" orientation="landscape" r:id="rId1"/>
  <headerFooter>
    <oddFooter>&amp;C&amp;"Arial,Normal"&amp;10GEODELTA S.A.S. Calle 68 B bis No 70 C 95, Móvil: 318 7902368 Bogotá DC - Colombia
e-mail: laboratoriogeodelta@gmail.com</oddFooter>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4" tint="0.79998168889431442"/>
  </sheetPr>
  <dimension ref="A1:AB73"/>
  <sheetViews>
    <sheetView showGridLines="0" view="pageBreakPreview" topLeftCell="C8" zoomScale="55" zoomScaleNormal="50" zoomScaleSheetLayoutView="55" zoomScalePageLayoutView="50" workbookViewId="0">
      <selection activeCell="J15" sqref="J15"/>
    </sheetView>
  </sheetViews>
  <sheetFormatPr baseColWidth="10" defaultColWidth="11" defaultRowHeight="14.25"/>
  <cols>
    <col min="1" max="1" width="10.5703125" style="3" customWidth="1"/>
    <col min="2" max="2" width="35.42578125" style="3" customWidth="1"/>
    <col min="3" max="3" width="20.85546875" style="3" customWidth="1"/>
    <col min="4" max="5" width="26.7109375" style="3" customWidth="1"/>
    <col min="6" max="6" width="3.7109375" style="3" customWidth="1"/>
    <col min="7" max="7" width="29.140625" style="3" customWidth="1"/>
    <col min="8" max="8" width="27.140625" style="3" customWidth="1"/>
    <col min="9" max="10" width="24.28515625" style="3" customWidth="1"/>
    <col min="11" max="12" width="22.42578125" style="3" customWidth="1"/>
    <col min="13" max="13" width="1.85546875" style="3" customWidth="1"/>
    <col min="14" max="16" width="12.85546875" style="3" customWidth="1"/>
    <col min="17" max="17" width="6.5703125" style="3" customWidth="1"/>
    <col min="18" max="18" width="6.28515625" style="3" customWidth="1"/>
    <col min="19" max="184" width="11" style="3"/>
    <col min="185" max="185" width="0.7109375" style="3" customWidth="1"/>
    <col min="186" max="186" width="6.5703125" style="3" customWidth="1"/>
    <col min="187" max="187" width="13.5703125" style="3" customWidth="1"/>
    <col min="188" max="188" width="13.42578125" style="3" customWidth="1"/>
    <col min="189" max="190" width="12.5703125" style="3" customWidth="1"/>
    <col min="191" max="191" width="14.85546875" style="3" customWidth="1"/>
    <col min="192" max="192" width="20.7109375" style="3" customWidth="1"/>
    <col min="193" max="193" width="12.5703125" style="3" customWidth="1"/>
    <col min="194" max="194" width="13" style="3" customWidth="1"/>
    <col min="195" max="195" width="16" style="3" customWidth="1"/>
    <col min="196" max="196" width="6.42578125" style="3" customWidth="1"/>
    <col min="197" max="197" width="16" style="3" customWidth="1"/>
    <col min="198" max="198" width="2.85546875" style="3" customWidth="1"/>
    <col min="199" max="199" width="0.85546875" style="3" customWidth="1"/>
    <col min="200" max="200" width="11" style="3"/>
    <col min="201" max="201" width="15.42578125" style="3" customWidth="1"/>
    <col min="202" max="204" width="14.85546875" style="3" customWidth="1"/>
    <col min="205" max="205" width="0.7109375" style="3" customWidth="1"/>
    <col min="206" max="206" width="11" style="3"/>
    <col min="207" max="207" width="15.7109375" style="3" customWidth="1"/>
    <col min="208" max="209" width="14.85546875" style="3" customWidth="1"/>
    <col min="210" max="210" width="3.28515625" style="3" customWidth="1"/>
    <col min="211" max="211" width="20.140625" style="3" customWidth="1"/>
    <col min="212" max="212" width="3.28515625" style="3" customWidth="1"/>
    <col min="213" max="217" width="11" style="3"/>
    <col min="218" max="230" width="4.7109375" style="3" customWidth="1"/>
    <col min="231" max="440" width="11" style="3"/>
    <col min="441" max="441" width="0.7109375" style="3" customWidth="1"/>
    <col min="442" max="442" width="6.5703125" style="3" customWidth="1"/>
    <col min="443" max="443" width="13.5703125" style="3" customWidth="1"/>
    <col min="444" max="444" width="13.42578125" style="3" customWidth="1"/>
    <col min="445" max="446" width="12.5703125" style="3" customWidth="1"/>
    <col min="447" max="447" width="14.85546875" style="3" customWidth="1"/>
    <col min="448" max="448" width="20.7109375" style="3" customWidth="1"/>
    <col min="449" max="449" width="12.5703125" style="3" customWidth="1"/>
    <col min="450" max="450" width="13" style="3" customWidth="1"/>
    <col min="451" max="451" width="16" style="3" customWidth="1"/>
    <col min="452" max="452" width="6.42578125" style="3" customWidth="1"/>
    <col min="453" max="453" width="16" style="3" customWidth="1"/>
    <col min="454" max="454" width="2.85546875" style="3" customWidth="1"/>
    <col min="455" max="455" width="0.85546875" style="3" customWidth="1"/>
    <col min="456" max="456" width="11" style="3"/>
    <col min="457" max="457" width="15.42578125" style="3" customWidth="1"/>
    <col min="458" max="460" width="14.85546875" style="3" customWidth="1"/>
    <col min="461" max="461" width="0.7109375" style="3" customWidth="1"/>
    <col min="462" max="462" width="11" style="3"/>
    <col min="463" max="463" width="15.7109375" style="3" customWidth="1"/>
    <col min="464" max="465" width="14.85546875" style="3" customWidth="1"/>
    <col min="466" max="466" width="3.28515625" style="3" customWidth="1"/>
    <col min="467" max="467" width="20.140625" style="3" customWidth="1"/>
    <col min="468" max="468" width="3.28515625" style="3" customWidth="1"/>
    <col min="469" max="473" width="11" style="3"/>
    <col min="474" max="486" width="4.7109375" style="3" customWidth="1"/>
    <col min="487" max="696" width="11" style="3"/>
    <col min="697" max="697" width="0.7109375" style="3" customWidth="1"/>
    <col min="698" max="698" width="6.5703125" style="3" customWidth="1"/>
    <col min="699" max="699" width="13.5703125" style="3" customWidth="1"/>
    <col min="700" max="700" width="13.42578125" style="3" customWidth="1"/>
    <col min="701" max="702" width="12.5703125" style="3" customWidth="1"/>
    <col min="703" max="703" width="14.85546875" style="3" customWidth="1"/>
    <col min="704" max="704" width="20.7109375" style="3" customWidth="1"/>
    <col min="705" max="705" width="12.5703125" style="3" customWidth="1"/>
    <col min="706" max="706" width="13" style="3" customWidth="1"/>
    <col min="707" max="707" width="16" style="3" customWidth="1"/>
    <col min="708" max="708" width="6.42578125" style="3" customWidth="1"/>
    <col min="709" max="709" width="16" style="3" customWidth="1"/>
    <col min="710" max="710" width="2.85546875" style="3" customWidth="1"/>
    <col min="711" max="711" width="0.85546875" style="3" customWidth="1"/>
    <col min="712" max="712" width="11" style="3"/>
    <col min="713" max="713" width="15.42578125" style="3" customWidth="1"/>
    <col min="714" max="716" width="14.85546875" style="3" customWidth="1"/>
    <col min="717" max="717" width="0.7109375" style="3" customWidth="1"/>
    <col min="718" max="718" width="11" style="3"/>
    <col min="719" max="719" width="15.7109375" style="3" customWidth="1"/>
    <col min="720" max="721" width="14.85546875" style="3" customWidth="1"/>
    <col min="722" max="722" width="3.28515625" style="3" customWidth="1"/>
    <col min="723" max="723" width="20.140625" style="3" customWidth="1"/>
    <col min="724" max="724" width="3.28515625" style="3" customWidth="1"/>
    <col min="725" max="729" width="11" style="3"/>
    <col min="730" max="742" width="4.7109375" style="3" customWidth="1"/>
    <col min="743" max="952" width="11" style="3"/>
    <col min="953" max="953" width="0.7109375" style="3" customWidth="1"/>
    <col min="954" max="954" width="6.5703125" style="3" customWidth="1"/>
    <col min="955" max="955" width="13.5703125" style="3" customWidth="1"/>
    <col min="956" max="956" width="13.42578125" style="3" customWidth="1"/>
    <col min="957" max="958" width="12.5703125" style="3" customWidth="1"/>
    <col min="959" max="959" width="14.85546875" style="3" customWidth="1"/>
    <col min="960" max="960" width="20.7109375" style="3" customWidth="1"/>
    <col min="961" max="961" width="12.5703125" style="3" customWidth="1"/>
    <col min="962" max="962" width="13" style="3" customWidth="1"/>
    <col min="963" max="963" width="16" style="3" customWidth="1"/>
    <col min="964" max="964" width="6.42578125" style="3" customWidth="1"/>
    <col min="965" max="965" width="16" style="3" customWidth="1"/>
    <col min="966" max="966" width="2.85546875" style="3" customWidth="1"/>
    <col min="967" max="967" width="0.85546875" style="3" customWidth="1"/>
    <col min="968" max="968" width="11" style="3"/>
    <col min="969" max="969" width="15.42578125" style="3" customWidth="1"/>
    <col min="970" max="972" width="14.85546875" style="3" customWidth="1"/>
    <col min="973" max="973" width="0.7109375" style="3" customWidth="1"/>
    <col min="974" max="974" width="11" style="3"/>
    <col min="975" max="975" width="15.7109375" style="3" customWidth="1"/>
    <col min="976" max="977" width="14.85546875" style="3" customWidth="1"/>
    <col min="978" max="978" width="3.28515625" style="3" customWidth="1"/>
    <col min="979" max="979" width="20.140625" style="3" customWidth="1"/>
    <col min="980" max="980" width="3.28515625" style="3" customWidth="1"/>
    <col min="981" max="985" width="11" style="3"/>
    <col min="986" max="998" width="4.7109375" style="3" customWidth="1"/>
    <col min="999" max="1208" width="11" style="3"/>
    <col min="1209" max="1209" width="0.7109375" style="3" customWidth="1"/>
    <col min="1210" max="1210" width="6.5703125" style="3" customWidth="1"/>
    <col min="1211" max="1211" width="13.5703125" style="3" customWidth="1"/>
    <col min="1212" max="1212" width="13.42578125" style="3" customWidth="1"/>
    <col min="1213" max="1214" width="12.5703125" style="3" customWidth="1"/>
    <col min="1215" max="1215" width="14.85546875" style="3" customWidth="1"/>
    <col min="1216" max="1216" width="20.7109375" style="3" customWidth="1"/>
    <col min="1217" max="1217" width="12.5703125" style="3" customWidth="1"/>
    <col min="1218" max="1218" width="13" style="3" customWidth="1"/>
    <col min="1219" max="1219" width="16" style="3" customWidth="1"/>
    <col min="1220" max="1220" width="6.42578125" style="3" customWidth="1"/>
    <col min="1221" max="1221" width="16" style="3" customWidth="1"/>
    <col min="1222" max="1222" width="2.85546875" style="3" customWidth="1"/>
    <col min="1223" max="1223" width="0.85546875" style="3" customWidth="1"/>
    <col min="1224" max="1224" width="11" style="3"/>
    <col min="1225" max="1225" width="15.42578125" style="3" customWidth="1"/>
    <col min="1226" max="1228" width="14.85546875" style="3" customWidth="1"/>
    <col min="1229" max="1229" width="0.7109375" style="3" customWidth="1"/>
    <col min="1230" max="1230" width="11" style="3"/>
    <col min="1231" max="1231" width="15.7109375" style="3" customWidth="1"/>
    <col min="1232" max="1233" width="14.85546875" style="3" customWidth="1"/>
    <col min="1234" max="1234" width="3.28515625" style="3" customWidth="1"/>
    <col min="1235" max="1235" width="20.140625" style="3" customWidth="1"/>
    <col min="1236" max="1236" width="3.28515625" style="3" customWidth="1"/>
    <col min="1237" max="1241" width="11" style="3"/>
    <col min="1242" max="1254" width="4.7109375" style="3" customWidth="1"/>
    <col min="1255" max="1464" width="11" style="3"/>
    <col min="1465" max="1465" width="0.7109375" style="3" customWidth="1"/>
    <col min="1466" max="1466" width="6.5703125" style="3" customWidth="1"/>
    <col min="1467" max="1467" width="13.5703125" style="3" customWidth="1"/>
    <col min="1468" max="1468" width="13.42578125" style="3" customWidth="1"/>
    <col min="1469" max="1470" width="12.5703125" style="3" customWidth="1"/>
    <col min="1471" max="1471" width="14.85546875" style="3" customWidth="1"/>
    <col min="1472" max="1472" width="20.7109375" style="3" customWidth="1"/>
    <col min="1473" max="1473" width="12.5703125" style="3" customWidth="1"/>
    <col min="1474" max="1474" width="13" style="3" customWidth="1"/>
    <col min="1475" max="1475" width="16" style="3" customWidth="1"/>
    <col min="1476" max="1476" width="6.42578125" style="3" customWidth="1"/>
    <col min="1477" max="1477" width="16" style="3" customWidth="1"/>
    <col min="1478" max="1478" width="2.85546875" style="3" customWidth="1"/>
    <col min="1479" max="1479" width="0.85546875" style="3" customWidth="1"/>
    <col min="1480" max="1480" width="11" style="3"/>
    <col min="1481" max="1481" width="15.42578125" style="3" customWidth="1"/>
    <col min="1482" max="1484" width="14.85546875" style="3" customWidth="1"/>
    <col min="1485" max="1485" width="0.7109375" style="3" customWidth="1"/>
    <col min="1486" max="1486" width="11" style="3"/>
    <col min="1487" max="1487" width="15.7109375" style="3" customWidth="1"/>
    <col min="1488" max="1489" width="14.85546875" style="3" customWidth="1"/>
    <col min="1490" max="1490" width="3.28515625" style="3" customWidth="1"/>
    <col min="1491" max="1491" width="20.140625" style="3" customWidth="1"/>
    <col min="1492" max="1492" width="3.28515625" style="3" customWidth="1"/>
    <col min="1493" max="1497" width="11" style="3"/>
    <col min="1498" max="1510" width="4.7109375" style="3" customWidth="1"/>
    <col min="1511" max="1720" width="11" style="3"/>
    <col min="1721" max="1721" width="0.7109375" style="3" customWidth="1"/>
    <col min="1722" max="1722" width="6.5703125" style="3" customWidth="1"/>
    <col min="1723" max="1723" width="13.5703125" style="3" customWidth="1"/>
    <col min="1724" max="1724" width="13.42578125" style="3" customWidth="1"/>
    <col min="1725" max="1726" width="12.5703125" style="3" customWidth="1"/>
    <col min="1727" max="1727" width="14.85546875" style="3" customWidth="1"/>
    <col min="1728" max="1728" width="20.7109375" style="3" customWidth="1"/>
    <col min="1729" max="1729" width="12.5703125" style="3" customWidth="1"/>
    <col min="1730" max="1730" width="13" style="3" customWidth="1"/>
    <col min="1731" max="1731" width="16" style="3" customWidth="1"/>
    <col min="1732" max="1732" width="6.42578125" style="3" customWidth="1"/>
    <col min="1733" max="1733" width="16" style="3" customWidth="1"/>
    <col min="1734" max="1734" width="2.85546875" style="3" customWidth="1"/>
    <col min="1735" max="1735" width="0.85546875" style="3" customWidth="1"/>
    <col min="1736" max="1736" width="11" style="3"/>
    <col min="1737" max="1737" width="15.42578125" style="3" customWidth="1"/>
    <col min="1738" max="1740" width="14.85546875" style="3" customWidth="1"/>
    <col min="1741" max="1741" width="0.7109375" style="3" customWidth="1"/>
    <col min="1742" max="1742" width="11" style="3"/>
    <col min="1743" max="1743" width="15.7109375" style="3" customWidth="1"/>
    <col min="1744" max="1745" width="14.85546875" style="3" customWidth="1"/>
    <col min="1746" max="1746" width="3.28515625" style="3" customWidth="1"/>
    <col min="1747" max="1747" width="20.140625" style="3" customWidth="1"/>
    <col min="1748" max="1748" width="3.28515625" style="3" customWidth="1"/>
    <col min="1749" max="1753" width="11" style="3"/>
    <col min="1754" max="1766" width="4.7109375" style="3" customWidth="1"/>
    <col min="1767" max="1976" width="11" style="3"/>
    <col min="1977" max="1977" width="0.7109375" style="3" customWidth="1"/>
    <col min="1978" max="1978" width="6.5703125" style="3" customWidth="1"/>
    <col min="1979" max="1979" width="13.5703125" style="3" customWidth="1"/>
    <col min="1980" max="1980" width="13.42578125" style="3" customWidth="1"/>
    <col min="1981" max="1982" width="12.5703125" style="3" customWidth="1"/>
    <col min="1983" max="1983" width="14.85546875" style="3" customWidth="1"/>
    <col min="1984" max="1984" width="20.7109375" style="3" customWidth="1"/>
    <col min="1985" max="1985" width="12.5703125" style="3" customWidth="1"/>
    <col min="1986" max="1986" width="13" style="3" customWidth="1"/>
    <col min="1987" max="1987" width="16" style="3" customWidth="1"/>
    <col min="1988" max="1988" width="6.42578125" style="3" customWidth="1"/>
    <col min="1989" max="1989" width="16" style="3" customWidth="1"/>
    <col min="1990" max="1990" width="2.85546875" style="3" customWidth="1"/>
    <col min="1991" max="1991" width="0.85546875" style="3" customWidth="1"/>
    <col min="1992" max="1992" width="11" style="3"/>
    <col min="1993" max="1993" width="15.42578125" style="3" customWidth="1"/>
    <col min="1994" max="1996" width="14.85546875" style="3" customWidth="1"/>
    <col min="1997" max="1997" width="0.7109375" style="3" customWidth="1"/>
    <col min="1998" max="1998" width="11" style="3"/>
    <col min="1999" max="1999" width="15.7109375" style="3" customWidth="1"/>
    <col min="2000" max="2001" width="14.85546875" style="3" customWidth="1"/>
    <col min="2002" max="2002" width="3.28515625" style="3" customWidth="1"/>
    <col min="2003" max="2003" width="20.140625" style="3" customWidth="1"/>
    <col min="2004" max="2004" width="3.28515625" style="3" customWidth="1"/>
    <col min="2005" max="2009" width="11" style="3"/>
    <col min="2010" max="2022" width="4.7109375" style="3" customWidth="1"/>
    <col min="2023" max="2232" width="11" style="3"/>
    <col min="2233" max="2233" width="0.7109375" style="3" customWidth="1"/>
    <col min="2234" max="2234" width="6.5703125" style="3" customWidth="1"/>
    <col min="2235" max="2235" width="13.5703125" style="3" customWidth="1"/>
    <col min="2236" max="2236" width="13.42578125" style="3" customWidth="1"/>
    <col min="2237" max="2238" width="12.5703125" style="3" customWidth="1"/>
    <col min="2239" max="2239" width="14.85546875" style="3" customWidth="1"/>
    <col min="2240" max="2240" width="20.7109375" style="3" customWidth="1"/>
    <col min="2241" max="2241" width="12.5703125" style="3" customWidth="1"/>
    <col min="2242" max="2242" width="13" style="3" customWidth="1"/>
    <col min="2243" max="2243" width="16" style="3" customWidth="1"/>
    <col min="2244" max="2244" width="6.42578125" style="3" customWidth="1"/>
    <col min="2245" max="2245" width="16" style="3" customWidth="1"/>
    <col min="2246" max="2246" width="2.85546875" style="3" customWidth="1"/>
    <col min="2247" max="2247" width="0.85546875" style="3" customWidth="1"/>
    <col min="2248" max="2248" width="11" style="3"/>
    <col min="2249" max="2249" width="15.42578125" style="3" customWidth="1"/>
    <col min="2250" max="2252" width="14.85546875" style="3" customWidth="1"/>
    <col min="2253" max="2253" width="0.7109375" style="3" customWidth="1"/>
    <col min="2254" max="2254" width="11" style="3"/>
    <col min="2255" max="2255" width="15.7109375" style="3" customWidth="1"/>
    <col min="2256" max="2257" width="14.85546875" style="3" customWidth="1"/>
    <col min="2258" max="2258" width="3.28515625" style="3" customWidth="1"/>
    <col min="2259" max="2259" width="20.140625" style="3" customWidth="1"/>
    <col min="2260" max="2260" width="3.28515625" style="3" customWidth="1"/>
    <col min="2261" max="2265" width="11" style="3"/>
    <col min="2266" max="2278" width="4.7109375" style="3" customWidth="1"/>
    <col min="2279" max="2488" width="11" style="3"/>
    <col min="2489" max="2489" width="0.7109375" style="3" customWidth="1"/>
    <col min="2490" max="2490" width="6.5703125" style="3" customWidth="1"/>
    <col min="2491" max="2491" width="13.5703125" style="3" customWidth="1"/>
    <col min="2492" max="2492" width="13.42578125" style="3" customWidth="1"/>
    <col min="2493" max="2494" width="12.5703125" style="3" customWidth="1"/>
    <col min="2495" max="2495" width="14.85546875" style="3" customWidth="1"/>
    <col min="2496" max="2496" width="20.7109375" style="3" customWidth="1"/>
    <col min="2497" max="2497" width="12.5703125" style="3" customWidth="1"/>
    <col min="2498" max="2498" width="13" style="3" customWidth="1"/>
    <col min="2499" max="2499" width="16" style="3" customWidth="1"/>
    <col min="2500" max="2500" width="6.42578125" style="3" customWidth="1"/>
    <col min="2501" max="2501" width="16" style="3" customWidth="1"/>
    <col min="2502" max="2502" width="2.85546875" style="3" customWidth="1"/>
    <col min="2503" max="2503" width="0.85546875" style="3" customWidth="1"/>
    <col min="2504" max="2504" width="11" style="3"/>
    <col min="2505" max="2505" width="15.42578125" style="3" customWidth="1"/>
    <col min="2506" max="2508" width="14.85546875" style="3" customWidth="1"/>
    <col min="2509" max="2509" width="0.7109375" style="3" customWidth="1"/>
    <col min="2510" max="2510" width="11" style="3"/>
    <col min="2511" max="2511" width="15.7109375" style="3" customWidth="1"/>
    <col min="2512" max="2513" width="14.85546875" style="3" customWidth="1"/>
    <col min="2514" max="2514" width="3.28515625" style="3" customWidth="1"/>
    <col min="2515" max="2515" width="20.140625" style="3" customWidth="1"/>
    <col min="2516" max="2516" width="3.28515625" style="3" customWidth="1"/>
    <col min="2517" max="2521" width="11" style="3"/>
    <col min="2522" max="2534" width="4.7109375" style="3" customWidth="1"/>
    <col min="2535" max="2744" width="11" style="3"/>
    <col min="2745" max="2745" width="0.7109375" style="3" customWidth="1"/>
    <col min="2746" max="2746" width="6.5703125" style="3" customWidth="1"/>
    <col min="2747" max="2747" width="13.5703125" style="3" customWidth="1"/>
    <col min="2748" max="2748" width="13.42578125" style="3" customWidth="1"/>
    <col min="2749" max="2750" width="12.5703125" style="3" customWidth="1"/>
    <col min="2751" max="2751" width="14.85546875" style="3" customWidth="1"/>
    <col min="2752" max="2752" width="20.7109375" style="3" customWidth="1"/>
    <col min="2753" max="2753" width="12.5703125" style="3" customWidth="1"/>
    <col min="2754" max="2754" width="13" style="3" customWidth="1"/>
    <col min="2755" max="2755" width="16" style="3" customWidth="1"/>
    <col min="2756" max="2756" width="6.42578125" style="3" customWidth="1"/>
    <col min="2757" max="2757" width="16" style="3" customWidth="1"/>
    <col min="2758" max="2758" width="2.85546875" style="3" customWidth="1"/>
    <col min="2759" max="2759" width="0.85546875" style="3" customWidth="1"/>
    <col min="2760" max="2760" width="11" style="3"/>
    <col min="2761" max="2761" width="15.42578125" style="3" customWidth="1"/>
    <col min="2762" max="2764" width="14.85546875" style="3" customWidth="1"/>
    <col min="2765" max="2765" width="0.7109375" style="3" customWidth="1"/>
    <col min="2766" max="2766" width="11" style="3"/>
    <col min="2767" max="2767" width="15.7109375" style="3" customWidth="1"/>
    <col min="2768" max="2769" width="14.85546875" style="3" customWidth="1"/>
    <col min="2770" max="2770" width="3.28515625" style="3" customWidth="1"/>
    <col min="2771" max="2771" width="20.140625" style="3" customWidth="1"/>
    <col min="2772" max="2772" width="3.28515625" style="3" customWidth="1"/>
    <col min="2773" max="2777" width="11" style="3"/>
    <col min="2778" max="2790" width="4.7109375" style="3" customWidth="1"/>
    <col min="2791" max="3000" width="11" style="3"/>
    <col min="3001" max="3001" width="0.7109375" style="3" customWidth="1"/>
    <col min="3002" max="3002" width="6.5703125" style="3" customWidth="1"/>
    <col min="3003" max="3003" width="13.5703125" style="3" customWidth="1"/>
    <col min="3004" max="3004" width="13.42578125" style="3" customWidth="1"/>
    <col min="3005" max="3006" width="12.5703125" style="3" customWidth="1"/>
    <col min="3007" max="3007" width="14.85546875" style="3" customWidth="1"/>
    <col min="3008" max="3008" width="20.7109375" style="3" customWidth="1"/>
    <col min="3009" max="3009" width="12.5703125" style="3" customWidth="1"/>
    <col min="3010" max="3010" width="13" style="3" customWidth="1"/>
    <col min="3011" max="3011" width="16" style="3" customWidth="1"/>
    <col min="3012" max="3012" width="6.42578125" style="3" customWidth="1"/>
    <col min="3013" max="3013" width="16" style="3" customWidth="1"/>
    <col min="3014" max="3014" width="2.85546875" style="3" customWidth="1"/>
    <col min="3015" max="3015" width="0.85546875" style="3" customWidth="1"/>
    <col min="3016" max="3016" width="11" style="3"/>
    <col min="3017" max="3017" width="15.42578125" style="3" customWidth="1"/>
    <col min="3018" max="3020" width="14.85546875" style="3" customWidth="1"/>
    <col min="3021" max="3021" width="0.7109375" style="3" customWidth="1"/>
    <col min="3022" max="3022" width="11" style="3"/>
    <col min="3023" max="3023" width="15.7109375" style="3" customWidth="1"/>
    <col min="3024" max="3025" width="14.85546875" style="3" customWidth="1"/>
    <col min="3026" max="3026" width="3.28515625" style="3" customWidth="1"/>
    <col min="3027" max="3027" width="20.140625" style="3" customWidth="1"/>
    <col min="3028" max="3028" width="3.28515625" style="3" customWidth="1"/>
    <col min="3029" max="3033" width="11" style="3"/>
    <col min="3034" max="3046" width="4.7109375" style="3" customWidth="1"/>
    <col min="3047" max="3256" width="11" style="3"/>
    <col min="3257" max="3257" width="0.7109375" style="3" customWidth="1"/>
    <col min="3258" max="3258" width="6.5703125" style="3" customWidth="1"/>
    <col min="3259" max="3259" width="13.5703125" style="3" customWidth="1"/>
    <col min="3260" max="3260" width="13.42578125" style="3" customWidth="1"/>
    <col min="3261" max="3262" width="12.5703125" style="3" customWidth="1"/>
    <col min="3263" max="3263" width="14.85546875" style="3" customWidth="1"/>
    <col min="3264" max="3264" width="20.7109375" style="3" customWidth="1"/>
    <col min="3265" max="3265" width="12.5703125" style="3" customWidth="1"/>
    <col min="3266" max="3266" width="13" style="3" customWidth="1"/>
    <col min="3267" max="3267" width="16" style="3" customWidth="1"/>
    <col min="3268" max="3268" width="6.42578125" style="3" customWidth="1"/>
    <col min="3269" max="3269" width="16" style="3" customWidth="1"/>
    <col min="3270" max="3270" width="2.85546875" style="3" customWidth="1"/>
    <col min="3271" max="3271" width="0.85546875" style="3" customWidth="1"/>
    <col min="3272" max="3272" width="11" style="3"/>
    <col min="3273" max="3273" width="15.42578125" style="3" customWidth="1"/>
    <col min="3274" max="3276" width="14.85546875" style="3" customWidth="1"/>
    <col min="3277" max="3277" width="0.7109375" style="3" customWidth="1"/>
    <col min="3278" max="3278" width="11" style="3"/>
    <col min="3279" max="3279" width="15.7109375" style="3" customWidth="1"/>
    <col min="3280" max="3281" width="14.85546875" style="3" customWidth="1"/>
    <col min="3282" max="3282" width="3.28515625" style="3" customWidth="1"/>
    <col min="3283" max="3283" width="20.140625" style="3" customWidth="1"/>
    <col min="3284" max="3284" width="3.28515625" style="3" customWidth="1"/>
    <col min="3285" max="3289" width="11" style="3"/>
    <col min="3290" max="3302" width="4.7109375" style="3" customWidth="1"/>
    <col min="3303" max="3512" width="11" style="3"/>
    <col min="3513" max="3513" width="0.7109375" style="3" customWidth="1"/>
    <col min="3514" max="3514" width="6.5703125" style="3" customWidth="1"/>
    <col min="3515" max="3515" width="13.5703125" style="3" customWidth="1"/>
    <col min="3516" max="3516" width="13.42578125" style="3" customWidth="1"/>
    <col min="3517" max="3518" width="12.5703125" style="3" customWidth="1"/>
    <col min="3519" max="3519" width="14.85546875" style="3" customWidth="1"/>
    <col min="3520" max="3520" width="20.7109375" style="3" customWidth="1"/>
    <col min="3521" max="3521" width="12.5703125" style="3" customWidth="1"/>
    <col min="3522" max="3522" width="13" style="3" customWidth="1"/>
    <col min="3523" max="3523" width="16" style="3" customWidth="1"/>
    <col min="3524" max="3524" width="6.42578125" style="3" customWidth="1"/>
    <col min="3525" max="3525" width="16" style="3" customWidth="1"/>
    <col min="3526" max="3526" width="2.85546875" style="3" customWidth="1"/>
    <col min="3527" max="3527" width="0.85546875" style="3" customWidth="1"/>
    <col min="3528" max="3528" width="11" style="3"/>
    <col min="3529" max="3529" width="15.42578125" style="3" customWidth="1"/>
    <col min="3530" max="3532" width="14.85546875" style="3" customWidth="1"/>
    <col min="3533" max="3533" width="0.7109375" style="3" customWidth="1"/>
    <col min="3534" max="3534" width="11" style="3"/>
    <col min="3535" max="3535" width="15.7109375" style="3" customWidth="1"/>
    <col min="3536" max="3537" width="14.85546875" style="3" customWidth="1"/>
    <col min="3538" max="3538" width="3.28515625" style="3" customWidth="1"/>
    <col min="3539" max="3539" width="20.140625" style="3" customWidth="1"/>
    <col min="3540" max="3540" width="3.28515625" style="3" customWidth="1"/>
    <col min="3541" max="3545" width="11" style="3"/>
    <col min="3546" max="3558" width="4.7109375" style="3" customWidth="1"/>
    <col min="3559" max="3768" width="11" style="3"/>
    <col min="3769" max="3769" width="0.7109375" style="3" customWidth="1"/>
    <col min="3770" max="3770" width="6.5703125" style="3" customWidth="1"/>
    <col min="3771" max="3771" width="13.5703125" style="3" customWidth="1"/>
    <col min="3772" max="3772" width="13.42578125" style="3" customWidth="1"/>
    <col min="3773" max="3774" width="12.5703125" style="3" customWidth="1"/>
    <col min="3775" max="3775" width="14.85546875" style="3" customWidth="1"/>
    <col min="3776" max="3776" width="20.7109375" style="3" customWidth="1"/>
    <col min="3777" max="3777" width="12.5703125" style="3" customWidth="1"/>
    <col min="3778" max="3778" width="13" style="3" customWidth="1"/>
    <col min="3779" max="3779" width="16" style="3" customWidth="1"/>
    <col min="3780" max="3780" width="6.42578125" style="3" customWidth="1"/>
    <col min="3781" max="3781" width="16" style="3" customWidth="1"/>
    <col min="3782" max="3782" width="2.85546875" style="3" customWidth="1"/>
    <col min="3783" max="3783" width="0.85546875" style="3" customWidth="1"/>
    <col min="3784" max="3784" width="11" style="3"/>
    <col min="3785" max="3785" width="15.42578125" style="3" customWidth="1"/>
    <col min="3786" max="3788" width="14.85546875" style="3" customWidth="1"/>
    <col min="3789" max="3789" width="0.7109375" style="3" customWidth="1"/>
    <col min="3790" max="3790" width="11" style="3"/>
    <col min="3791" max="3791" width="15.7109375" style="3" customWidth="1"/>
    <col min="3792" max="3793" width="14.85546875" style="3" customWidth="1"/>
    <col min="3794" max="3794" width="3.28515625" style="3" customWidth="1"/>
    <col min="3795" max="3795" width="20.140625" style="3" customWidth="1"/>
    <col min="3796" max="3796" width="3.28515625" style="3" customWidth="1"/>
    <col min="3797" max="3801" width="11" style="3"/>
    <col min="3802" max="3814" width="4.7109375" style="3" customWidth="1"/>
    <col min="3815" max="4024" width="11" style="3"/>
    <col min="4025" max="4025" width="0.7109375" style="3" customWidth="1"/>
    <col min="4026" max="4026" width="6.5703125" style="3" customWidth="1"/>
    <col min="4027" max="4027" width="13.5703125" style="3" customWidth="1"/>
    <col min="4028" max="4028" width="13.42578125" style="3" customWidth="1"/>
    <col min="4029" max="4030" width="12.5703125" style="3" customWidth="1"/>
    <col min="4031" max="4031" width="14.85546875" style="3" customWidth="1"/>
    <col min="4032" max="4032" width="20.7109375" style="3" customWidth="1"/>
    <col min="4033" max="4033" width="12.5703125" style="3" customWidth="1"/>
    <col min="4034" max="4034" width="13" style="3" customWidth="1"/>
    <col min="4035" max="4035" width="16" style="3" customWidth="1"/>
    <col min="4036" max="4036" width="6.42578125" style="3" customWidth="1"/>
    <col min="4037" max="4037" width="16" style="3" customWidth="1"/>
    <col min="4038" max="4038" width="2.85546875" style="3" customWidth="1"/>
    <col min="4039" max="4039" width="0.85546875" style="3" customWidth="1"/>
    <col min="4040" max="4040" width="11" style="3"/>
    <col min="4041" max="4041" width="15.42578125" style="3" customWidth="1"/>
    <col min="4042" max="4044" width="14.85546875" style="3" customWidth="1"/>
    <col min="4045" max="4045" width="0.7109375" style="3" customWidth="1"/>
    <col min="4046" max="4046" width="11" style="3"/>
    <col min="4047" max="4047" width="15.7109375" style="3" customWidth="1"/>
    <col min="4048" max="4049" width="14.85546875" style="3" customWidth="1"/>
    <col min="4050" max="4050" width="3.28515625" style="3" customWidth="1"/>
    <col min="4051" max="4051" width="20.140625" style="3" customWidth="1"/>
    <col min="4052" max="4052" width="3.28515625" style="3" customWidth="1"/>
    <col min="4053" max="4057" width="11" style="3"/>
    <col min="4058" max="4070" width="4.7109375" style="3" customWidth="1"/>
    <col min="4071" max="4280" width="11" style="3"/>
    <col min="4281" max="4281" width="0.7109375" style="3" customWidth="1"/>
    <col min="4282" max="4282" width="6.5703125" style="3" customWidth="1"/>
    <col min="4283" max="4283" width="13.5703125" style="3" customWidth="1"/>
    <col min="4284" max="4284" width="13.42578125" style="3" customWidth="1"/>
    <col min="4285" max="4286" width="12.5703125" style="3" customWidth="1"/>
    <col min="4287" max="4287" width="14.85546875" style="3" customWidth="1"/>
    <col min="4288" max="4288" width="20.7109375" style="3" customWidth="1"/>
    <col min="4289" max="4289" width="12.5703125" style="3" customWidth="1"/>
    <col min="4290" max="4290" width="13" style="3" customWidth="1"/>
    <col min="4291" max="4291" width="16" style="3" customWidth="1"/>
    <col min="4292" max="4292" width="6.42578125" style="3" customWidth="1"/>
    <col min="4293" max="4293" width="16" style="3" customWidth="1"/>
    <col min="4294" max="4294" width="2.85546875" style="3" customWidth="1"/>
    <col min="4295" max="4295" width="0.85546875" style="3" customWidth="1"/>
    <col min="4296" max="4296" width="11" style="3"/>
    <col min="4297" max="4297" width="15.42578125" style="3" customWidth="1"/>
    <col min="4298" max="4300" width="14.85546875" style="3" customWidth="1"/>
    <col min="4301" max="4301" width="0.7109375" style="3" customWidth="1"/>
    <col min="4302" max="4302" width="11" style="3"/>
    <col min="4303" max="4303" width="15.7109375" style="3" customWidth="1"/>
    <col min="4304" max="4305" width="14.85546875" style="3" customWidth="1"/>
    <col min="4306" max="4306" width="3.28515625" style="3" customWidth="1"/>
    <col min="4307" max="4307" width="20.140625" style="3" customWidth="1"/>
    <col min="4308" max="4308" width="3.28515625" style="3" customWidth="1"/>
    <col min="4309" max="4313" width="11" style="3"/>
    <col min="4314" max="4326" width="4.7109375" style="3" customWidth="1"/>
    <col min="4327" max="4536" width="11" style="3"/>
    <col min="4537" max="4537" width="0.7109375" style="3" customWidth="1"/>
    <col min="4538" max="4538" width="6.5703125" style="3" customWidth="1"/>
    <col min="4539" max="4539" width="13.5703125" style="3" customWidth="1"/>
    <col min="4540" max="4540" width="13.42578125" style="3" customWidth="1"/>
    <col min="4541" max="4542" width="12.5703125" style="3" customWidth="1"/>
    <col min="4543" max="4543" width="14.85546875" style="3" customWidth="1"/>
    <col min="4544" max="4544" width="20.7109375" style="3" customWidth="1"/>
    <col min="4545" max="4545" width="12.5703125" style="3" customWidth="1"/>
    <col min="4546" max="4546" width="13" style="3" customWidth="1"/>
    <col min="4547" max="4547" width="16" style="3" customWidth="1"/>
    <col min="4548" max="4548" width="6.42578125" style="3" customWidth="1"/>
    <col min="4549" max="4549" width="16" style="3" customWidth="1"/>
    <col min="4550" max="4550" width="2.85546875" style="3" customWidth="1"/>
    <col min="4551" max="4551" width="0.85546875" style="3" customWidth="1"/>
    <col min="4552" max="4552" width="11" style="3"/>
    <col min="4553" max="4553" width="15.42578125" style="3" customWidth="1"/>
    <col min="4554" max="4556" width="14.85546875" style="3" customWidth="1"/>
    <col min="4557" max="4557" width="0.7109375" style="3" customWidth="1"/>
    <col min="4558" max="4558" width="11" style="3"/>
    <col min="4559" max="4559" width="15.7109375" style="3" customWidth="1"/>
    <col min="4560" max="4561" width="14.85546875" style="3" customWidth="1"/>
    <col min="4562" max="4562" width="3.28515625" style="3" customWidth="1"/>
    <col min="4563" max="4563" width="20.140625" style="3" customWidth="1"/>
    <col min="4564" max="4564" width="3.28515625" style="3" customWidth="1"/>
    <col min="4565" max="4569" width="11" style="3"/>
    <col min="4570" max="4582" width="4.7109375" style="3" customWidth="1"/>
    <col min="4583" max="4792" width="11" style="3"/>
    <col min="4793" max="4793" width="0.7109375" style="3" customWidth="1"/>
    <col min="4794" max="4794" width="6.5703125" style="3" customWidth="1"/>
    <col min="4795" max="4795" width="13.5703125" style="3" customWidth="1"/>
    <col min="4796" max="4796" width="13.42578125" style="3" customWidth="1"/>
    <col min="4797" max="4798" width="12.5703125" style="3" customWidth="1"/>
    <col min="4799" max="4799" width="14.85546875" style="3" customWidth="1"/>
    <col min="4800" max="4800" width="20.7109375" style="3" customWidth="1"/>
    <col min="4801" max="4801" width="12.5703125" style="3" customWidth="1"/>
    <col min="4802" max="4802" width="13" style="3" customWidth="1"/>
    <col min="4803" max="4803" width="16" style="3" customWidth="1"/>
    <col min="4804" max="4804" width="6.42578125" style="3" customWidth="1"/>
    <col min="4805" max="4805" width="16" style="3" customWidth="1"/>
    <col min="4806" max="4806" width="2.85546875" style="3" customWidth="1"/>
    <col min="4807" max="4807" width="0.85546875" style="3" customWidth="1"/>
    <col min="4808" max="4808" width="11" style="3"/>
    <col min="4809" max="4809" width="15.42578125" style="3" customWidth="1"/>
    <col min="4810" max="4812" width="14.85546875" style="3" customWidth="1"/>
    <col min="4813" max="4813" width="0.7109375" style="3" customWidth="1"/>
    <col min="4814" max="4814" width="11" style="3"/>
    <col min="4815" max="4815" width="15.7109375" style="3" customWidth="1"/>
    <col min="4816" max="4817" width="14.85546875" style="3" customWidth="1"/>
    <col min="4818" max="4818" width="3.28515625" style="3" customWidth="1"/>
    <col min="4819" max="4819" width="20.140625" style="3" customWidth="1"/>
    <col min="4820" max="4820" width="3.28515625" style="3" customWidth="1"/>
    <col min="4821" max="4825" width="11" style="3"/>
    <col min="4826" max="4838" width="4.7109375" style="3" customWidth="1"/>
    <col min="4839" max="5048" width="11" style="3"/>
    <col min="5049" max="5049" width="0.7109375" style="3" customWidth="1"/>
    <col min="5050" max="5050" width="6.5703125" style="3" customWidth="1"/>
    <col min="5051" max="5051" width="13.5703125" style="3" customWidth="1"/>
    <col min="5052" max="5052" width="13.42578125" style="3" customWidth="1"/>
    <col min="5053" max="5054" width="12.5703125" style="3" customWidth="1"/>
    <col min="5055" max="5055" width="14.85546875" style="3" customWidth="1"/>
    <col min="5056" max="5056" width="20.7109375" style="3" customWidth="1"/>
    <col min="5057" max="5057" width="12.5703125" style="3" customWidth="1"/>
    <col min="5058" max="5058" width="13" style="3" customWidth="1"/>
    <col min="5059" max="5059" width="16" style="3" customWidth="1"/>
    <col min="5060" max="5060" width="6.42578125" style="3" customWidth="1"/>
    <col min="5061" max="5061" width="16" style="3" customWidth="1"/>
    <col min="5062" max="5062" width="2.85546875" style="3" customWidth="1"/>
    <col min="5063" max="5063" width="0.85546875" style="3" customWidth="1"/>
    <col min="5064" max="5064" width="11" style="3"/>
    <col min="5065" max="5065" width="15.42578125" style="3" customWidth="1"/>
    <col min="5066" max="5068" width="14.85546875" style="3" customWidth="1"/>
    <col min="5069" max="5069" width="0.7109375" style="3" customWidth="1"/>
    <col min="5070" max="5070" width="11" style="3"/>
    <col min="5071" max="5071" width="15.7109375" style="3" customWidth="1"/>
    <col min="5072" max="5073" width="14.85546875" style="3" customWidth="1"/>
    <col min="5074" max="5074" width="3.28515625" style="3" customWidth="1"/>
    <col min="5075" max="5075" width="20.140625" style="3" customWidth="1"/>
    <col min="5076" max="5076" width="3.28515625" style="3" customWidth="1"/>
    <col min="5077" max="5081" width="11" style="3"/>
    <col min="5082" max="5094" width="4.7109375" style="3" customWidth="1"/>
    <col min="5095" max="5304" width="11" style="3"/>
    <col min="5305" max="5305" width="0.7109375" style="3" customWidth="1"/>
    <col min="5306" max="5306" width="6.5703125" style="3" customWidth="1"/>
    <col min="5307" max="5307" width="13.5703125" style="3" customWidth="1"/>
    <col min="5308" max="5308" width="13.42578125" style="3" customWidth="1"/>
    <col min="5309" max="5310" width="12.5703125" style="3" customWidth="1"/>
    <col min="5311" max="5311" width="14.85546875" style="3" customWidth="1"/>
    <col min="5312" max="5312" width="20.7109375" style="3" customWidth="1"/>
    <col min="5313" max="5313" width="12.5703125" style="3" customWidth="1"/>
    <col min="5314" max="5314" width="13" style="3" customWidth="1"/>
    <col min="5315" max="5315" width="16" style="3" customWidth="1"/>
    <col min="5316" max="5316" width="6.42578125" style="3" customWidth="1"/>
    <col min="5317" max="5317" width="16" style="3" customWidth="1"/>
    <col min="5318" max="5318" width="2.85546875" style="3" customWidth="1"/>
    <col min="5319" max="5319" width="0.85546875" style="3" customWidth="1"/>
    <col min="5320" max="5320" width="11" style="3"/>
    <col min="5321" max="5321" width="15.42578125" style="3" customWidth="1"/>
    <col min="5322" max="5324" width="14.85546875" style="3" customWidth="1"/>
    <col min="5325" max="5325" width="0.7109375" style="3" customWidth="1"/>
    <col min="5326" max="5326" width="11" style="3"/>
    <col min="5327" max="5327" width="15.7109375" style="3" customWidth="1"/>
    <col min="5328" max="5329" width="14.85546875" style="3" customWidth="1"/>
    <col min="5330" max="5330" width="3.28515625" style="3" customWidth="1"/>
    <col min="5331" max="5331" width="20.140625" style="3" customWidth="1"/>
    <col min="5332" max="5332" width="3.28515625" style="3" customWidth="1"/>
    <col min="5333" max="5337" width="11" style="3"/>
    <col min="5338" max="5350" width="4.7109375" style="3" customWidth="1"/>
    <col min="5351" max="5560" width="11" style="3"/>
    <col min="5561" max="5561" width="0.7109375" style="3" customWidth="1"/>
    <col min="5562" max="5562" width="6.5703125" style="3" customWidth="1"/>
    <col min="5563" max="5563" width="13.5703125" style="3" customWidth="1"/>
    <col min="5564" max="5564" width="13.42578125" style="3" customWidth="1"/>
    <col min="5565" max="5566" width="12.5703125" style="3" customWidth="1"/>
    <col min="5567" max="5567" width="14.85546875" style="3" customWidth="1"/>
    <col min="5568" max="5568" width="20.7109375" style="3" customWidth="1"/>
    <col min="5569" max="5569" width="12.5703125" style="3" customWidth="1"/>
    <col min="5570" max="5570" width="13" style="3" customWidth="1"/>
    <col min="5571" max="5571" width="16" style="3" customWidth="1"/>
    <col min="5572" max="5572" width="6.42578125" style="3" customWidth="1"/>
    <col min="5573" max="5573" width="16" style="3" customWidth="1"/>
    <col min="5574" max="5574" width="2.85546875" style="3" customWidth="1"/>
    <col min="5575" max="5575" width="0.85546875" style="3" customWidth="1"/>
    <col min="5576" max="5576" width="11" style="3"/>
    <col min="5577" max="5577" width="15.42578125" style="3" customWidth="1"/>
    <col min="5578" max="5580" width="14.85546875" style="3" customWidth="1"/>
    <col min="5581" max="5581" width="0.7109375" style="3" customWidth="1"/>
    <col min="5582" max="5582" width="11" style="3"/>
    <col min="5583" max="5583" width="15.7109375" style="3" customWidth="1"/>
    <col min="5584" max="5585" width="14.85546875" style="3" customWidth="1"/>
    <col min="5586" max="5586" width="3.28515625" style="3" customWidth="1"/>
    <col min="5587" max="5587" width="20.140625" style="3" customWidth="1"/>
    <col min="5588" max="5588" width="3.28515625" style="3" customWidth="1"/>
    <col min="5589" max="5593" width="11" style="3"/>
    <col min="5594" max="5606" width="4.7109375" style="3" customWidth="1"/>
    <col min="5607" max="5816" width="11" style="3"/>
    <col min="5817" max="5817" width="0.7109375" style="3" customWidth="1"/>
    <col min="5818" max="5818" width="6.5703125" style="3" customWidth="1"/>
    <col min="5819" max="5819" width="13.5703125" style="3" customWidth="1"/>
    <col min="5820" max="5820" width="13.42578125" style="3" customWidth="1"/>
    <col min="5821" max="5822" width="12.5703125" style="3" customWidth="1"/>
    <col min="5823" max="5823" width="14.85546875" style="3" customWidth="1"/>
    <col min="5824" max="5824" width="20.7109375" style="3" customWidth="1"/>
    <col min="5825" max="5825" width="12.5703125" style="3" customWidth="1"/>
    <col min="5826" max="5826" width="13" style="3" customWidth="1"/>
    <col min="5827" max="5827" width="16" style="3" customWidth="1"/>
    <col min="5828" max="5828" width="6.42578125" style="3" customWidth="1"/>
    <col min="5829" max="5829" width="16" style="3" customWidth="1"/>
    <col min="5830" max="5830" width="2.85546875" style="3" customWidth="1"/>
    <col min="5831" max="5831" width="0.85546875" style="3" customWidth="1"/>
    <col min="5832" max="5832" width="11" style="3"/>
    <col min="5833" max="5833" width="15.42578125" style="3" customWidth="1"/>
    <col min="5834" max="5836" width="14.85546875" style="3" customWidth="1"/>
    <col min="5837" max="5837" width="0.7109375" style="3" customWidth="1"/>
    <col min="5838" max="5838" width="11" style="3"/>
    <col min="5839" max="5839" width="15.7109375" style="3" customWidth="1"/>
    <col min="5840" max="5841" width="14.85546875" style="3" customWidth="1"/>
    <col min="5842" max="5842" width="3.28515625" style="3" customWidth="1"/>
    <col min="5843" max="5843" width="20.140625" style="3" customWidth="1"/>
    <col min="5844" max="5844" width="3.28515625" style="3" customWidth="1"/>
    <col min="5845" max="5849" width="11" style="3"/>
    <col min="5850" max="5862" width="4.7109375" style="3" customWidth="1"/>
    <col min="5863" max="6072" width="11" style="3"/>
    <col min="6073" max="6073" width="0.7109375" style="3" customWidth="1"/>
    <col min="6074" max="6074" width="6.5703125" style="3" customWidth="1"/>
    <col min="6075" max="6075" width="13.5703125" style="3" customWidth="1"/>
    <col min="6076" max="6076" width="13.42578125" style="3" customWidth="1"/>
    <col min="6077" max="6078" width="12.5703125" style="3" customWidth="1"/>
    <col min="6079" max="6079" width="14.85546875" style="3" customWidth="1"/>
    <col min="6080" max="6080" width="20.7109375" style="3" customWidth="1"/>
    <col min="6081" max="6081" width="12.5703125" style="3" customWidth="1"/>
    <col min="6082" max="6082" width="13" style="3" customWidth="1"/>
    <col min="6083" max="6083" width="16" style="3" customWidth="1"/>
    <col min="6084" max="6084" width="6.42578125" style="3" customWidth="1"/>
    <col min="6085" max="6085" width="16" style="3" customWidth="1"/>
    <col min="6086" max="6086" width="2.85546875" style="3" customWidth="1"/>
    <col min="6087" max="6087" width="0.85546875" style="3" customWidth="1"/>
    <col min="6088" max="6088" width="11" style="3"/>
    <col min="6089" max="6089" width="15.42578125" style="3" customWidth="1"/>
    <col min="6090" max="6092" width="14.85546875" style="3" customWidth="1"/>
    <col min="6093" max="6093" width="0.7109375" style="3" customWidth="1"/>
    <col min="6094" max="6094" width="11" style="3"/>
    <col min="6095" max="6095" width="15.7109375" style="3" customWidth="1"/>
    <col min="6096" max="6097" width="14.85546875" style="3" customWidth="1"/>
    <col min="6098" max="6098" width="3.28515625" style="3" customWidth="1"/>
    <col min="6099" max="6099" width="20.140625" style="3" customWidth="1"/>
    <col min="6100" max="6100" width="3.28515625" style="3" customWidth="1"/>
    <col min="6101" max="6105" width="11" style="3"/>
    <col min="6106" max="6118" width="4.7109375" style="3" customWidth="1"/>
    <col min="6119" max="6328" width="11" style="3"/>
    <col min="6329" max="6329" width="0.7109375" style="3" customWidth="1"/>
    <col min="6330" max="6330" width="6.5703125" style="3" customWidth="1"/>
    <col min="6331" max="6331" width="13.5703125" style="3" customWidth="1"/>
    <col min="6332" max="6332" width="13.42578125" style="3" customWidth="1"/>
    <col min="6333" max="6334" width="12.5703125" style="3" customWidth="1"/>
    <col min="6335" max="6335" width="14.85546875" style="3" customWidth="1"/>
    <col min="6336" max="6336" width="20.7109375" style="3" customWidth="1"/>
    <col min="6337" max="6337" width="12.5703125" style="3" customWidth="1"/>
    <col min="6338" max="6338" width="13" style="3" customWidth="1"/>
    <col min="6339" max="6339" width="16" style="3" customWidth="1"/>
    <col min="6340" max="6340" width="6.42578125" style="3" customWidth="1"/>
    <col min="6341" max="6341" width="16" style="3" customWidth="1"/>
    <col min="6342" max="6342" width="2.85546875" style="3" customWidth="1"/>
    <col min="6343" max="6343" width="0.85546875" style="3" customWidth="1"/>
    <col min="6344" max="6344" width="11" style="3"/>
    <col min="6345" max="6345" width="15.42578125" style="3" customWidth="1"/>
    <col min="6346" max="6348" width="14.85546875" style="3" customWidth="1"/>
    <col min="6349" max="6349" width="0.7109375" style="3" customWidth="1"/>
    <col min="6350" max="6350" width="11" style="3"/>
    <col min="6351" max="6351" width="15.7109375" style="3" customWidth="1"/>
    <col min="6352" max="6353" width="14.85546875" style="3" customWidth="1"/>
    <col min="6354" max="6354" width="3.28515625" style="3" customWidth="1"/>
    <col min="6355" max="6355" width="20.140625" style="3" customWidth="1"/>
    <col min="6356" max="6356" width="3.28515625" style="3" customWidth="1"/>
    <col min="6357" max="6361" width="11" style="3"/>
    <col min="6362" max="6374" width="4.7109375" style="3" customWidth="1"/>
    <col min="6375" max="6584" width="11" style="3"/>
    <col min="6585" max="6585" width="0.7109375" style="3" customWidth="1"/>
    <col min="6586" max="6586" width="6.5703125" style="3" customWidth="1"/>
    <col min="6587" max="6587" width="13.5703125" style="3" customWidth="1"/>
    <col min="6588" max="6588" width="13.42578125" style="3" customWidth="1"/>
    <col min="6589" max="6590" width="12.5703125" style="3" customWidth="1"/>
    <col min="6591" max="6591" width="14.85546875" style="3" customWidth="1"/>
    <col min="6592" max="6592" width="20.7109375" style="3" customWidth="1"/>
    <col min="6593" max="6593" width="12.5703125" style="3" customWidth="1"/>
    <col min="6594" max="6594" width="13" style="3" customWidth="1"/>
    <col min="6595" max="6595" width="16" style="3" customWidth="1"/>
    <col min="6596" max="6596" width="6.42578125" style="3" customWidth="1"/>
    <col min="6597" max="6597" width="16" style="3" customWidth="1"/>
    <col min="6598" max="6598" width="2.85546875" style="3" customWidth="1"/>
    <col min="6599" max="6599" width="0.85546875" style="3" customWidth="1"/>
    <col min="6600" max="6600" width="11" style="3"/>
    <col min="6601" max="6601" width="15.42578125" style="3" customWidth="1"/>
    <col min="6602" max="6604" width="14.85546875" style="3" customWidth="1"/>
    <col min="6605" max="6605" width="0.7109375" style="3" customWidth="1"/>
    <col min="6606" max="6606" width="11" style="3"/>
    <col min="6607" max="6607" width="15.7109375" style="3" customWidth="1"/>
    <col min="6608" max="6609" width="14.85546875" style="3" customWidth="1"/>
    <col min="6610" max="6610" width="3.28515625" style="3" customWidth="1"/>
    <col min="6611" max="6611" width="20.140625" style="3" customWidth="1"/>
    <col min="6612" max="6612" width="3.28515625" style="3" customWidth="1"/>
    <col min="6613" max="6617" width="11" style="3"/>
    <col min="6618" max="6630" width="4.7109375" style="3" customWidth="1"/>
    <col min="6631" max="6840" width="11" style="3"/>
    <col min="6841" max="6841" width="0.7109375" style="3" customWidth="1"/>
    <col min="6842" max="6842" width="6.5703125" style="3" customWidth="1"/>
    <col min="6843" max="6843" width="13.5703125" style="3" customWidth="1"/>
    <col min="6844" max="6844" width="13.42578125" style="3" customWidth="1"/>
    <col min="6845" max="6846" width="12.5703125" style="3" customWidth="1"/>
    <col min="6847" max="6847" width="14.85546875" style="3" customWidth="1"/>
    <col min="6848" max="6848" width="20.7109375" style="3" customWidth="1"/>
    <col min="6849" max="6849" width="12.5703125" style="3" customWidth="1"/>
    <col min="6850" max="6850" width="13" style="3" customWidth="1"/>
    <col min="6851" max="6851" width="16" style="3" customWidth="1"/>
    <col min="6852" max="6852" width="6.42578125" style="3" customWidth="1"/>
    <col min="6853" max="6853" width="16" style="3" customWidth="1"/>
    <col min="6854" max="6854" width="2.85546875" style="3" customWidth="1"/>
    <col min="6855" max="6855" width="0.85546875" style="3" customWidth="1"/>
    <col min="6856" max="6856" width="11" style="3"/>
    <col min="6857" max="6857" width="15.42578125" style="3" customWidth="1"/>
    <col min="6858" max="6860" width="14.85546875" style="3" customWidth="1"/>
    <col min="6861" max="6861" width="0.7109375" style="3" customWidth="1"/>
    <col min="6862" max="6862" width="11" style="3"/>
    <col min="6863" max="6863" width="15.7109375" style="3" customWidth="1"/>
    <col min="6864" max="6865" width="14.85546875" style="3" customWidth="1"/>
    <col min="6866" max="6866" width="3.28515625" style="3" customWidth="1"/>
    <col min="6867" max="6867" width="20.140625" style="3" customWidth="1"/>
    <col min="6868" max="6868" width="3.28515625" style="3" customWidth="1"/>
    <col min="6869" max="6873" width="11" style="3"/>
    <col min="6874" max="6886" width="4.7109375" style="3" customWidth="1"/>
    <col min="6887" max="7096" width="11" style="3"/>
    <col min="7097" max="7097" width="0.7109375" style="3" customWidth="1"/>
    <col min="7098" max="7098" width="6.5703125" style="3" customWidth="1"/>
    <col min="7099" max="7099" width="13.5703125" style="3" customWidth="1"/>
    <col min="7100" max="7100" width="13.42578125" style="3" customWidth="1"/>
    <col min="7101" max="7102" width="12.5703125" style="3" customWidth="1"/>
    <col min="7103" max="7103" width="14.85546875" style="3" customWidth="1"/>
    <col min="7104" max="7104" width="20.7109375" style="3" customWidth="1"/>
    <col min="7105" max="7105" width="12.5703125" style="3" customWidth="1"/>
    <col min="7106" max="7106" width="13" style="3" customWidth="1"/>
    <col min="7107" max="7107" width="16" style="3" customWidth="1"/>
    <col min="7108" max="7108" width="6.42578125" style="3" customWidth="1"/>
    <col min="7109" max="7109" width="16" style="3" customWidth="1"/>
    <col min="7110" max="7110" width="2.85546875" style="3" customWidth="1"/>
    <col min="7111" max="7111" width="0.85546875" style="3" customWidth="1"/>
    <col min="7112" max="7112" width="11" style="3"/>
    <col min="7113" max="7113" width="15.42578125" style="3" customWidth="1"/>
    <col min="7114" max="7116" width="14.85546875" style="3" customWidth="1"/>
    <col min="7117" max="7117" width="0.7109375" style="3" customWidth="1"/>
    <col min="7118" max="7118" width="11" style="3"/>
    <col min="7119" max="7119" width="15.7109375" style="3" customWidth="1"/>
    <col min="7120" max="7121" width="14.85546875" style="3" customWidth="1"/>
    <col min="7122" max="7122" width="3.28515625" style="3" customWidth="1"/>
    <col min="7123" max="7123" width="20.140625" style="3" customWidth="1"/>
    <col min="7124" max="7124" width="3.28515625" style="3" customWidth="1"/>
    <col min="7125" max="7129" width="11" style="3"/>
    <col min="7130" max="7142" width="4.7109375" style="3" customWidth="1"/>
    <col min="7143" max="7352" width="11" style="3"/>
    <col min="7353" max="7353" width="0.7109375" style="3" customWidth="1"/>
    <col min="7354" max="7354" width="6.5703125" style="3" customWidth="1"/>
    <col min="7355" max="7355" width="13.5703125" style="3" customWidth="1"/>
    <col min="7356" max="7356" width="13.42578125" style="3" customWidth="1"/>
    <col min="7357" max="7358" width="12.5703125" style="3" customWidth="1"/>
    <col min="7359" max="7359" width="14.85546875" style="3" customWidth="1"/>
    <col min="7360" max="7360" width="20.7109375" style="3" customWidth="1"/>
    <col min="7361" max="7361" width="12.5703125" style="3" customWidth="1"/>
    <col min="7362" max="7362" width="13" style="3" customWidth="1"/>
    <col min="7363" max="7363" width="16" style="3" customWidth="1"/>
    <col min="7364" max="7364" width="6.42578125" style="3" customWidth="1"/>
    <col min="7365" max="7365" width="16" style="3" customWidth="1"/>
    <col min="7366" max="7366" width="2.85546875" style="3" customWidth="1"/>
    <col min="7367" max="7367" width="0.85546875" style="3" customWidth="1"/>
    <col min="7368" max="7368" width="11" style="3"/>
    <col min="7369" max="7369" width="15.42578125" style="3" customWidth="1"/>
    <col min="7370" max="7372" width="14.85546875" style="3" customWidth="1"/>
    <col min="7373" max="7373" width="0.7109375" style="3" customWidth="1"/>
    <col min="7374" max="7374" width="11" style="3"/>
    <col min="7375" max="7375" width="15.7109375" style="3" customWidth="1"/>
    <col min="7376" max="7377" width="14.85546875" style="3" customWidth="1"/>
    <col min="7378" max="7378" width="3.28515625" style="3" customWidth="1"/>
    <col min="7379" max="7379" width="20.140625" style="3" customWidth="1"/>
    <col min="7380" max="7380" width="3.28515625" style="3" customWidth="1"/>
    <col min="7381" max="7385" width="11" style="3"/>
    <col min="7386" max="7398" width="4.7109375" style="3" customWidth="1"/>
    <col min="7399" max="7608" width="11" style="3"/>
    <col min="7609" max="7609" width="0.7109375" style="3" customWidth="1"/>
    <col min="7610" max="7610" width="6.5703125" style="3" customWidth="1"/>
    <col min="7611" max="7611" width="13.5703125" style="3" customWidth="1"/>
    <col min="7612" max="7612" width="13.42578125" style="3" customWidth="1"/>
    <col min="7613" max="7614" width="12.5703125" style="3" customWidth="1"/>
    <col min="7615" max="7615" width="14.85546875" style="3" customWidth="1"/>
    <col min="7616" max="7616" width="20.7109375" style="3" customWidth="1"/>
    <col min="7617" max="7617" width="12.5703125" style="3" customWidth="1"/>
    <col min="7618" max="7618" width="13" style="3" customWidth="1"/>
    <col min="7619" max="7619" width="16" style="3" customWidth="1"/>
    <col min="7620" max="7620" width="6.42578125" style="3" customWidth="1"/>
    <col min="7621" max="7621" width="16" style="3" customWidth="1"/>
    <col min="7622" max="7622" width="2.85546875" style="3" customWidth="1"/>
    <col min="7623" max="7623" width="0.85546875" style="3" customWidth="1"/>
    <col min="7624" max="7624" width="11" style="3"/>
    <col min="7625" max="7625" width="15.42578125" style="3" customWidth="1"/>
    <col min="7626" max="7628" width="14.85546875" style="3" customWidth="1"/>
    <col min="7629" max="7629" width="0.7109375" style="3" customWidth="1"/>
    <col min="7630" max="7630" width="11" style="3"/>
    <col min="7631" max="7631" width="15.7109375" style="3" customWidth="1"/>
    <col min="7632" max="7633" width="14.85546875" style="3" customWidth="1"/>
    <col min="7634" max="7634" width="3.28515625" style="3" customWidth="1"/>
    <col min="7635" max="7635" width="20.140625" style="3" customWidth="1"/>
    <col min="7636" max="7636" width="3.28515625" style="3" customWidth="1"/>
    <col min="7637" max="7641" width="11" style="3"/>
    <col min="7642" max="7654" width="4.7109375" style="3" customWidth="1"/>
    <col min="7655" max="7864" width="11" style="3"/>
    <col min="7865" max="7865" width="0.7109375" style="3" customWidth="1"/>
    <col min="7866" max="7866" width="6.5703125" style="3" customWidth="1"/>
    <col min="7867" max="7867" width="13.5703125" style="3" customWidth="1"/>
    <col min="7868" max="7868" width="13.42578125" style="3" customWidth="1"/>
    <col min="7869" max="7870" width="12.5703125" style="3" customWidth="1"/>
    <col min="7871" max="7871" width="14.85546875" style="3" customWidth="1"/>
    <col min="7872" max="7872" width="20.7109375" style="3" customWidth="1"/>
    <col min="7873" max="7873" width="12.5703125" style="3" customWidth="1"/>
    <col min="7874" max="7874" width="13" style="3" customWidth="1"/>
    <col min="7875" max="7875" width="16" style="3" customWidth="1"/>
    <col min="7876" max="7876" width="6.42578125" style="3" customWidth="1"/>
    <col min="7877" max="7877" width="16" style="3" customWidth="1"/>
    <col min="7878" max="7878" width="2.85546875" style="3" customWidth="1"/>
    <col min="7879" max="7879" width="0.85546875" style="3" customWidth="1"/>
    <col min="7880" max="7880" width="11" style="3"/>
    <col min="7881" max="7881" width="15.42578125" style="3" customWidth="1"/>
    <col min="7882" max="7884" width="14.85546875" style="3" customWidth="1"/>
    <col min="7885" max="7885" width="0.7109375" style="3" customWidth="1"/>
    <col min="7886" max="7886" width="11" style="3"/>
    <col min="7887" max="7887" width="15.7109375" style="3" customWidth="1"/>
    <col min="7888" max="7889" width="14.85546875" style="3" customWidth="1"/>
    <col min="7890" max="7890" width="3.28515625" style="3" customWidth="1"/>
    <col min="7891" max="7891" width="20.140625" style="3" customWidth="1"/>
    <col min="7892" max="7892" width="3.28515625" style="3" customWidth="1"/>
    <col min="7893" max="7897" width="11" style="3"/>
    <col min="7898" max="7910" width="4.7109375" style="3" customWidth="1"/>
    <col min="7911" max="8120" width="11" style="3"/>
    <col min="8121" max="8121" width="0.7109375" style="3" customWidth="1"/>
    <col min="8122" max="8122" width="6.5703125" style="3" customWidth="1"/>
    <col min="8123" max="8123" width="13.5703125" style="3" customWidth="1"/>
    <col min="8124" max="8124" width="13.42578125" style="3" customWidth="1"/>
    <col min="8125" max="8126" width="12.5703125" style="3" customWidth="1"/>
    <col min="8127" max="8127" width="14.85546875" style="3" customWidth="1"/>
    <col min="8128" max="8128" width="20.7109375" style="3" customWidth="1"/>
    <col min="8129" max="8129" width="12.5703125" style="3" customWidth="1"/>
    <col min="8130" max="8130" width="13" style="3" customWidth="1"/>
    <col min="8131" max="8131" width="16" style="3" customWidth="1"/>
    <col min="8132" max="8132" width="6.42578125" style="3" customWidth="1"/>
    <col min="8133" max="8133" width="16" style="3" customWidth="1"/>
    <col min="8134" max="8134" width="2.85546875" style="3" customWidth="1"/>
    <col min="8135" max="8135" width="0.85546875" style="3" customWidth="1"/>
    <col min="8136" max="8136" width="11" style="3"/>
    <col min="8137" max="8137" width="15.42578125" style="3" customWidth="1"/>
    <col min="8138" max="8140" width="14.85546875" style="3" customWidth="1"/>
    <col min="8141" max="8141" width="0.7109375" style="3" customWidth="1"/>
    <col min="8142" max="8142" width="11" style="3"/>
    <col min="8143" max="8143" width="15.7109375" style="3" customWidth="1"/>
    <col min="8144" max="8145" width="14.85546875" style="3" customWidth="1"/>
    <col min="8146" max="8146" width="3.28515625" style="3" customWidth="1"/>
    <col min="8147" max="8147" width="20.140625" style="3" customWidth="1"/>
    <col min="8148" max="8148" width="3.28515625" style="3" customWidth="1"/>
    <col min="8149" max="8153" width="11" style="3"/>
    <col min="8154" max="8166" width="4.7109375" style="3" customWidth="1"/>
    <col min="8167" max="8376" width="11" style="3"/>
    <col min="8377" max="8377" width="0.7109375" style="3" customWidth="1"/>
    <col min="8378" max="8378" width="6.5703125" style="3" customWidth="1"/>
    <col min="8379" max="8379" width="13.5703125" style="3" customWidth="1"/>
    <col min="8380" max="8380" width="13.42578125" style="3" customWidth="1"/>
    <col min="8381" max="8382" width="12.5703125" style="3" customWidth="1"/>
    <col min="8383" max="8383" width="14.85546875" style="3" customWidth="1"/>
    <col min="8384" max="8384" width="20.7109375" style="3" customWidth="1"/>
    <col min="8385" max="8385" width="12.5703125" style="3" customWidth="1"/>
    <col min="8386" max="8386" width="13" style="3" customWidth="1"/>
    <col min="8387" max="8387" width="16" style="3" customWidth="1"/>
    <col min="8388" max="8388" width="6.42578125" style="3" customWidth="1"/>
    <col min="8389" max="8389" width="16" style="3" customWidth="1"/>
    <col min="8390" max="8390" width="2.85546875" style="3" customWidth="1"/>
    <col min="8391" max="8391" width="0.85546875" style="3" customWidth="1"/>
    <col min="8392" max="8392" width="11" style="3"/>
    <col min="8393" max="8393" width="15.42578125" style="3" customWidth="1"/>
    <col min="8394" max="8396" width="14.85546875" style="3" customWidth="1"/>
    <col min="8397" max="8397" width="0.7109375" style="3" customWidth="1"/>
    <col min="8398" max="8398" width="11" style="3"/>
    <col min="8399" max="8399" width="15.7109375" style="3" customWidth="1"/>
    <col min="8400" max="8401" width="14.85546875" style="3" customWidth="1"/>
    <col min="8402" max="8402" width="3.28515625" style="3" customWidth="1"/>
    <col min="8403" max="8403" width="20.140625" style="3" customWidth="1"/>
    <col min="8404" max="8404" width="3.28515625" style="3" customWidth="1"/>
    <col min="8405" max="8409" width="11" style="3"/>
    <col min="8410" max="8422" width="4.7109375" style="3" customWidth="1"/>
    <col min="8423" max="8632" width="11" style="3"/>
    <col min="8633" max="8633" width="0.7109375" style="3" customWidth="1"/>
    <col min="8634" max="8634" width="6.5703125" style="3" customWidth="1"/>
    <col min="8635" max="8635" width="13.5703125" style="3" customWidth="1"/>
    <col min="8636" max="8636" width="13.42578125" style="3" customWidth="1"/>
    <col min="8637" max="8638" width="12.5703125" style="3" customWidth="1"/>
    <col min="8639" max="8639" width="14.85546875" style="3" customWidth="1"/>
    <col min="8640" max="8640" width="20.7109375" style="3" customWidth="1"/>
    <col min="8641" max="8641" width="12.5703125" style="3" customWidth="1"/>
    <col min="8642" max="8642" width="13" style="3" customWidth="1"/>
    <col min="8643" max="8643" width="16" style="3" customWidth="1"/>
    <col min="8644" max="8644" width="6.42578125" style="3" customWidth="1"/>
    <col min="8645" max="8645" width="16" style="3" customWidth="1"/>
    <col min="8646" max="8646" width="2.85546875" style="3" customWidth="1"/>
    <col min="8647" max="8647" width="0.85546875" style="3" customWidth="1"/>
    <col min="8648" max="8648" width="11" style="3"/>
    <col min="8649" max="8649" width="15.42578125" style="3" customWidth="1"/>
    <col min="8650" max="8652" width="14.85546875" style="3" customWidth="1"/>
    <col min="8653" max="8653" width="0.7109375" style="3" customWidth="1"/>
    <col min="8654" max="8654" width="11" style="3"/>
    <col min="8655" max="8655" width="15.7109375" style="3" customWidth="1"/>
    <col min="8656" max="8657" width="14.85546875" style="3" customWidth="1"/>
    <col min="8658" max="8658" width="3.28515625" style="3" customWidth="1"/>
    <col min="8659" max="8659" width="20.140625" style="3" customWidth="1"/>
    <col min="8660" max="8660" width="3.28515625" style="3" customWidth="1"/>
    <col min="8661" max="8665" width="11" style="3"/>
    <col min="8666" max="8678" width="4.7109375" style="3" customWidth="1"/>
    <col min="8679" max="8888" width="11" style="3"/>
    <col min="8889" max="8889" width="0.7109375" style="3" customWidth="1"/>
    <col min="8890" max="8890" width="6.5703125" style="3" customWidth="1"/>
    <col min="8891" max="8891" width="13.5703125" style="3" customWidth="1"/>
    <col min="8892" max="8892" width="13.42578125" style="3" customWidth="1"/>
    <col min="8893" max="8894" width="12.5703125" style="3" customWidth="1"/>
    <col min="8895" max="8895" width="14.85546875" style="3" customWidth="1"/>
    <col min="8896" max="8896" width="20.7109375" style="3" customWidth="1"/>
    <col min="8897" max="8897" width="12.5703125" style="3" customWidth="1"/>
    <col min="8898" max="8898" width="13" style="3" customWidth="1"/>
    <col min="8899" max="8899" width="16" style="3" customWidth="1"/>
    <col min="8900" max="8900" width="6.42578125" style="3" customWidth="1"/>
    <col min="8901" max="8901" width="16" style="3" customWidth="1"/>
    <col min="8902" max="8902" width="2.85546875" style="3" customWidth="1"/>
    <col min="8903" max="8903" width="0.85546875" style="3" customWidth="1"/>
    <col min="8904" max="8904" width="11" style="3"/>
    <col min="8905" max="8905" width="15.42578125" style="3" customWidth="1"/>
    <col min="8906" max="8908" width="14.85546875" style="3" customWidth="1"/>
    <col min="8909" max="8909" width="0.7109375" style="3" customWidth="1"/>
    <col min="8910" max="8910" width="11" style="3"/>
    <col min="8911" max="8911" width="15.7109375" style="3" customWidth="1"/>
    <col min="8912" max="8913" width="14.85546875" style="3" customWidth="1"/>
    <col min="8914" max="8914" width="3.28515625" style="3" customWidth="1"/>
    <col min="8915" max="8915" width="20.140625" style="3" customWidth="1"/>
    <col min="8916" max="8916" width="3.28515625" style="3" customWidth="1"/>
    <col min="8917" max="8921" width="11" style="3"/>
    <col min="8922" max="8934" width="4.7109375" style="3" customWidth="1"/>
    <col min="8935" max="9144" width="11" style="3"/>
    <col min="9145" max="9145" width="0.7109375" style="3" customWidth="1"/>
    <col min="9146" max="9146" width="6.5703125" style="3" customWidth="1"/>
    <col min="9147" max="9147" width="13.5703125" style="3" customWidth="1"/>
    <col min="9148" max="9148" width="13.42578125" style="3" customWidth="1"/>
    <col min="9149" max="9150" width="12.5703125" style="3" customWidth="1"/>
    <col min="9151" max="9151" width="14.85546875" style="3" customWidth="1"/>
    <col min="9152" max="9152" width="20.7109375" style="3" customWidth="1"/>
    <col min="9153" max="9153" width="12.5703125" style="3" customWidth="1"/>
    <col min="9154" max="9154" width="13" style="3" customWidth="1"/>
    <col min="9155" max="9155" width="16" style="3" customWidth="1"/>
    <col min="9156" max="9156" width="6.42578125" style="3" customWidth="1"/>
    <col min="9157" max="9157" width="16" style="3" customWidth="1"/>
    <col min="9158" max="9158" width="2.85546875" style="3" customWidth="1"/>
    <col min="9159" max="9159" width="0.85546875" style="3" customWidth="1"/>
    <col min="9160" max="9160" width="11" style="3"/>
    <col min="9161" max="9161" width="15.42578125" style="3" customWidth="1"/>
    <col min="9162" max="9164" width="14.85546875" style="3" customWidth="1"/>
    <col min="9165" max="9165" width="0.7109375" style="3" customWidth="1"/>
    <col min="9166" max="9166" width="11" style="3"/>
    <col min="9167" max="9167" width="15.7109375" style="3" customWidth="1"/>
    <col min="9168" max="9169" width="14.85546875" style="3" customWidth="1"/>
    <col min="9170" max="9170" width="3.28515625" style="3" customWidth="1"/>
    <col min="9171" max="9171" width="20.140625" style="3" customWidth="1"/>
    <col min="9172" max="9172" width="3.28515625" style="3" customWidth="1"/>
    <col min="9173" max="9177" width="11" style="3"/>
    <col min="9178" max="9190" width="4.7109375" style="3" customWidth="1"/>
    <col min="9191" max="9400" width="11" style="3"/>
    <col min="9401" max="9401" width="0.7109375" style="3" customWidth="1"/>
    <col min="9402" max="9402" width="6.5703125" style="3" customWidth="1"/>
    <col min="9403" max="9403" width="13.5703125" style="3" customWidth="1"/>
    <col min="9404" max="9404" width="13.42578125" style="3" customWidth="1"/>
    <col min="9405" max="9406" width="12.5703125" style="3" customWidth="1"/>
    <col min="9407" max="9407" width="14.85546875" style="3" customWidth="1"/>
    <col min="9408" max="9408" width="20.7109375" style="3" customWidth="1"/>
    <col min="9409" max="9409" width="12.5703125" style="3" customWidth="1"/>
    <col min="9410" max="9410" width="13" style="3" customWidth="1"/>
    <col min="9411" max="9411" width="16" style="3" customWidth="1"/>
    <col min="9412" max="9412" width="6.42578125" style="3" customWidth="1"/>
    <col min="9413" max="9413" width="16" style="3" customWidth="1"/>
    <col min="9414" max="9414" width="2.85546875" style="3" customWidth="1"/>
    <col min="9415" max="9415" width="0.85546875" style="3" customWidth="1"/>
    <col min="9416" max="9416" width="11" style="3"/>
    <col min="9417" max="9417" width="15.42578125" style="3" customWidth="1"/>
    <col min="9418" max="9420" width="14.85546875" style="3" customWidth="1"/>
    <col min="9421" max="9421" width="0.7109375" style="3" customWidth="1"/>
    <col min="9422" max="9422" width="11" style="3"/>
    <col min="9423" max="9423" width="15.7109375" style="3" customWidth="1"/>
    <col min="9424" max="9425" width="14.85546875" style="3" customWidth="1"/>
    <col min="9426" max="9426" width="3.28515625" style="3" customWidth="1"/>
    <col min="9427" max="9427" width="20.140625" style="3" customWidth="1"/>
    <col min="9428" max="9428" width="3.28515625" style="3" customWidth="1"/>
    <col min="9429" max="9433" width="11" style="3"/>
    <col min="9434" max="9446" width="4.7109375" style="3" customWidth="1"/>
    <col min="9447" max="9656" width="11" style="3"/>
    <col min="9657" max="9657" width="0.7109375" style="3" customWidth="1"/>
    <col min="9658" max="9658" width="6.5703125" style="3" customWidth="1"/>
    <col min="9659" max="9659" width="13.5703125" style="3" customWidth="1"/>
    <col min="9660" max="9660" width="13.42578125" style="3" customWidth="1"/>
    <col min="9661" max="9662" width="12.5703125" style="3" customWidth="1"/>
    <col min="9663" max="9663" width="14.85546875" style="3" customWidth="1"/>
    <col min="9664" max="9664" width="20.7109375" style="3" customWidth="1"/>
    <col min="9665" max="9665" width="12.5703125" style="3" customWidth="1"/>
    <col min="9666" max="9666" width="13" style="3" customWidth="1"/>
    <col min="9667" max="9667" width="16" style="3" customWidth="1"/>
    <col min="9668" max="9668" width="6.42578125" style="3" customWidth="1"/>
    <col min="9669" max="9669" width="16" style="3" customWidth="1"/>
    <col min="9670" max="9670" width="2.85546875" style="3" customWidth="1"/>
    <col min="9671" max="9671" width="0.85546875" style="3" customWidth="1"/>
    <col min="9672" max="9672" width="11" style="3"/>
    <col min="9673" max="9673" width="15.42578125" style="3" customWidth="1"/>
    <col min="9674" max="9676" width="14.85546875" style="3" customWidth="1"/>
    <col min="9677" max="9677" width="0.7109375" style="3" customWidth="1"/>
    <col min="9678" max="9678" width="11" style="3"/>
    <col min="9679" max="9679" width="15.7109375" style="3" customWidth="1"/>
    <col min="9680" max="9681" width="14.85546875" style="3" customWidth="1"/>
    <col min="9682" max="9682" width="3.28515625" style="3" customWidth="1"/>
    <col min="9683" max="9683" width="20.140625" style="3" customWidth="1"/>
    <col min="9684" max="9684" width="3.28515625" style="3" customWidth="1"/>
    <col min="9685" max="9689" width="11" style="3"/>
    <col min="9690" max="9702" width="4.7109375" style="3" customWidth="1"/>
    <col min="9703" max="9912" width="11" style="3"/>
    <col min="9913" max="9913" width="0.7109375" style="3" customWidth="1"/>
    <col min="9914" max="9914" width="6.5703125" style="3" customWidth="1"/>
    <col min="9915" max="9915" width="13.5703125" style="3" customWidth="1"/>
    <col min="9916" max="9916" width="13.42578125" style="3" customWidth="1"/>
    <col min="9917" max="9918" width="12.5703125" style="3" customWidth="1"/>
    <col min="9919" max="9919" width="14.85546875" style="3" customWidth="1"/>
    <col min="9920" max="9920" width="20.7109375" style="3" customWidth="1"/>
    <col min="9921" max="9921" width="12.5703125" style="3" customWidth="1"/>
    <col min="9922" max="9922" width="13" style="3" customWidth="1"/>
    <col min="9923" max="9923" width="16" style="3" customWidth="1"/>
    <col min="9924" max="9924" width="6.42578125" style="3" customWidth="1"/>
    <col min="9925" max="9925" width="16" style="3" customWidth="1"/>
    <col min="9926" max="9926" width="2.85546875" style="3" customWidth="1"/>
    <col min="9927" max="9927" width="0.85546875" style="3" customWidth="1"/>
    <col min="9928" max="9928" width="11" style="3"/>
    <col min="9929" max="9929" width="15.42578125" style="3" customWidth="1"/>
    <col min="9930" max="9932" width="14.85546875" style="3" customWidth="1"/>
    <col min="9933" max="9933" width="0.7109375" style="3" customWidth="1"/>
    <col min="9934" max="9934" width="11" style="3"/>
    <col min="9935" max="9935" width="15.7109375" style="3" customWidth="1"/>
    <col min="9936" max="9937" width="14.85546875" style="3" customWidth="1"/>
    <col min="9938" max="9938" width="3.28515625" style="3" customWidth="1"/>
    <col min="9939" max="9939" width="20.140625" style="3" customWidth="1"/>
    <col min="9940" max="9940" width="3.28515625" style="3" customWidth="1"/>
    <col min="9941" max="9945" width="11" style="3"/>
    <col min="9946" max="9958" width="4.7109375" style="3" customWidth="1"/>
    <col min="9959" max="10168" width="11" style="3"/>
    <col min="10169" max="10169" width="0.7109375" style="3" customWidth="1"/>
    <col min="10170" max="10170" width="6.5703125" style="3" customWidth="1"/>
    <col min="10171" max="10171" width="13.5703125" style="3" customWidth="1"/>
    <col min="10172" max="10172" width="13.42578125" style="3" customWidth="1"/>
    <col min="10173" max="10174" width="12.5703125" style="3" customWidth="1"/>
    <col min="10175" max="10175" width="14.85546875" style="3" customWidth="1"/>
    <col min="10176" max="10176" width="20.7109375" style="3" customWidth="1"/>
    <col min="10177" max="10177" width="12.5703125" style="3" customWidth="1"/>
    <col min="10178" max="10178" width="13" style="3" customWidth="1"/>
    <col min="10179" max="10179" width="16" style="3" customWidth="1"/>
    <col min="10180" max="10180" width="6.42578125" style="3" customWidth="1"/>
    <col min="10181" max="10181" width="16" style="3" customWidth="1"/>
    <col min="10182" max="10182" width="2.85546875" style="3" customWidth="1"/>
    <col min="10183" max="10183" width="0.85546875" style="3" customWidth="1"/>
    <col min="10184" max="10184" width="11" style="3"/>
    <col min="10185" max="10185" width="15.42578125" style="3" customWidth="1"/>
    <col min="10186" max="10188" width="14.85546875" style="3" customWidth="1"/>
    <col min="10189" max="10189" width="0.7109375" style="3" customWidth="1"/>
    <col min="10190" max="10190" width="11" style="3"/>
    <col min="10191" max="10191" width="15.7109375" style="3" customWidth="1"/>
    <col min="10192" max="10193" width="14.85546875" style="3" customWidth="1"/>
    <col min="10194" max="10194" width="3.28515625" style="3" customWidth="1"/>
    <col min="10195" max="10195" width="20.140625" style="3" customWidth="1"/>
    <col min="10196" max="10196" width="3.28515625" style="3" customWidth="1"/>
    <col min="10197" max="10201" width="11" style="3"/>
    <col min="10202" max="10214" width="4.7109375" style="3" customWidth="1"/>
    <col min="10215" max="10424" width="11" style="3"/>
    <col min="10425" max="10425" width="0.7109375" style="3" customWidth="1"/>
    <col min="10426" max="10426" width="6.5703125" style="3" customWidth="1"/>
    <col min="10427" max="10427" width="13.5703125" style="3" customWidth="1"/>
    <col min="10428" max="10428" width="13.42578125" style="3" customWidth="1"/>
    <col min="10429" max="10430" width="12.5703125" style="3" customWidth="1"/>
    <col min="10431" max="10431" width="14.85546875" style="3" customWidth="1"/>
    <col min="10432" max="10432" width="20.7109375" style="3" customWidth="1"/>
    <col min="10433" max="10433" width="12.5703125" style="3" customWidth="1"/>
    <col min="10434" max="10434" width="13" style="3" customWidth="1"/>
    <col min="10435" max="10435" width="16" style="3" customWidth="1"/>
    <col min="10436" max="10436" width="6.42578125" style="3" customWidth="1"/>
    <col min="10437" max="10437" width="16" style="3" customWidth="1"/>
    <col min="10438" max="10438" width="2.85546875" style="3" customWidth="1"/>
    <col min="10439" max="10439" width="0.85546875" style="3" customWidth="1"/>
    <col min="10440" max="10440" width="11" style="3"/>
    <col min="10441" max="10441" width="15.42578125" style="3" customWidth="1"/>
    <col min="10442" max="10444" width="14.85546875" style="3" customWidth="1"/>
    <col min="10445" max="10445" width="0.7109375" style="3" customWidth="1"/>
    <col min="10446" max="10446" width="11" style="3"/>
    <col min="10447" max="10447" width="15.7109375" style="3" customWidth="1"/>
    <col min="10448" max="10449" width="14.85546875" style="3" customWidth="1"/>
    <col min="10450" max="10450" width="3.28515625" style="3" customWidth="1"/>
    <col min="10451" max="10451" width="20.140625" style="3" customWidth="1"/>
    <col min="10452" max="10452" width="3.28515625" style="3" customWidth="1"/>
    <col min="10453" max="10457" width="11" style="3"/>
    <col min="10458" max="10470" width="4.7109375" style="3" customWidth="1"/>
    <col min="10471" max="10680" width="11" style="3"/>
    <col min="10681" max="10681" width="0.7109375" style="3" customWidth="1"/>
    <col min="10682" max="10682" width="6.5703125" style="3" customWidth="1"/>
    <col min="10683" max="10683" width="13.5703125" style="3" customWidth="1"/>
    <col min="10684" max="10684" width="13.42578125" style="3" customWidth="1"/>
    <col min="10685" max="10686" width="12.5703125" style="3" customWidth="1"/>
    <col min="10687" max="10687" width="14.85546875" style="3" customWidth="1"/>
    <col min="10688" max="10688" width="20.7109375" style="3" customWidth="1"/>
    <col min="10689" max="10689" width="12.5703125" style="3" customWidth="1"/>
    <col min="10690" max="10690" width="13" style="3" customWidth="1"/>
    <col min="10691" max="10691" width="16" style="3" customWidth="1"/>
    <col min="10692" max="10692" width="6.42578125" style="3" customWidth="1"/>
    <col min="10693" max="10693" width="16" style="3" customWidth="1"/>
    <col min="10694" max="10694" width="2.85546875" style="3" customWidth="1"/>
    <col min="10695" max="10695" width="0.85546875" style="3" customWidth="1"/>
    <col min="10696" max="10696" width="11" style="3"/>
    <col min="10697" max="10697" width="15.42578125" style="3" customWidth="1"/>
    <col min="10698" max="10700" width="14.85546875" style="3" customWidth="1"/>
    <col min="10701" max="10701" width="0.7109375" style="3" customWidth="1"/>
    <col min="10702" max="10702" width="11" style="3"/>
    <col min="10703" max="10703" width="15.7109375" style="3" customWidth="1"/>
    <col min="10704" max="10705" width="14.85546875" style="3" customWidth="1"/>
    <col min="10706" max="10706" width="3.28515625" style="3" customWidth="1"/>
    <col min="10707" max="10707" width="20.140625" style="3" customWidth="1"/>
    <col min="10708" max="10708" width="3.28515625" style="3" customWidth="1"/>
    <col min="10709" max="10713" width="11" style="3"/>
    <col min="10714" max="10726" width="4.7109375" style="3" customWidth="1"/>
    <col min="10727" max="10936" width="11" style="3"/>
    <col min="10937" max="10937" width="0.7109375" style="3" customWidth="1"/>
    <col min="10938" max="10938" width="6.5703125" style="3" customWidth="1"/>
    <col min="10939" max="10939" width="13.5703125" style="3" customWidth="1"/>
    <col min="10940" max="10940" width="13.42578125" style="3" customWidth="1"/>
    <col min="10941" max="10942" width="12.5703125" style="3" customWidth="1"/>
    <col min="10943" max="10943" width="14.85546875" style="3" customWidth="1"/>
    <col min="10944" max="10944" width="20.7109375" style="3" customWidth="1"/>
    <col min="10945" max="10945" width="12.5703125" style="3" customWidth="1"/>
    <col min="10946" max="10946" width="13" style="3" customWidth="1"/>
    <col min="10947" max="10947" width="16" style="3" customWidth="1"/>
    <col min="10948" max="10948" width="6.42578125" style="3" customWidth="1"/>
    <col min="10949" max="10949" width="16" style="3" customWidth="1"/>
    <col min="10950" max="10950" width="2.85546875" style="3" customWidth="1"/>
    <col min="10951" max="10951" width="0.85546875" style="3" customWidth="1"/>
    <col min="10952" max="10952" width="11" style="3"/>
    <col min="10953" max="10953" width="15.42578125" style="3" customWidth="1"/>
    <col min="10954" max="10956" width="14.85546875" style="3" customWidth="1"/>
    <col min="10957" max="10957" width="0.7109375" style="3" customWidth="1"/>
    <col min="10958" max="10958" width="11" style="3"/>
    <col min="10959" max="10959" width="15.7109375" style="3" customWidth="1"/>
    <col min="10960" max="10961" width="14.85546875" style="3" customWidth="1"/>
    <col min="10962" max="10962" width="3.28515625" style="3" customWidth="1"/>
    <col min="10963" max="10963" width="20.140625" style="3" customWidth="1"/>
    <col min="10964" max="10964" width="3.28515625" style="3" customWidth="1"/>
    <col min="10965" max="10969" width="11" style="3"/>
    <col min="10970" max="10982" width="4.7109375" style="3" customWidth="1"/>
    <col min="10983" max="11192" width="11" style="3"/>
    <col min="11193" max="11193" width="0.7109375" style="3" customWidth="1"/>
    <col min="11194" max="11194" width="6.5703125" style="3" customWidth="1"/>
    <col min="11195" max="11195" width="13.5703125" style="3" customWidth="1"/>
    <col min="11196" max="11196" width="13.42578125" style="3" customWidth="1"/>
    <col min="11197" max="11198" width="12.5703125" style="3" customWidth="1"/>
    <col min="11199" max="11199" width="14.85546875" style="3" customWidth="1"/>
    <col min="11200" max="11200" width="20.7109375" style="3" customWidth="1"/>
    <col min="11201" max="11201" width="12.5703125" style="3" customWidth="1"/>
    <col min="11202" max="11202" width="13" style="3" customWidth="1"/>
    <col min="11203" max="11203" width="16" style="3" customWidth="1"/>
    <col min="11204" max="11204" width="6.42578125" style="3" customWidth="1"/>
    <col min="11205" max="11205" width="16" style="3" customWidth="1"/>
    <col min="11206" max="11206" width="2.85546875" style="3" customWidth="1"/>
    <col min="11207" max="11207" width="0.85546875" style="3" customWidth="1"/>
    <col min="11208" max="11208" width="11" style="3"/>
    <col min="11209" max="11209" width="15.42578125" style="3" customWidth="1"/>
    <col min="11210" max="11212" width="14.85546875" style="3" customWidth="1"/>
    <col min="11213" max="11213" width="0.7109375" style="3" customWidth="1"/>
    <col min="11214" max="11214" width="11" style="3"/>
    <col min="11215" max="11215" width="15.7109375" style="3" customWidth="1"/>
    <col min="11216" max="11217" width="14.85546875" style="3" customWidth="1"/>
    <col min="11218" max="11218" width="3.28515625" style="3" customWidth="1"/>
    <col min="11219" max="11219" width="20.140625" style="3" customWidth="1"/>
    <col min="11220" max="11220" width="3.28515625" style="3" customWidth="1"/>
    <col min="11221" max="11225" width="11" style="3"/>
    <col min="11226" max="11238" width="4.7109375" style="3" customWidth="1"/>
    <col min="11239" max="11448" width="11" style="3"/>
    <col min="11449" max="11449" width="0.7109375" style="3" customWidth="1"/>
    <col min="11450" max="11450" width="6.5703125" style="3" customWidth="1"/>
    <col min="11451" max="11451" width="13.5703125" style="3" customWidth="1"/>
    <col min="11452" max="11452" width="13.42578125" style="3" customWidth="1"/>
    <col min="11453" max="11454" width="12.5703125" style="3" customWidth="1"/>
    <col min="11455" max="11455" width="14.85546875" style="3" customWidth="1"/>
    <col min="11456" max="11456" width="20.7109375" style="3" customWidth="1"/>
    <col min="11457" max="11457" width="12.5703125" style="3" customWidth="1"/>
    <col min="11458" max="11458" width="13" style="3" customWidth="1"/>
    <col min="11459" max="11459" width="16" style="3" customWidth="1"/>
    <col min="11460" max="11460" width="6.42578125" style="3" customWidth="1"/>
    <col min="11461" max="11461" width="16" style="3" customWidth="1"/>
    <col min="11462" max="11462" width="2.85546875" style="3" customWidth="1"/>
    <col min="11463" max="11463" width="0.85546875" style="3" customWidth="1"/>
    <col min="11464" max="11464" width="11" style="3"/>
    <col min="11465" max="11465" width="15.42578125" style="3" customWidth="1"/>
    <col min="11466" max="11468" width="14.85546875" style="3" customWidth="1"/>
    <col min="11469" max="11469" width="0.7109375" style="3" customWidth="1"/>
    <col min="11470" max="11470" width="11" style="3"/>
    <col min="11471" max="11471" width="15.7109375" style="3" customWidth="1"/>
    <col min="11472" max="11473" width="14.85546875" style="3" customWidth="1"/>
    <col min="11474" max="11474" width="3.28515625" style="3" customWidth="1"/>
    <col min="11475" max="11475" width="20.140625" style="3" customWidth="1"/>
    <col min="11476" max="11476" width="3.28515625" style="3" customWidth="1"/>
    <col min="11477" max="11481" width="11" style="3"/>
    <col min="11482" max="11494" width="4.7109375" style="3" customWidth="1"/>
    <col min="11495" max="11704" width="11" style="3"/>
    <col min="11705" max="11705" width="0.7109375" style="3" customWidth="1"/>
    <col min="11706" max="11706" width="6.5703125" style="3" customWidth="1"/>
    <col min="11707" max="11707" width="13.5703125" style="3" customWidth="1"/>
    <col min="11708" max="11708" width="13.42578125" style="3" customWidth="1"/>
    <col min="11709" max="11710" width="12.5703125" style="3" customWidth="1"/>
    <col min="11711" max="11711" width="14.85546875" style="3" customWidth="1"/>
    <col min="11712" max="11712" width="20.7109375" style="3" customWidth="1"/>
    <col min="11713" max="11713" width="12.5703125" style="3" customWidth="1"/>
    <col min="11714" max="11714" width="13" style="3" customWidth="1"/>
    <col min="11715" max="11715" width="16" style="3" customWidth="1"/>
    <col min="11716" max="11716" width="6.42578125" style="3" customWidth="1"/>
    <col min="11717" max="11717" width="16" style="3" customWidth="1"/>
    <col min="11718" max="11718" width="2.85546875" style="3" customWidth="1"/>
    <col min="11719" max="11719" width="0.85546875" style="3" customWidth="1"/>
    <col min="11720" max="11720" width="11" style="3"/>
    <col min="11721" max="11721" width="15.42578125" style="3" customWidth="1"/>
    <col min="11722" max="11724" width="14.85546875" style="3" customWidth="1"/>
    <col min="11725" max="11725" width="0.7109375" style="3" customWidth="1"/>
    <col min="11726" max="11726" width="11" style="3"/>
    <col min="11727" max="11727" width="15.7109375" style="3" customWidth="1"/>
    <col min="11728" max="11729" width="14.85546875" style="3" customWidth="1"/>
    <col min="11730" max="11730" width="3.28515625" style="3" customWidth="1"/>
    <col min="11731" max="11731" width="20.140625" style="3" customWidth="1"/>
    <col min="11732" max="11732" width="3.28515625" style="3" customWidth="1"/>
    <col min="11733" max="11737" width="11" style="3"/>
    <col min="11738" max="11750" width="4.7109375" style="3" customWidth="1"/>
    <col min="11751" max="11960" width="11" style="3"/>
    <col min="11961" max="11961" width="0.7109375" style="3" customWidth="1"/>
    <col min="11962" max="11962" width="6.5703125" style="3" customWidth="1"/>
    <col min="11963" max="11963" width="13.5703125" style="3" customWidth="1"/>
    <col min="11964" max="11964" width="13.42578125" style="3" customWidth="1"/>
    <col min="11965" max="11966" width="12.5703125" style="3" customWidth="1"/>
    <col min="11967" max="11967" width="14.85546875" style="3" customWidth="1"/>
    <col min="11968" max="11968" width="20.7109375" style="3" customWidth="1"/>
    <col min="11969" max="11969" width="12.5703125" style="3" customWidth="1"/>
    <col min="11970" max="11970" width="13" style="3" customWidth="1"/>
    <col min="11971" max="11971" width="16" style="3" customWidth="1"/>
    <col min="11972" max="11972" width="6.42578125" style="3" customWidth="1"/>
    <col min="11973" max="11973" width="16" style="3" customWidth="1"/>
    <col min="11974" max="11974" width="2.85546875" style="3" customWidth="1"/>
    <col min="11975" max="11975" width="0.85546875" style="3" customWidth="1"/>
    <col min="11976" max="11976" width="11" style="3"/>
    <col min="11977" max="11977" width="15.42578125" style="3" customWidth="1"/>
    <col min="11978" max="11980" width="14.85546875" style="3" customWidth="1"/>
    <col min="11981" max="11981" width="0.7109375" style="3" customWidth="1"/>
    <col min="11982" max="11982" width="11" style="3"/>
    <col min="11983" max="11983" width="15.7109375" style="3" customWidth="1"/>
    <col min="11984" max="11985" width="14.85546875" style="3" customWidth="1"/>
    <col min="11986" max="11986" width="3.28515625" style="3" customWidth="1"/>
    <col min="11987" max="11987" width="20.140625" style="3" customWidth="1"/>
    <col min="11988" max="11988" width="3.28515625" style="3" customWidth="1"/>
    <col min="11989" max="11993" width="11" style="3"/>
    <col min="11994" max="12006" width="4.7109375" style="3" customWidth="1"/>
    <col min="12007" max="12216" width="11" style="3"/>
    <col min="12217" max="12217" width="0.7109375" style="3" customWidth="1"/>
    <col min="12218" max="12218" width="6.5703125" style="3" customWidth="1"/>
    <col min="12219" max="12219" width="13.5703125" style="3" customWidth="1"/>
    <col min="12220" max="12220" width="13.42578125" style="3" customWidth="1"/>
    <col min="12221" max="12222" width="12.5703125" style="3" customWidth="1"/>
    <col min="12223" max="12223" width="14.85546875" style="3" customWidth="1"/>
    <col min="12224" max="12224" width="20.7109375" style="3" customWidth="1"/>
    <col min="12225" max="12225" width="12.5703125" style="3" customWidth="1"/>
    <col min="12226" max="12226" width="13" style="3" customWidth="1"/>
    <col min="12227" max="12227" width="16" style="3" customWidth="1"/>
    <col min="12228" max="12228" width="6.42578125" style="3" customWidth="1"/>
    <col min="12229" max="12229" width="16" style="3" customWidth="1"/>
    <col min="12230" max="12230" width="2.85546875" style="3" customWidth="1"/>
    <col min="12231" max="12231" width="0.85546875" style="3" customWidth="1"/>
    <col min="12232" max="12232" width="11" style="3"/>
    <col min="12233" max="12233" width="15.42578125" style="3" customWidth="1"/>
    <col min="12234" max="12236" width="14.85546875" style="3" customWidth="1"/>
    <col min="12237" max="12237" width="0.7109375" style="3" customWidth="1"/>
    <col min="12238" max="12238" width="11" style="3"/>
    <col min="12239" max="12239" width="15.7109375" style="3" customWidth="1"/>
    <col min="12240" max="12241" width="14.85546875" style="3" customWidth="1"/>
    <col min="12242" max="12242" width="3.28515625" style="3" customWidth="1"/>
    <col min="12243" max="12243" width="20.140625" style="3" customWidth="1"/>
    <col min="12244" max="12244" width="3.28515625" style="3" customWidth="1"/>
    <col min="12245" max="12249" width="11" style="3"/>
    <col min="12250" max="12262" width="4.7109375" style="3" customWidth="1"/>
    <col min="12263" max="12472" width="11" style="3"/>
    <col min="12473" max="12473" width="0.7109375" style="3" customWidth="1"/>
    <col min="12474" max="12474" width="6.5703125" style="3" customWidth="1"/>
    <col min="12475" max="12475" width="13.5703125" style="3" customWidth="1"/>
    <col min="12476" max="12476" width="13.42578125" style="3" customWidth="1"/>
    <col min="12477" max="12478" width="12.5703125" style="3" customWidth="1"/>
    <col min="12479" max="12479" width="14.85546875" style="3" customWidth="1"/>
    <col min="12480" max="12480" width="20.7109375" style="3" customWidth="1"/>
    <col min="12481" max="12481" width="12.5703125" style="3" customWidth="1"/>
    <col min="12482" max="12482" width="13" style="3" customWidth="1"/>
    <col min="12483" max="12483" width="16" style="3" customWidth="1"/>
    <col min="12484" max="12484" width="6.42578125" style="3" customWidth="1"/>
    <col min="12485" max="12485" width="16" style="3" customWidth="1"/>
    <col min="12486" max="12486" width="2.85546875" style="3" customWidth="1"/>
    <col min="12487" max="12487" width="0.85546875" style="3" customWidth="1"/>
    <col min="12488" max="12488" width="11" style="3"/>
    <col min="12489" max="12489" width="15.42578125" style="3" customWidth="1"/>
    <col min="12490" max="12492" width="14.85546875" style="3" customWidth="1"/>
    <col min="12493" max="12493" width="0.7109375" style="3" customWidth="1"/>
    <col min="12494" max="12494" width="11" style="3"/>
    <col min="12495" max="12495" width="15.7109375" style="3" customWidth="1"/>
    <col min="12496" max="12497" width="14.85546875" style="3" customWidth="1"/>
    <col min="12498" max="12498" width="3.28515625" style="3" customWidth="1"/>
    <col min="12499" max="12499" width="20.140625" style="3" customWidth="1"/>
    <col min="12500" max="12500" width="3.28515625" style="3" customWidth="1"/>
    <col min="12501" max="12505" width="11" style="3"/>
    <col min="12506" max="12518" width="4.7109375" style="3" customWidth="1"/>
    <col min="12519" max="12728" width="11" style="3"/>
    <col min="12729" max="12729" width="0.7109375" style="3" customWidth="1"/>
    <col min="12730" max="12730" width="6.5703125" style="3" customWidth="1"/>
    <col min="12731" max="12731" width="13.5703125" style="3" customWidth="1"/>
    <col min="12732" max="12732" width="13.42578125" style="3" customWidth="1"/>
    <col min="12733" max="12734" width="12.5703125" style="3" customWidth="1"/>
    <col min="12735" max="12735" width="14.85546875" style="3" customWidth="1"/>
    <col min="12736" max="12736" width="20.7109375" style="3" customWidth="1"/>
    <col min="12737" max="12737" width="12.5703125" style="3" customWidth="1"/>
    <col min="12738" max="12738" width="13" style="3" customWidth="1"/>
    <col min="12739" max="12739" width="16" style="3" customWidth="1"/>
    <col min="12740" max="12740" width="6.42578125" style="3" customWidth="1"/>
    <col min="12741" max="12741" width="16" style="3" customWidth="1"/>
    <col min="12742" max="12742" width="2.85546875" style="3" customWidth="1"/>
    <col min="12743" max="12743" width="0.85546875" style="3" customWidth="1"/>
    <col min="12744" max="12744" width="11" style="3"/>
    <col min="12745" max="12745" width="15.42578125" style="3" customWidth="1"/>
    <col min="12746" max="12748" width="14.85546875" style="3" customWidth="1"/>
    <col min="12749" max="12749" width="0.7109375" style="3" customWidth="1"/>
    <col min="12750" max="12750" width="11" style="3"/>
    <col min="12751" max="12751" width="15.7109375" style="3" customWidth="1"/>
    <col min="12752" max="12753" width="14.85546875" style="3" customWidth="1"/>
    <col min="12754" max="12754" width="3.28515625" style="3" customWidth="1"/>
    <col min="12755" max="12755" width="20.140625" style="3" customWidth="1"/>
    <col min="12756" max="12756" width="3.28515625" style="3" customWidth="1"/>
    <col min="12757" max="12761" width="11" style="3"/>
    <col min="12762" max="12774" width="4.7109375" style="3" customWidth="1"/>
    <col min="12775" max="12984" width="11" style="3"/>
    <col min="12985" max="12985" width="0.7109375" style="3" customWidth="1"/>
    <col min="12986" max="12986" width="6.5703125" style="3" customWidth="1"/>
    <col min="12987" max="12987" width="13.5703125" style="3" customWidth="1"/>
    <col min="12988" max="12988" width="13.42578125" style="3" customWidth="1"/>
    <col min="12989" max="12990" width="12.5703125" style="3" customWidth="1"/>
    <col min="12991" max="12991" width="14.85546875" style="3" customWidth="1"/>
    <col min="12992" max="12992" width="20.7109375" style="3" customWidth="1"/>
    <col min="12993" max="12993" width="12.5703125" style="3" customWidth="1"/>
    <col min="12994" max="12994" width="13" style="3" customWidth="1"/>
    <col min="12995" max="12995" width="16" style="3" customWidth="1"/>
    <col min="12996" max="12996" width="6.42578125" style="3" customWidth="1"/>
    <col min="12997" max="12997" width="16" style="3" customWidth="1"/>
    <col min="12998" max="12998" width="2.85546875" style="3" customWidth="1"/>
    <col min="12999" max="12999" width="0.85546875" style="3" customWidth="1"/>
    <col min="13000" max="13000" width="11" style="3"/>
    <col min="13001" max="13001" width="15.42578125" style="3" customWidth="1"/>
    <col min="13002" max="13004" width="14.85546875" style="3" customWidth="1"/>
    <col min="13005" max="13005" width="0.7109375" style="3" customWidth="1"/>
    <col min="13006" max="13006" width="11" style="3"/>
    <col min="13007" max="13007" width="15.7109375" style="3" customWidth="1"/>
    <col min="13008" max="13009" width="14.85546875" style="3" customWidth="1"/>
    <col min="13010" max="13010" width="3.28515625" style="3" customWidth="1"/>
    <col min="13011" max="13011" width="20.140625" style="3" customWidth="1"/>
    <col min="13012" max="13012" width="3.28515625" style="3" customWidth="1"/>
    <col min="13013" max="13017" width="11" style="3"/>
    <col min="13018" max="13030" width="4.7109375" style="3" customWidth="1"/>
    <col min="13031" max="13240" width="11" style="3"/>
    <col min="13241" max="13241" width="0.7109375" style="3" customWidth="1"/>
    <col min="13242" max="13242" width="6.5703125" style="3" customWidth="1"/>
    <col min="13243" max="13243" width="13.5703125" style="3" customWidth="1"/>
    <col min="13244" max="13244" width="13.42578125" style="3" customWidth="1"/>
    <col min="13245" max="13246" width="12.5703125" style="3" customWidth="1"/>
    <col min="13247" max="13247" width="14.85546875" style="3" customWidth="1"/>
    <col min="13248" max="13248" width="20.7109375" style="3" customWidth="1"/>
    <col min="13249" max="13249" width="12.5703125" style="3" customWidth="1"/>
    <col min="13250" max="13250" width="13" style="3" customWidth="1"/>
    <col min="13251" max="13251" width="16" style="3" customWidth="1"/>
    <col min="13252" max="13252" width="6.42578125" style="3" customWidth="1"/>
    <col min="13253" max="13253" width="16" style="3" customWidth="1"/>
    <col min="13254" max="13254" width="2.85546875" style="3" customWidth="1"/>
    <col min="13255" max="13255" width="0.85546875" style="3" customWidth="1"/>
    <col min="13256" max="13256" width="11" style="3"/>
    <col min="13257" max="13257" width="15.42578125" style="3" customWidth="1"/>
    <col min="13258" max="13260" width="14.85546875" style="3" customWidth="1"/>
    <col min="13261" max="13261" width="0.7109375" style="3" customWidth="1"/>
    <col min="13262" max="13262" width="11" style="3"/>
    <col min="13263" max="13263" width="15.7109375" style="3" customWidth="1"/>
    <col min="13264" max="13265" width="14.85546875" style="3" customWidth="1"/>
    <col min="13266" max="13266" width="3.28515625" style="3" customWidth="1"/>
    <col min="13267" max="13267" width="20.140625" style="3" customWidth="1"/>
    <col min="13268" max="13268" width="3.28515625" style="3" customWidth="1"/>
    <col min="13269" max="13273" width="11" style="3"/>
    <col min="13274" max="13286" width="4.7109375" style="3" customWidth="1"/>
    <col min="13287" max="13496" width="11" style="3"/>
    <col min="13497" max="13497" width="0.7109375" style="3" customWidth="1"/>
    <col min="13498" max="13498" width="6.5703125" style="3" customWidth="1"/>
    <col min="13499" max="13499" width="13.5703125" style="3" customWidth="1"/>
    <col min="13500" max="13500" width="13.42578125" style="3" customWidth="1"/>
    <col min="13501" max="13502" width="12.5703125" style="3" customWidth="1"/>
    <col min="13503" max="13503" width="14.85546875" style="3" customWidth="1"/>
    <col min="13504" max="13504" width="20.7109375" style="3" customWidth="1"/>
    <col min="13505" max="13505" width="12.5703125" style="3" customWidth="1"/>
    <col min="13506" max="13506" width="13" style="3" customWidth="1"/>
    <col min="13507" max="13507" width="16" style="3" customWidth="1"/>
    <col min="13508" max="13508" width="6.42578125" style="3" customWidth="1"/>
    <col min="13509" max="13509" width="16" style="3" customWidth="1"/>
    <col min="13510" max="13510" width="2.85546875" style="3" customWidth="1"/>
    <col min="13511" max="13511" width="0.85546875" style="3" customWidth="1"/>
    <col min="13512" max="13512" width="11" style="3"/>
    <col min="13513" max="13513" width="15.42578125" style="3" customWidth="1"/>
    <col min="13514" max="13516" width="14.85546875" style="3" customWidth="1"/>
    <col min="13517" max="13517" width="0.7109375" style="3" customWidth="1"/>
    <col min="13518" max="13518" width="11" style="3"/>
    <col min="13519" max="13519" width="15.7109375" style="3" customWidth="1"/>
    <col min="13520" max="13521" width="14.85546875" style="3" customWidth="1"/>
    <col min="13522" max="13522" width="3.28515625" style="3" customWidth="1"/>
    <col min="13523" max="13523" width="20.140625" style="3" customWidth="1"/>
    <col min="13524" max="13524" width="3.28515625" style="3" customWidth="1"/>
    <col min="13525" max="13529" width="11" style="3"/>
    <col min="13530" max="13542" width="4.7109375" style="3" customWidth="1"/>
    <col min="13543" max="13752" width="11" style="3"/>
    <col min="13753" max="13753" width="0.7109375" style="3" customWidth="1"/>
    <col min="13754" max="13754" width="6.5703125" style="3" customWidth="1"/>
    <col min="13755" max="13755" width="13.5703125" style="3" customWidth="1"/>
    <col min="13756" max="13756" width="13.42578125" style="3" customWidth="1"/>
    <col min="13757" max="13758" width="12.5703125" style="3" customWidth="1"/>
    <col min="13759" max="13759" width="14.85546875" style="3" customWidth="1"/>
    <col min="13760" max="13760" width="20.7109375" style="3" customWidth="1"/>
    <col min="13761" max="13761" width="12.5703125" style="3" customWidth="1"/>
    <col min="13762" max="13762" width="13" style="3" customWidth="1"/>
    <col min="13763" max="13763" width="16" style="3" customWidth="1"/>
    <col min="13764" max="13764" width="6.42578125" style="3" customWidth="1"/>
    <col min="13765" max="13765" width="16" style="3" customWidth="1"/>
    <col min="13766" max="13766" width="2.85546875" style="3" customWidth="1"/>
    <col min="13767" max="13767" width="0.85546875" style="3" customWidth="1"/>
    <col min="13768" max="13768" width="11" style="3"/>
    <col min="13769" max="13769" width="15.42578125" style="3" customWidth="1"/>
    <col min="13770" max="13772" width="14.85546875" style="3" customWidth="1"/>
    <col min="13773" max="13773" width="0.7109375" style="3" customWidth="1"/>
    <col min="13774" max="13774" width="11" style="3"/>
    <col min="13775" max="13775" width="15.7109375" style="3" customWidth="1"/>
    <col min="13776" max="13777" width="14.85546875" style="3" customWidth="1"/>
    <col min="13778" max="13778" width="3.28515625" style="3" customWidth="1"/>
    <col min="13779" max="13779" width="20.140625" style="3" customWidth="1"/>
    <col min="13780" max="13780" width="3.28515625" style="3" customWidth="1"/>
    <col min="13781" max="13785" width="11" style="3"/>
    <col min="13786" max="13798" width="4.7109375" style="3" customWidth="1"/>
    <col min="13799" max="14008" width="11" style="3"/>
    <col min="14009" max="14009" width="0.7109375" style="3" customWidth="1"/>
    <col min="14010" max="14010" width="6.5703125" style="3" customWidth="1"/>
    <col min="14011" max="14011" width="13.5703125" style="3" customWidth="1"/>
    <col min="14012" max="14012" width="13.42578125" style="3" customWidth="1"/>
    <col min="14013" max="14014" width="12.5703125" style="3" customWidth="1"/>
    <col min="14015" max="14015" width="14.85546875" style="3" customWidth="1"/>
    <col min="14016" max="14016" width="20.7109375" style="3" customWidth="1"/>
    <col min="14017" max="14017" width="12.5703125" style="3" customWidth="1"/>
    <col min="14018" max="14018" width="13" style="3" customWidth="1"/>
    <col min="14019" max="14019" width="16" style="3" customWidth="1"/>
    <col min="14020" max="14020" width="6.42578125" style="3" customWidth="1"/>
    <col min="14021" max="14021" width="16" style="3" customWidth="1"/>
    <col min="14022" max="14022" width="2.85546875" style="3" customWidth="1"/>
    <col min="14023" max="14023" width="0.85546875" style="3" customWidth="1"/>
    <col min="14024" max="14024" width="11" style="3"/>
    <col min="14025" max="14025" width="15.42578125" style="3" customWidth="1"/>
    <col min="14026" max="14028" width="14.85546875" style="3" customWidth="1"/>
    <col min="14029" max="14029" width="0.7109375" style="3" customWidth="1"/>
    <col min="14030" max="14030" width="11" style="3"/>
    <col min="14031" max="14031" width="15.7109375" style="3" customWidth="1"/>
    <col min="14032" max="14033" width="14.85546875" style="3" customWidth="1"/>
    <col min="14034" max="14034" width="3.28515625" style="3" customWidth="1"/>
    <col min="14035" max="14035" width="20.140625" style="3" customWidth="1"/>
    <col min="14036" max="14036" width="3.28515625" style="3" customWidth="1"/>
    <col min="14037" max="14041" width="11" style="3"/>
    <col min="14042" max="14054" width="4.7109375" style="3" customWidth="1"/>
    <col min="14055" max="14264" width="11" style="3"/>
    <col min="14265" max="14265" width="0.7109375" style="3" customWidth="1"/>
    <col min="14266" max="14266" width="6.5703125" style="3" customWidth="1"/>
    <col min="14267" max="14267" width="13.5703125" style="3" customWidth="1"/>
    <col min="14268" max="14268" width="13.42578125" style="3" customWidth="1"/>
    <col min="14269" max="14270" width="12.5703125" style="3" customWidth="1"/>
    <col min="14271" max="14271" width="14.85546875" style="3" customWidth="1"/>
    <col min="14272" max="14272" width="20.7109375" style="3" customWidth="1"/>
    <col min="14273" max="14273" width="12.5703125" style="3" customWidth="1"/>
    <col min="14274" max="14274" width="13" style="3" customWidth="1"/>
    <col min="14275" max="14275" width="16" style="3" customWidth="1"/>
    <col min="14276" max="14276" width="6.42578125" style="3" customWidth="1"/>
    <col min="14277" max="14277" width="16" style="3" customWidth="1"/>
    <col min="14278" max="14278" width="2.85546875" style="3" customWidth="1"/>
    <col min="14279" max="14279" width="0.85546875" style="3" customWidth="1"/>
    <col min="14280" max="14280" width="11" style="3"/>
    <col min="14281" max="14281" width="15.42578125" style="3" customWidth="1"/>
    <col min="14282" max="14284" width="14.85546875" style="3" customWidth="1"/>
    <col min="14285" max="14285" width="0.7109375" style="3" customWidth="1"/>
    <col min="14286" max="14286" width="11" style="3"/>
    <col min="14287" max="14287" width="15.7109375" style="3" customWidth="1"/>
    <col min="14288" max="14289" width="14.85546875" style="3" customWidth="1"/>
    <col min="14290" max="14290" width="3.28515625" style="3" customWidth="1"/>
    <col min="14291" max="14291" width="20.140625" style="3" customWidth="1"/>
    <col min="14292" max="14292" width="3.28515625" style="3" customWidth="1"/>
    <col min="14293" max="14297" width="11" style="3"/>
    <col min="14298" max="14310" width="4.7109375" style="3" customWidth="1"/>
    <col min="14311" max="14520" width="11" style="3"/>
    <col min="14521" max="14521" width="0.7109375" style="3" customWidth="1"/>
    <col min="14522" max="14522" width="6.5703125" style="3" customWidth="1"/>
    <col min="14523" max="14523" width="13.5703125" style="3" customWidth="1"/>
    <col min="14524" max="14524" width="13.42578125" style="3" customWidth="1"/>
    <col min="14525" max="14526" width="12.5703125" style="3" customWidth="1"/>
    <col min="14527" max="14527" width="14.85546875" style="3" customWidth="1"/>
    <col min="14528" max="14528" width="20.7109375" style="3" customWidth="1"/>
    <col min="14529" max="14529" width="12.5703125" style="3" customWidth="1"/>
    <col min="14530" max="14530" width="13" style="3" customWidth="1"/>
    <col min="14531" max="14531" width="16" style="3" customWidth="1"/>
    <col min="14532" max="14532" width="6.42578125" style="3" customWidth="1"/>
    <col min="14533" max="14533" width="16" style="3" customWidth="1"/>
    <col min="14534" max="14534" width="2.85546875" style="3" customWidth="1"/>
    <col min="14535" max="14535" width="0.85546875" style="3" customWidth="1"/>
    <col min="14536" max="14536" width="11" style="3"/>
    <col min="14537" max="14537" width="15.42578125" style="3" customWidth="1"/>
    <col min="14538" max="14540" width="14.85546875" style="3" customWidth="1"/>
    <col min="14541" max="14541" width="0.7109375" style="3" customWidth="1"/>
    <col min="14542" max="14542" width="11" style="3"/>
    <col min="14543" max="14543" width="15.7109375" style="3" customWidth="1"/>
    <col min="14544" max="14545" width="14.85546875" style="3" customWidth="1"/>
    <col min="14546" max="14546" width="3.28515625" style="3" customWidth="1"/>
    <col min="14547" max="14547" width="20.140625" style="3" customWidth="1"/>
    <col min="14548" max="14548" width="3.28515625" style="3" customWidth="1"/>
    <col min="14549" max="14553" width="11" style="3"/>
    <col min="14554" max="14566" width="4.7109375" style="3" customWidth="1"/>
    <col min="14567" max="14776" width="11" style="3"/>
    <col min="14777" max="14777" width="0.7109375" style="3" customWidth="1"/>
    <col min="14778" max="14778" width="6.5703125" style="3" customWidth="1"/>
    <col min="14779" max="14779" width="13.5703125" style="3" customWidth="1"/>
    <col min="14780" max="14780" width="13.42578125" style="3" customWidth="1"/>
    <col min="14781" max="14782" width="12.5703125" style="3" customWidth="1"/>
    <col min="14783" max="14783" width="14.85546875" style="3" customWidth="1"/>
    <col min="14784" max="14784" width="20.7109375" style="3" customWidth="1"/>
    <col min="14785" max="14785" width="12.5703125" style="3" customWidth="1"/>
    <col min="14786" max="14786" width="13" style="3" customWidth="1"/>
    <col min="14787" max="14787" width="16" style="3" customWidth="1"/>
    <col min="14788" max="14788" width="6.42578125" style="3" customWidth="1"/>
    <col min="14789" max="14789" width="16" style="3" customWidth="1"/>
    <col min="14790" max="14790" width="2.85546875" style="3" customWidth="1"/>
    <col min="14791" max="14791" width="0.85546875" style="3" customWidth="1"/>
    <col min="14792" max="14792" width="11" style="3"/>
    <col min="14793" max="14793" width="15.42578125" style="3" customWidth="1"/>
    <col min="14794" max="14796" width="14.85546875" style="3" customWidth="1"/>
    <col min="14797" max="14797" width="0.7109375" style="3" customWidth="1"/>
    <col min="14798" max="14798" width="11" style="3"/>
    <col min="14799" max="14799" width="15.7109375" style="3" customWidth="1"/>
    <col min="14800" max="14801" width="14.85546875" style="3" customWidth="1"/>
    <col min="14802" max="14802" width="3.28515625" style="3" customWidth="1"/>
    <col min="14803" max="14803" width="20.140625" style="3" customWidth="1"/>
    <col min="14804" max="14804" width="3.28515625" style="3" customWidth="1"/>
    <col min="14805" max="14809" width="11" style="3"/>
    <col min="14810" max="14822" width="4.7109375" style="3" customWidth="1"/>
    <col min="14823" max="15032" width="11" style="3"/>
    <col min="15033" max="15033" width="0.7109375" style="3" customWidth="1"/>
    <col min="15034" max="15034" width="6.5703125" style="3" customWidth="1"/>
    <col min="15035" max="15035" width="13.5703125" style="3" customWidth="1"/>
    <col min="15036" max="15036" width="13.42578125" style="3" customWidth="1"/>
    <col min="15037" max="15038" width="12.5703125" style="3" customWidth="1"/>
    <col min="15039" max="15039" width="14.85546875" style="3" customWidth="1"/>
    <col min="15040" max="15040" width="20.7109375" style="3" customWidth="1"/>
    <col min="15041" max="15041" width="12.5703125" style="3" customWidth="1"/>
    <col min="15042" max="15042" width="13" style="3" customWidth="1"/>
    <col min="15043" max="15043" width="16" style="3" customWidth="1"/>
    <col min="15044" max="15044" width="6.42578125" style="3" customWidth="1"/>
    <col min="15045" max="15045" width="16" style="3" customWidth="1"/>
    <col min="15046" max="15046" width="2.85546875" style="3" customWidth="1"/>
    <col min="15047" max="15047" width="0.85546875" style="3" customWidth="1"/>
    <col min="15048" max="15048" width="11" style="3"/>
    <col min="15049" max="15049" width="15.42578125" style="3" customWidth="1"/>
    <col min="15050" max="15052" width="14.85546875" style="3" customWidth="1"/>
    <col min="15053" max="15053" width="0.7109375" style="3" customWidth="1"/>
    <col min="15054" max="15054" width="11" style="3"/>
    <col min="15055" max="15055" width="15.7109375" style="3" customWidth="1"/>
    <col min="15056" max="15057" width="14.85546875" style="3" customWidth="1"/>
    <col min="15058" max="15058" width="3.28515625" style="3" customWidth="1"/>
    <col min="15059" max="15059" width="20.140625" style="3" customWidth="1"/>
    <col min="15060" max="15060" width="3.28515625" style="3" customWidth="1"/>
    <col min="15061" max="15065" width="11" style="3"/>
    <col min="15066" max="15078" width="4.7109375" style="3" customWidth="1"/>
    <col min="15079" max="15288" width="11" style="3"/>
    <col min="15289" max="15289" width="0.7109375" style="3" customWidth="1"/>
    <col min="15290" max="15290" width="6.5703125" style="3" customWidth="1"/>
    <col min="15291" max="15291" width="13.5703125" style="3" customWidth="1"/>
    <col min="15292" max="15292" width="13.42578125" style="3" customWidth="1"/>
    <col min="15293" max="15294" width="12.5703125" style="3" customWidth="1"/>
    <col min="15295" max="15295" width="14.85546875" style="3" customWidth="1"/>
    <col min="15296" max="15296" width="20.7109375" style="3" customWidth="1"/>
    <col min="15297" max="15297" width="12.5703125" style="3" customWidth="1"/>
    <col min="15298" max="15298" width="13" style="3" customWidth="1"/>
    <col min="15299" max="15299" width="16" style="3" customWidth="1"/>
    <col min="15300" max="15300" width="6.42578125" style="3" customWidth="1"/>
    <col min="15301" max="15301" width="16" style="3" customWidth="1"/>
    <col min="15302" max="15302" width="2.85546875" style="3" customWidth="1"/>
    <col min="15303" max="15303" width="0.85546875" style="3" customWidth="1"/>
    <col min="15304" max="15304" width="11" style="3"/>
    <col min="15305" max="15305" width="15.42578125" style="3" customWidth="1"/>
    <col min="15306" max="15308" width="14.85546875" style="3" customWidth="1"/>
    <col min="15309" max="15309" width="0.7109375" style="3" customWidth="1"/>
    <col min="15310" max="15310" width="11" style="3"/>
    <col min="15311" max="15311" width="15.7109375" style="3" customWidth="1"/>
    <col min="15312" max="15313" width="14.85546875" style="3" customWidth="1"/>
    <col min="15314" max="15314" width="3.28515625" style="3" customWidth="1"/>
    <col min="15315" max="15315" width="20.140625" style="3" customWidth="1"/>
    <col min="15316" max="15316" width="3.28515625" style="3" customWidth="1"/>
    <col min="15317" max="15321" width="11" style="3"/>
    <col min="15322" max="15334" width="4.7109375" style="3" customWidth="1"/>
    <col min="15335" max="15544" width="11" style="3"/>
    <col min="15545" max="15545" width="0.7109375" style="3" customWidth="1"/>
    <col min="15546" max="15546" width="6.5703125" style="3" customWidth="1"/>
    <col min="15547" max="15547" width="13.5703125" style="3" customWidth="1"/>
    <col min="15548" max="15548" width="13.42578125" style="3" customWidth="1"/>
    <col min="15549" max="15550" width="12.5703125" style="3" customWidth="1"/>
    <col min="15551" max="15551" width="14.85546875" style="3" customWidth="1"/>
    <col min="15552" max="15552" width="20.7109375" style="3" customWidth="1"/>
    <col min="15553" max="15553" width="12.5703125" style="3" customWidth="1"/>
    <col min="15554" max="15554" width="13" style="3" customWidth="1"/>
    <col min="15555" max="15555" width="16" style="3" customWidth="1"/>
    <col min="15556" max="15556" width="6.42578125" style="3" customWidth="1"/>
    <col min="15557" max="15557" width="16" style="3" customWidth="1"/>
    <col min="15558" max="15558" width="2.85546875" style="3" customWidth="1"/>
    <col min="15559" max="15559" width="0.85546875" style="3" customWidth="1"/>
    <col min="15560" max="15560" width="11" style="3"/>
    <col min="15561" max="15561" width="15.42578125" style="3" customWidth="1"/>
    <col min="15562" max="15564" width="14.85546875" style="3" customWidth="1"/>
    <col min="15565" max="15565" width="0.7109375" style="3" customWidth="1"/>
    <col min="15566" max="15566" width="11" style="3"/>
    <col min="15567" max="15567" width="15.7109375" style="3" customWidth="1"/>
    <col min="15568" max="15569" width="14.85546875" style="3" customWidth="1"/>
    <col min="15570" max="15570" width="3.28515625" style="3" customWidth="1"/>
    <col min="15571" max="15571" width="20.140625" style="3" customWidth="1"/>
    <col min="15572" max="15572" width="3.28515625" style="3" customWidth="1"/>
    <col min="15573" max="15577" width="11" style="3"/>
    <col min="15578" max="15590" width="4.7109375" style="3" customWidth="1"/>
    <col min="15591" max="15800" width="11" style="3"/>
    <col min="15801" max="15801" width="0.7109375" style="3" customWidth="1"/>
    <col min="15802" max="15802" width="6.5703125" style="3" customWidth="1"/>
    <col min="15803" max="15803" width="13.5703125" style="3" customWidth="1"/>
    <col min="15804" max="15804" width="13.42578125" style="3" customWidth="1"/>
    <col min="15805" max="15806" width="12.5703125" style="3" customWidth="1"/>
    <col min="15807" max="15807" width="14.85546875" style="3" customWidth="1"/>
    <col min="15808" max="15808" width="20.7109375" style="3" customWidth="1"/>
    <col min="15809" max="15809" width="12.5703125" style="3" customWidth="1"/>
    <col min="15810" max="15810" width="13" style="3" customWidth="1"/>
    <col min="15811" max="15811" width="16" style="3" customWidth="1"/>
    <col min="15812" max="15812" width="6.42578125" style="3" customWidth="1"/>
    <col min="15813" max="15813" width="16" style="3" customWidth="1"/>
    <col min="15814" max="15814" width="2.85546875" style="3" customWidth="1"/>
    <col min="15815" max="15815" width="0.85546875" style="3" customWidth="1"/>
    <col min="15816" max="15816" width="11" style="3"/>
    <col min="15817" max="15817" width="15.42578125" style="3" customWidth="1"/>
    <col min="15818" max="15820" width="14.85546875" style="3" customWidth="1"/>
    <col min="15821" max="15821" width="0.7109375" style="3" customWidth="1"/>
    <col min="15822" max="15822" width="11" style="3"/>
    <col min="15823" max="15823" width="15.7109375" style="3" customWidth="1"/>
    <col min="15824" max="15825" width="14.85546875" style="3" customWidth="1"/>
    <col min="15826" max="15826" width="3.28515625" style="3" customWidth="1"/>
    <col min="15827" max="15827" width="20.140625" style="3" customWidth="1"/>
    <col min="15828" max="15828" width="3.28515625" style="3" customWidth="1"/>
    <col min="15829" max="15833" width="11" style="3"/>
    <col min="15834" max="15846" width="4.7109375" style="3" customWidth="1"/>
    <col min="15847" max="16056" width="11" style="3"/>
    <col min="16057" max="16057" width="0.7109375" style="3" customWidth="1"/>
    <col min="16058" max="16058" width="6.5703125" style="3" customWidth="1"/>
    <col min="16059" max="16059" width="13.5703125" style="3" customWidth="1"/>
    <col min="16060" max="16060" width="13.42578125" style="3" customWidth="1"/>
    <col min="16061" max="16062" width="12.5703125" style="3" customWidth="1"/>
    <col min="16063" max="16063" width="14.85546875" style="3" customWidth="1"/>
    <col min="16064" max="16064" width="20.7109375" style="3" customWidth="1"/>
    <col min="16065" max="16065" width="12.5703125" style="3" customWidth="1"/>
    <col min="16066" max="16066" width="13" style="3" customWidth="1"/>
    <col min="16067" max="16067" width="16" style="3" customWidth="1"/>
    <col min="16068" max="16068" width="6.42578125" style="3" customWidth="1"/>
    <col min="16069" max="16069" width="16" style="3" customWidth="1"/>
    <col min="16070" max="16070" width="2.85546875" style="3" customWidth="1"/>
    <col min="16071" max="16071" width="0.85546875" style="3" customWidth="1"/>
    <col min="16072" max="16072" width="11" style="3"/>
    <col min="16073" max="16073" width="15.42578125" style="3" customWidth="1"/>
    <col min="16074" max="16076" width="14.85546875" style="3" customWidth="1"/>
    <col min="16077" max="16077" width="0.7109375" style="3" customWidth="1"/>
    <col min="16078" max="16078" width="11" style="3"/>
    <col min="16079" max="16079" width="15.7109375" style="3" customWidth="1"/>
    <col min="16080" max="16081" width="14.85546875" style="3" customWidth="1"/>
    <col min="16082" max="16082" width="3.28515625" style="3" customWidth="1"/>
    <col min="16083" max="16083" width="20.140625" style="3" customWidth="1"/>
    <col min="16084" max="16084" width="3.28515625" style="3" customWidth="1"/>
    <col min="16085" max="16089" width="11" style="3"/>
    <col min="16090" max="16102" width="4.7109375" style="3" customWidth="1"/>
    <col min="16103" max="16384" width="11" style="3"/>
  </cols>
  <sheetData>
    <row r="1" spans="1:28" s="1" customFormat="1" ht="19.5" customHeight="1">
      <c r="A1" s="236"/>
      <c r="B1" s="237"/>
      <c r="C1" s="179" t="s">
        <v>0</v>
      </c>
      <c r="D1" s="179"/>
      <c r="E1" s="179"/>
      <c r="F1" s="179"/>
      <c r="G1" s="179"/>
      <c r="H1" s="179"/>
      <c r="I1" s="179"/>
      <c r="J1" s="179"/>
      <c r="K1" s="180" t="s">
        <v>1</v>
      </c>
      <c r="L1" s="181"/>
      <c r="O1" s="80"/>
      <c r="P1" s="80"/>
      <c r="Q1" s="80"/>
      <c r="R1" s="80"/>
      <c r="S1" s="80"/>
      <c r="T1" s="80"/>
      <c r="U1" s="80"/>
      <c r="V1" s="80"/>
      <c r="W1" s="80"/>
      <c r="X1" s="80"/>
      <c r="Y1" s="80"/>
      <c r="Z1" s="80"/>
      <c r="AA1" s="80"/>
    </row>
    <row r="2" spans="1:28" s="1" customFormat="1" ht="19.5" customHeight="1">
      <c r="A2" s="238"/>
      <c r="B2" s="186"/>
      <c r="C2" s="241" t="s">
        <v>2</v>
      </c>
      <c r="D2" s="241"/>
      <c r="E2" s="241"/>
      <c r="F2" s="241"/>
      <c r="G2" s="241"/>
      <c r="H2" s="241"/>
      <c r="I2" s="241"/>
      <c r="J2" s="241"/>
      <c r="K2" s="182" t="s">
        <v>89</v>
      </c>
      <c r="L2" s="183"/>
      <c r="O2" s="80"/>
      <c r="P2" s="80"/>
      <c r="Q2" s="80"/>
      <c r="R2" s="80"/>
      <c r="S2" s="80"/>
      <c r="T2" s="80"/>
      <c r="U2" s="80"/>
      <c r="V2" s="80"/>
      <c r="W2" s="80"/>
      <c r="X2" s="80"/>
      <c r="Y2" s="80"/>
      <c r="Z2" s="80"/>
      <c r="AA2" s="80"/>
    </row>
    <row r="3" spans="1:28" s="1" customFormat="1" ht="19.5" customHeight="1">
      <c r="A3" s="238"/>
      <c r="B3" s="186"/>
      <c r="C3" s="241"/>
      <c r="D3" s="241"/>
      <c r="E3" s="241"/>
      <c r="F3" s="241"/>
      <c r="G3" s="241"/>
      <c r="H3" s="241"/>
      <c r="I3" s="241"/>
      <c r="J3" s="241"/>
      <c r="K3" s="182" t="s">
        <v>3</v>
      </c>
      <c r="L3" s="183"/>
      <c r="Q3" s="132"/>
      <c r="R3" s="80"/>
      <c r="T3" s="132" t="s">
        <v>4</v>
      </c>
      <c r="U3" s="132"/>
      <c r="V3" s="80"/>
      <c r="W3" s="80"/>
      <c r="X3" s="80"/>
      <c r="Y3" s="80"/>
      <c r="Z3" s="80"/>
      <c r="AA3" s="80"/>
    </row>
    <row r="4" spans="1:28" s="1" customFormat="1" ht="19.5" customHeight="1" thickBot="1">
      <c r="A4" s="239"/>
      <c r="B4" s="240"/>
      <c r="C4" s="242"/>
      <c r="D4" s="242"/>
      <c r="E4" s="242"/>
      <c r="F4" s="242"/>
      <c r="G4" s="242"/>
      <c r="H4" s="242"/>
      <c r="I4" s="242"/>
      <c r="J4" s="242"/>
      <c r="K4" s="184" t="s">
        <v>88</v>
      </c>
      <c r="L4" s="185"/>
      <c r="Q4" s="132"/>
      <c r="R4" s="80"/>
      <c r="S4" s="132"/>
      <c r="T4" s="132"/>
      <c r="U4" s="132"/>
      <c r="V4" s="80"/>
      <c r="W4" s="80"/>
      <c r="X4" s="80"/>
      <c r="Y4" s="80"/>
      <c r="Z4" s="80"/>
      <c r="AA4" s="80"/>
    </row>
    <row r="5" spans="1:28" s="1" customFormat="1" ht="3.95" customHeight="1" thickBot="1">
      <c r="A5" s="5"/>
      <c r="B5" s="186"/>
      <c r="C5" s="186"/>
      <c r="D5" s="186"/>
      <c r="E5" s="186"/>
      <c r="F5" s="186"/>
      <c r="G5" s="186"/>
      <c r="H5" s="186"/>
      <c r="I5" s="186"/>
      <c r="J5" s="186"/>
      <c r="K5" s="186"/>
      <c r="L5" s="81"/>
      <c r="Q5" s="132"/>
      <c r="R5" s="132"/>
      <c r="T5" s="132"/>
      <c r="U5" s="132"/>
      <c r="V5" s="80"/>
      <c r="W5" s="80"/>
      <c r="X5" s="80"/>
      <c r="Y5" s="80"/>
      <c r="Z5" s="80"/>
      <c r="AA5" s="80"/>
      <c r="AB5" s="80"/>
    </row>
    <row r="6" spans="1:28" s="1" customFormat="1" ht="22.5" customHeight="1">
      <c r="A6" s="6"/>
      <c r="B6" s="7" t="s">
        <v>5</v>
      </c>
      <c r="C6" s="273" t="s">
        <v>91</v>
      </c>
      <c r="D6" s="273"/>
      <c r="E6" s="273"/>
      <c r="F6" s="273"/>
      <c r="G6" s="273"/>
      <c r="H6" s="188" t="s">
        <v>6</v>
      </c>
      <c r="I6" s="188"/>
      <c r="J6" s="189">
        <v>45884</v>
      </c>
      <c r="K6" s="189"/>
      <c r="L6" s="190"/>
      <c r="Q6" s="80"/>
      <c r="R6" s="80"/>
      <c r="T6" s="133" t="s">
        <v>7</v>
      </c>
      <c r="U6" s="80"/>
      <c r="V6" s="80"/>
      <c r="W6" s="80"/>
      <c r="X6" s="80"/>
      <c r="Y6" s="80"/>
      <c r="Z6" s="80"/>
      <c r="AA6" s="80"/>
      <c r="AB6" s="80"/>
    </row>
    <row r="7" spans="1:28" s="1" customFormat="1" ht="24.75" customHeight="1">
      <c r="A7" s="5"/>
      <c r="B7" s="9" t="s">
        <v>8</v>
      </c>
      <c r="C7" s="274" t="s">
        <v>92</v>
      </c>
      <c r="D7" s="274"/>
      <c r="E7" s="274"/>
      <c r="F7" s="274"/>
      <c r="G7" s="274"/>
      <c r="H7" s="192" t="s">
        <v>9</v>
      </c>
      <c r="I7" s="192"/>
      <c r="J7" s="193">
        <v>45923</v>
      </c>
      <c r="K7" s="193"/>
      <c r="L7" s="194"/>
      <c r="Q7" s="80"/>
      <c r="R7" s="80"/>
      <c r="T7" s="133" t="s">
        <v>10</v>
      </c>
      <c r="U7" s="80"/>
      <c r="V7" s="80"/>
      <c r="W7" s="80"/>
      <c r="X7" s="80"/>
      <c r="Y7" s="80"/>
      <c r="Z7" s="80"/>
      <c r="AA7" s="80"/>
      <c r="AB7" s="80"/>
    </row>
    <row r="8" spans="1:28" s="1" customFormat="1" ht="22.5" customHeight="1">
      <c r="A8" s="5"/>
      <c r="B8" s="9" t="s">
        <v>11</v>
      </c>
      <c r="C8" s="271" t="s">
        <v>12</v>
      </c>
      <c r="D8" s="272"/>
      <c r="E8" s="272"/>
      <c r="F8" s="272"/>
      <c r="G8" s="272"/>
      <c r="H8" s="192" t="s">
        <v>13</v>
      </c>
      <c r="I8" s="192"/>
      <c r="J8" s="193">
        <v>45932</v>
      </c>
      <c r="K8" s="193"/>
      <c r="L8" s="194"/>
      <c r="Q8" s="80"/>
      <c r="R8" s="80"/>
      <c r="S8" s="1">
        <f>17-2.57</f>
        <v>14.43</v>
      </c>
      <c r="T8" s="133" t="s">
        <v>14</v>
      </c>
      <c r="U8" s="80"/>
      <c r="V8" s="80"/>
      <c r="W8" s="80"/>
      <c r="X8" s="80"/>
      <c r="Y8" s="80"/>
      <c r="Z8" s="80"/>
      <c r="AA8" s="80"/>
      <c r="AB8" s="80"/>
    </row>
    <row r="9" spans="1:28" s="1" customFormat="1" ht="22.5" customHeight="1">
      <c r="A9" s="5"/>
      <c r="B9" s="9" t="s">
        <v>15</v>
      </c>
      <c r="C9" s="202" t="s">
        <v>93</v>
      </c>
      <c r="D9" s="202"/>
      <c r="E9" s="202"/>
      <c r="F9" s="202"/>
      <c r="G9" s="202"/>
      <c r="H9" s="192" t="s">
        <v>16</v>
      </c>
      <c r="I9" s="192"/>
      <c r="J9" s="82" t="s">
        <v>17</v>
      </c>
      <c r="K9" s="83" t="s">
        <v>90</v>
      </c>
      <c r="L9" s="84" t="s">
        <v>85</v>
      </c>
      <c r="Q9" s="80"/>
      <c r="R9" s="80"/>
      <c r="T9" s="133" t="s">
        <v>18</v>
      </c>
      <c r="U9" s="80"/>
      <c r="V9" s="80"/>
      <c r="W9" s="80"/>
      <c r="X9" s="80"/>
      <c r="Y9" s="80"/>
      <c r="Z9" s="80"/>
      <c r="AA9" s="80"/>
      <c r="AB9" s="80"/>
    </row>
    <row r="10" spans="1:28" s="1" customFormat="1" ht="22.5" customHeight="1">
      <c r="A10" s="5"/>
      <c r="B10" s="10" t="s">
        <v>19</v>
      </c>
      <c r="C10" s="202" t="s">
        <v>20</v>
      </c>
      <c r="D10" s="202"/>
      <c r="E10" s="202"/>
      <c r="F10" s="202"/>
      <c r="G10" s="202"/>
      <c r="H10" s="196" t="s">
        <v>21</v>
      </c>
      <c r="I10" s="196"/>
      <c r="J10" s="197" t="str">
        <f>CONCATENATE(K9,," ",L9,"-",D12,"-",F12)</f>
        <v>056 25-:P-VILLA RICA  AP6-3</v>
      </c>
      <c r="K10" s="197"/>
      <c r="L10" s="198"/>
      <c r="Q10" s="80"/>
      <c r="R10" s="80"/>
      <c r="T10" s="133" t="s">
        <v>22</v>
      </c>
      <c r="U10" s="80"/>
      <c r="V10" s="80"/>
      <c r="W10" s="80"/>
      <c r="X10" s="80"/>
      <c r="Y10" s="80"/>
      <c r="Z10" s="80"/>
      <c r="AA10" s="80"/>
      <c r="AB10" s="80"/>
    </row>
    <row r="11" spans="1:28" s="1" customFormat="1" ht="3.95" customHeight="1" thickBot="1">
      <c r="A11" s="11"/>
      <c r="B11" s="199"/>
      <c r="C11" s="199"/>
      <c r="D11" s="199"/>
      <c r="E11" s="199"/>
      <c r="F11" s="199"/>
      <c r="G11" s="199"/>
      <c r="H11" s="199"/>
      <c r="I11" s="199"/>
      <c r="J11" s="199"/>
      <c r="K11" s="199"/>
      <c r="L11" s="85"/>
      <c r="Q11" s="80"/>
      <c r="R11" s="80"/>
      <c r="T11" s="133"/>
      <c r="U11" s="80"/>
      <c r="V11" s="80"/>
      <c r="W11" s="80"/>
      <c r="X11" s="80"/>
      <c r="Y11" s="80"/>
      <c r="Z11" s="80"/>
      <c r="AA11" s="80"/>
      <c r="AB11" s="80"/>
    </row>
    <row r="12" spans="1:28" s="1" customFormat="1" ht="22.5" customHeight="1">
      <c r="A12" s="6"/>
      <c r="B12" s="7" t="s">
        <v>23</v>
      </c>
      <c r="C12" s="12" t="s">
        <v>10</v>
      </c>
      <c r="D12" s="13" t="s">
        <v>116</v>
      </c>
      <c r="E12" s="14" t="s">
        <v>24</v>
      </c>
      <c r="F12" s="200">
        <v>3</v>
      </c>
      <c r="G12" s="200"/>
      <c r="H12" s="201" t="s">
        <v>25</v>
      </c>
      <c r="I12" s="201"/>
      <c r="J12" s="86">
        <v>1.8</v>
      </c>
      <c r="K12" s="87" t="s">
        <v>26</v>
      </c>
      <c r="L12" s="88">
        <v>2</v>
      </c>
      <c r="Q12" s="80"/>
      <c r="R12" s="80"/>
      <c r="T12" s="133"/>
      <c r="U12" s="80"/>
      <c r="V12" s="80"/>
      <c r="W12" s="80"/>
      <c r="X12" s="80"/>
      <c r="Y12" s="80"/>
      <c r="Z12" s="80"/>
      <c r="AA12" s="80"/>
      <c r="AB12" s="80"/>
    </row>
    <row r="13" spans="1:28" s="1" customFormat="1" ht="22.5" customHeight="1">
      <c r="A13" s="5"/>
      <c r="B13" s="9" t="s">
        <v>27</v>
      </c>
      <c r="C13" s="202" t="s">
        <v>119</v>
      </c>
      <c r="D13" s="202"/>
      <c r="E13" s="202"/>
      <c r="F13" s="202"/>
      <c r="G13" s="202"/>
      <c r="H13" s="202"/>
      <c r="I13" s="202"/>
      <c r="J13" s="202"/>
      <c r="K13" s="202"/>
      <c r="L13" s="203"/>
      <c r="O13" s="1">
        <f>-MOD1</f>
        <v>0</v>
      </c>
      <c r="Q13" s="80"/>
      <c r="R13" s="80"/>
      <c r="T13" s="133"/>
      <c r="U13" s="80"/>
      <c r="V13" s="80"/>
      <c r="W13" s="80"/>
      <c r="X13" s="80"/>
      <c r="Y13" s="80"/>
      <c r="Z13" s="80"/>
      <c r="AA13" s="80"/>
      <c r="AB13" s="80"/>
    </row>
    <row r="14" spans="1:28" s="1" customFormat="1" ht="6.95" customHeight="1" thickBot="1">
      <c r="A14" s="11"/>
      <c r="B14" s="15"/>
      <c r="C14" s="16"/>
      <c r="D14" s="16"/>
      <c r="E14" s="16"/>
      <c r="F14" s="16"/>
      <c r="G14" s="16"/>
      <c r="H14" s="16"/>
      <c r="I14" s="16"/>
      <c r="J14" s="16"/>
      <c r="K14" s="16"/>
      <c r="L14" s="89"/>
      <c r="P14" s="80"/>
      <c r="Q14" s="80"/>
      <c r="R14" s="80"/>
      <c r="S14" s="80"/>
      <c r="T14" s="80"/>
      <c r="U14" s="80"/>
      <c r="V14" s="80"/>
      <c r="W14" s="80"/>
      <c r="X14" s="80"/>
      <c r="Y14" s="80"/>
      <c r="Z14" s="80"/>
      <c r="AA14" s="80"/>
      <c r="AB14" s="80"/>
    </row>
    <row r="15" spans="1:28" ht="14.25" customHeight="1" thickBot="1">
      <c r="A15" s="17"/>
      <c r="B15" s="18"/>
      <c r="C15" s="18"/>
      <c r="D15" s="18"/>
      <c r="E15" s="18"/>
      <c r="F15" s="18"/>
      <c r="G15" s="18"/>
      <c r="H15" s="18"/>
      <c r="I15" s="18"/>
      <c r="J15" s="18"/>
      <c r="K15" s="18"/>
      <c r="L15" s="90"/>
    </row>
    <row r="16" spans="1:28" ht="22.5" customHeight="1" thickBot="1">
      <c r="A16" s="204"/>
      <c r="B16" s="205"/>
      <c r="C16" s="205"/>
      <c r="D16" s="205"/>
      <c r="E16" s="205"/>
      <c r="F16" s="205"/>
      <c r="G16" s="205"/>
      <c r="H16" s="205"/>
      <c r="I16" s="205"/>
      <c r="J16" s="205"/>
      <c r="K16" s="205"/>
      <c r="L16" s="206"/>
    </row>
    <row r="17" spans="1:19" ht="22.5" customHeight="1" thickBot="1">
      <c r="A17" s="17"/>
      <c r="B17" s="18"/>
      <c r="C17" s="18"/>
      <c r="D17" s="18"/>
      <c r="E17" s="18"/>
      <c r="F17" s="18"/>
      <c r="G17" s="19"/>
      <c r="H17" s="19"/>
      <c r="I17" s="19"/>
      <c r="J17" s="19"/>
      <c r="K17" s="19"/>
      <c r="L17" s="91"/>
    </row>
    <row r="18" spans="1:19" s="2" customFormat="1" ht="22.5" customHeight="1" thickBot="1">
      <c r="A18" s="207" t="s">
        <v>28</v>
      </c>
      <c r="B18" s="208"/>
      <c r="C18" s="208"/>
      <c r="D18" s="208"/>
      <c r="E18" s="209"/>
      <c r="F18" s="20"/>
      <c r="G18" s="207" t="s">
        <v>28</v>
      </c>
      <c r="H18" s="208"/>
      <c r="I18" s="208"/>
      <c r="J18" s="208"/>
      <c r="K18" s="208"/>
      <c r="L18" s="209"/>
      <c r="O18" s="92"/>
    </row>
    <row r="19" spans="1:19" s="2" customFormat="1" ht="27.75" customHeight="1" thickBot="1">
      <c r="A19" s="210"/>
      <c r="B19" s="211"/>
      <c r="C19" s="211"/>
      <c r="D19" s="22" t="s">
        <v>29</v>
      </c>
      <c r="E19" s="23" t="s">
        <v>30</v>
      </c>
      <c r="F19" s="24"/>
      <c r="G19" s="243" t="s">
        <v>31</v>
      </c>
      <c r="H19" s="244"/>
      <c r="I19" s="212" t="s">
        <v>32</v>
      </c>
      <c r="J19" s="213"/>
      <c r="K19" s="214" t="s">
        <v>33</v>
      </c>
      <c r="L19" s="215"/>
    </row>
    <row r="20" spans="1:19" s="2" customFormat="1" ht="22.5" customHeight="1">
      <c r="A20" s="216" t="s">
        <v>34</v>
      </c>
      <c r="B20" s="217"/>
      <c r="C20" s="25"/>
      <c r="D20" s="26">
        <v>2049</v>
      </c>
      <c r="E20" s="27">
        <v>2049</v>
      </c>
      <c r="F20" s="28"/>
      <c r="G20" s="245"/>
      <c r="H20" s="246"/>
      <c r="I20" s="93" t="s">
        <v>35</v>
      </c>
      <c r="J20" s="168" t="s">
        <v>36</v>
      </c>
      <c r="K20" s="95" t="s">
        <v>37</v>
      </c>
      <c r="L20" s="150" t="s">
        <v>36</v>
      </c>
      <c r="N20" s="92"/>
    </row>
    <row r="21" spans="1:19" s="2" customFormat="1" ht="22.5" customHeight="1">
      <c r="A21" s="216" t="s">
        <v>38</v>
      </c>
      <c r="B21" s="217"/>
      <c r="C21" s="25" t="s">
        <v>39</v>
      </c>
      <c r="D21" s="160">
        <v>15.4</v>
      </c>
      <c r="E21" s="161">
        <f>D21</f>
        <v>15.4</v>
      </c>
      <c r="F21" s="31"/>
      <c r="G21" s="96" t="s">
        <v>40</v>
      </c>
      <c r="H21" s="32" t="s">
        <v>41</v>
      </c>
      <c r="I21" s="96" t="s">
        <v>42</v>
      </c>
      <c r="J21" s="151" t="s">
        <v>43</v>
      </c>
      <c r="K21" s="96" t="s">
        <v>42</v>
      </c>
      <c r="L21" s="151" t="s">
        <v>43</v>
      </c>
      <c r="N21" s="97"/>
    </row>
    <row r="22" spans="1:19" s="2" customFormat="1" ht="22.5" customHeight="1">
      <c r="A22" s="216" t="s">
        <v>44</v>
      </c>
      <c r="B22" s="217"/>
      <c r="C22" s="25" t="s">
        <v>39</v>
      </c>
      <c r="D22" s="160">
        <v>15.1</v>
      </c>
      <c r="E22" s="161">
        <f>D22+E39</f>
        <v>15.1</v>
      </c>
      <c r="F22" s="31"/>
      <c r="G22" s="145">
        <v>0</v>
      </c>
      <c r="H22" s="33">
        <v>0</v>
      </c>
      <c r="I22" s="144">
        <v>0</v>
      </c>
      <c r="J22" s="152">
        <v>0</v>
      </c>
      <c r="K22" s="144">
        <v>0</v>
      </c>
      <c r="L22" s="152">
        <v>0</v>
      </c>
      <c r="N22" s="97"/>
      <c r="O22" s="2">
        <v>4.2999999999999997E-2</v>
      </c>
      <c r="S22" s="2">
        <v>2.1000000000000001E-2</v>
      </c>
    </row>
    <row r="23" spans="1:19" s="2" customFormat="1" ht="22.5" customHeight="1">
      <c r="A23" s="216" t="s">
        <v>45</v>
      </c>
      <c r="B23" s="217"/>
      <c r="C23" s="34" t="s">
        <v>46</v>
      </c>
      <c r="D23" s="35">
        <v>10674</v>
      </c>
      <c r="E23" s="169">
        <v>10872</v>
      </c>
      <c r="F23" s="31"/>
      <c r="G23" s="145">
        <v>5.0000000000000001E-3</v>
      </c>
      <c r="H23" s="33">
        <v>0.127</v>
      </c>
      <c r="I23" s="144">
        <v>0.20499999999999999</v>
      </c>
      <c r="J23" s="153">
        <f t="shared" ref="J23:J34" si="0">((I23/19.32)*10)</f>
        <v>0.10610766045548654</v>
      </c>
      <c r="K23" s="98">
        <v>4.2999999999999997E-2</v>
      </c>
      <c r="L23" s="153">
        <f t="shared" ref="L23:L34" si="1">((K23/19.32)*10)</f>
        <v>2.2256728778467905E-2</v>
      </c>
      <c r="N23" s="97"/>
      <c r="O23" s="2">
        <v>0.113</v>
      </c>
      <c r="S23" s="2">
        <v>7.5999999999999998E-2</v>
      </c>
    </row>
    <row r="24" spans="1:19" s="2" customFormat="1" ht="22.5" customHeight="1">
      <c r="A24" s="216" t="s">
        <v>47</v>
      </c>
      <c r="B24" s="217"/>
      <c r="C24" s="34" t="s">
        <v>46</v>
      </c>
      <c r="D24" s="167">
        <v>5862</v>
      </c>
      <c r="E24" s="37">
        <f>D24</f>
        <v>5862</v>
      </c>
      <c r="F24" s="38"/>
      <c r="G24" s="145">
        <v>2.5000000000000001E-2</v>
      </c>
      <c r="H24" s="33">
        <v>0.63500000000000001</v>
      </c>
      <c r="I24" s="144">
        <v>1.393</v>
      </c>
      <c r="J24" s="153">
        <f t="shared" si="0"/>
        <v>0.72101449275362317</v>
      </c>
      <c r="K24" s="98">
        <v>0.113</v>
      </c>
      <c r="L24" s="153">
        <f t="shared" si="1"/>
        <v>5.8488612836438927E-2</v>
      </c>
      <c r="N24" s="97"/>
      <c r="O24" s="2">
        <v>0.24299999999999999</v>
      </c>
      <c r="S24" s="2">
        <v>0.16</v>
      </c>
    </row>
    <row r="25" spans="1:19" s="2" customFormat="1" ht="22.5" customHeight="1">
      <c r="A25" s="216" t="s">
        <v>48</v>
      </c>
      <c r="B25" s="217"/>
      <c r="C25" s="34" t="s">
        <v>46</v>
      </c>
      <c r="D25" s="39">
        <f>+D23-D24</f>
        <v>4812</v>
      </c>
      <c r="E25" s="40">
        <f>E23-E24</f>
        <v>5010</v>
      </c>
      <c r="F25" s="41"/>
      <c r="G25" s="145">
        <v>0.05</v>
      </c>
      <c r="H25" s="33">
        <v>1.27</v>
      </c>
      <c r="I25" s="144">
        <v>3.456</v>
      </c>
      <c r="J25" s="153">
        <f t="shared" si="0"/>
        <v>1.7888198757763973</v>
      </c>
      <c r="K25" s="98">
        <v>0.24299999999999999</v>
      </c>
      <c r="L25" s="153">
        <f t="shared" si="1"/>
        <v>0.12577639751552794</v>
      </c>
      <c r="N25" s="97"/>
      <c r="O25" s="2">
        <v>0.40100000000000002</v>
      </c>
      <c r="S25" s="2">
        <v>0.27200000000000002</v>
      </c>
    </row>
    <row r="26" spans="1:19" s="2" customFormat="1" ht="22.5" customHeight="1">
      <c r="A26" s="216" t="s">
        <v>49</v>
      </c>
      <c r="B26" s="217"/>
      <c r="C26" s="34" t="s">
        <v>50</v>
      </c>
      <c r="D26" s="39">
        <f>((PI()*(D21*D21))/4)*D22</f>
        <v>2812.6019293132167</v>
      </c>
      <c r="E26" s="174">
        <f>((PI()*(E21*E21))/4)*E22</f>
        <v>2812.6019293132167</v>
      </c>
      <c r="F26" s="41"/>
      <c r="G26" s="145">
        <v>7.4999999999999997E-2</v>
      </c>
      <c r="H26" s="33">
        <v>1.905</v>
      </c>
      <c r="I26" s="144">
        <v>4.8579999999999997</v>
      </c>
      <c r="J26" s="153">
        <f>((I26/19.32)*10)</f>
        <v>2.514492753623188</v>
      </c>
      <c r="K26" s="98">
        <v>0.40100000000000002</v>
      </c>
      <c r="L26" s="153">
        <f t="shared" si="1"/>
        <v>0.20755693581780538</v>
      </c>
      <c r="N26" s="97"/>
      <c r="O26" s="2">
        <v>0.65100000000000002</v>
      </c>
      <c r="S26" s="2">
        <v>0.40500000000000003</v>
      </c>
    </row>
    <row r="27" spans="1:19" s="2" customFormat="1" ht="22.5" customHeight="1">
      <c r="A27" s="216" t="s">
        <v>51</v>
      </c>
      <c r="B27" s="217"/>
      <c r="C27" s="34" t="s">
        <v>52</v>
      </c>
      <c r="D27" s="42">
        <f>D25/D26</f>
        <v>1.7108713287326081</v>
      </c>
      <c r="E27" s="175">
        <f>E25/E26</f>
        <v>1.7812687774211069</v>
      </c>
      <c r="F27" s="44"/>
      <c r="G27" s="146">
        <v>0.1</v>
      </c>
      <c r="H27" s="45">
        <v>2.54</v>
      </c>
      <c r="I27" s="154">
        <v>5.3220000000000001</v>
      </c>
      <c r="J27" s="155">
        <f t="shared" si="0"/>
        <v>2.7546583850931676</v>
      </c>
      <c r="K27" s="158">
        <v>0.65100000000000002</v>
      </c>
      <c r="L27" s="155">
        <f t="shared" si="1"/>
        <v>0.33695652173913043</v>
      </c>
      <c r="N27" s="97"/>
      <c r="O27" s="2">
        <v>0.92</v>
      </c>
      <c r="S27" s="2">
        <v>0.58099999999999996</v>
      </c>
    </row>
    <row r="28" spans="1:19" s="2" customFormat="1" ht="22.5" customHeight="1" thickBot="1">
      <c r="A28" s="218" t="s">
        <v>53</v>
      </c>
      <c r="B28" s="219"/>
      <c r="C28" s="46" t="s">
        <v>52</v>
      </c>
      <c r="D28" s="47">
        <f>D27/(1+D34/100)</f>
        <v>1.2416378284181895</v>
      </c>
      <c r="E28" s="48">
        <f>E27/(1+E34/100)</f>
        <v>1.2410624829452523</v>
      </c>
      <c r="F28" s="49"/>
      <c r="G28" s="145">
        <v>0.125</v>
      </c>
      <c r="H28" s="33">
        <v>3.1749999999999998</v>
      </c>
      <c r="I28" s="98">
        <v>5.61</v>
      </c>
      <c r="J28" s="153">
        <f t="shared" si="0"/>
        <v>2.9037267080745344</v>
      </c>
      <c r="K28" s="98">
        <v>0.92</v>
      </c>
      <c r="L28" s="153">
        <f t="shared" si="1"/>
        <v>0.47619047619047622</v>
      </c>
      <c r="N28" s="97"/>
      <c r="O28" s="2">
        <v>1.1779999999999999</v>
      </c>
      <c r="S28" s="2">
        <v>0.78</v>
      </c>
    </row>
    <row r="29" spans="1:19" s="2" customFormat="1" ht="22.5" customHeight="1" thickBot="1">
      <c r="A29" s="207" t="s">
        <v>54</v>
      </c>
      <c r="B29" s="208" t="s">
        <v>54</v>
      </c>
      <c r="C29" s="208"/>
      <c r="D29" s="208"/>
      <c r="E29" s="209"/>
      <c r="F29" s="49"/>
      <c r="G29" s="147">
        <v>0.15</v>
      </c>
      <c r="H29" s="33">
        <v>3.81</v>
      </c>
      <c r="I29" s="98">
        <v>5.98</v>
      </c>
      <c r="J29" s="153">
        <f t="shared" si="0"/>
        <v>3.0952380952380953</v>
      </c>
      <c r="K29" s="98">
        <v>1.1779999999999999</v>
      </c>
      <c r="L29" s="153">
        <f>((K29/19.32)*10)</f>
        <v>0.60973084886128359</v>
      </c>
      <c r="N29" s="97"/>
      <c r="O29" s="2">
        <v>1.3839999999999999</v>
      </c>
      <c r="S29" s="2">
        <v>0.98499999999999999</v>
      </c>
    </row>
    <row r="30" spans="1:19" s="2" customFormat="1" ht="22.5" customHeight="1">
      <c r="A30" s="258" t="s">
        <v>55</v>
      </c>
      <c r="B30" s="259"/>
      <c r="C30" s="50"/>
      <c r="D30" s="51">
        <v>1</v>
      </c>
      <c r="E30" s="52">
        <v>330</v>
      </c>
      <c r="F30" s="44"/>
      <c r="G30" s="145">
        <v>0.17499999999999999</v>
      </c>
      <c r="H30" s="33">
        <v>4.4450000000000003</v>
      </c>
      <c r="I30" s="144">
        <v>6.3360000000000003</v>
      </c>
      <c r="J30" s="153">
        <f t="shared" si="0"/>
        <v>3.2795031055900621</v>
      </c>
      <c r="K30" s="98">
        <v>1.3839999999999999</v>
      </c>
      <c r="L30" s="153">
        <f t="shared" si="1"/>
        <v>0.71635610766045543</v>
      </c>
      <c r="N30" s="97"/>
      <c r="O30" s="2">
        <v>1.5629999999999999</v>
      </c>
      <c r="S30" s="2">
        <v>1.1599999999999999</v>
      </c>
    </row>
    <row r="31" spans="1:19" s="2" customFormat="1" ht="22.5" customHeight="1">
      <c r="A31" s="216" t="s">
        <v>56</v>
      </c>
      <c r="B31" s="217"/>
      <c r="C31" s="25" t="s">
        <v>46</v>
      </c>
      <c r="D31" s="53">
        <v>180.34</v>
      </c>
      <c r="E31" s="54">
        <v>875.77</v>
      </c>
      <c r="F31" s="41"/>
      <c r="G31" s="146">
        <v>0.2</v>
      </c>
      <c r="H31" s="45">
        <v>5.08</v>
      </c>
      <c r="I31" s="154">
        <v>6.6230000000000002</v>
      </c>
      <c r="J31" s="155">
        <f t="shared" si="0"/>
        <v>3.4280538302277437</v>
      </c>
      <c r="K31" s="158">
        <v>1.5629999999999999</v>
      </c>
      <c r="L31" s="155">
        <f t="shared" si="1"/>
        <v>0.80900621118012428</v>
      </c>
      <c r="N31" s="97"/>
      <c r="O31" s="2">
        <v>1.9379999999999999</v>
      </c>
      <c r="S31" s="2">
        <v>1.2969999999999999</v>
      </c>
    </row>
    <row r="32" spans="1:19" s="2" customFormat="1" ht="22.5" customHeight="1">
      <c r="A32" s="216" t="s">
        <v>57</v>
      </c>
      <c r="B32" s="217"/>
      <c r="C32" s="25" t="s">
        <v>46</v>
      </c>
      <c r="D32" s="53">
        <v>141.77000000000001</v>
      </c>
      <c r="E32" s="54">
        <v>647.75</v>
      </c>
      <c r="F32" s="49"/>
      <c r="G32" s="145">
        <v>0.3</v>
      </c>
      <c r="H32" s="33">
        <v>7.62</v>
      </c>
      <c r="I32" s="144">
        <v>7.5110000000000001</v>
      </c>
      <c r="J32" s="153">
        <f t="shared" si="0"/>
        <v>3.88768115942029</v>
      </c>
      <c r="K32" s="98">
        <v>1.9379999999999999</v>
      </c>
      <c r="L32" s="153">
        <f t="shared" si="1"/>
        <v>1.0031055900621118</v>
      </c>
      <c r="N32" s="97"/>
      <c r="O32" s="2">
        <v>2.1269999999999998</v>
      </c>
      <c r="S32" s="2">
        <v>1.2529999999999999</v>
      </c>
    </row>
    <row r="33" spans="1:19" s="2" customFormat="1" ht="22.5" customHeight="1">
      <c r="A33" s="216" t="s">
        <v>58</v>
      </c>
      <c r="B33" s="217"/>
      <c r="C33" s="25" t="s">
        <v>46</v>
      </c>
      <c r="D33" s="53">
        <v>39.71</v>
      </c>
      <c r="E33" s="54">
        <v>123.9</v>
      </c>
      <c r="F33" s="49"/>
      <c r="G33" s="145">
        <v>0.4</v>
      </c>
      <c r="H33" s="33">
        <v>10.16</v>
      </c>
      <c r="I33" s="144">
        <v>8.1869999999999994</v>
      </c>
      <c r="J33" s="153">
        <f t="shared" si="0"/>
        <v>4.2375776397515521</v>
      </c>
      <c r="K33" s="98">
        <v>2.1269999999999998</v>
      </c>
      <c r="L33" s="153">
        <f t="shared" si="1"/>
        <v>1.1009316770186333</v>
      </c>
      <c r="N33" s="97"/>
      <c r="O33" s="2">
        <v>2.3860000000000001</v>
      </c>
      <c r="S33" s="2">
        <v>1.2529999999999999</v>
      </c>
    </row>
    <row r="34" spans="1:19" s="2" customFormat="1" ht="22.5" customHeight="1" thickBot="1">
      <c r="A34" s="218" t="s">
        <v>59</v>
      </c>
      <c r="B34" s="219"/>
      <c r="C34" s="46" t="s">
        <v>60</v>
      </c>
      <c r="D34" s="47">
        <f>((D31-D32)/(D32-D33))*100</f>
        <v>37.791495198902595</v>
      </c>
      <c r="E34" s="48">
        <f>((E31-E32)/(E32-E33))*100</f>
        <v>43.527727402882498</v>
      </c>
      <c r="F34" s="49"/>
      <c r="G34" s="148">
        <v>0.5</v>
      </c>
      <c r="H34" s="149">
        <v>12.7</v>
      </c>
      <c r="I34" s="156">
        <v>8.7769999999999992</v>
      </c>
      <c r="J34" s="157">
        <f t="shared" si="0"/>
        <v>4.5429606625258794</v>
      </c>
      <c r="K34" s="159">
        <v>2.3860000000000001</v>
      </c>
      <c r="L34" s="157">
        <f t="shared" si="1"/>
        <v>1.2349896480331264</v>
      </c>
      <c r="N34" s="97"/>
    </row>
    <row r="35" spans="1:19" s="2" customFormat="1" ht="11.25" customHeight="1" thickBot="1">
      <c r="A35" s="55"/>
      <c r="B35" s="56"/>
      <c r="C35" s="57"/>
      <c r="D35" s="58"/>
      <c r="E35" s="58"/>
      <c r="F35" s="59"/>
      <c r="G35" s="58"/>
      <c r="H35" s="58"/>
      <c r="I35" s="58"/>
      <c r="J35" s="58"/>
      <c r="K35" s="58"/>
      <c r="L35" s="99"/>
      <c r="N35" s="97"/>
    </row>
    <row r="36" spans="1:19" s="2" customFormat="1" ht="22.5" customHeight="1" thickBot="1">
      <c r="A36" s="247" t="s">
        <v>61</v>
      </c>
      <c r="B36" s="248"/>
      <c r="C36" s="248"/>
      <c r="D36" s="248"/>
      <c r="E36" s="249"/>
      <c r="F36" s="60"/>
      <c r="G36" s="60"/>
      <c r="H36" s="207" t="s">
        <v>62</v>
      </c>
      <c r="I36" s="208"/>
      <c r="J36" s="208"/>
      <c r="K36" s="209"/>
      <c r="L36" s="100"/>
    </row>
    <row r="37" spans="1:19" s="2" customFormat="1" ht="22.5" customHeight="1" thickBot="1">
      <c r="A37" s="250" t="s">
        <v>63</v>
      </c>
      <c r="B37" s="251"/>
      <c r="C37" s="61" t="s">
        <v>64</v>
      </c>
      <c r="D37" s="277">
        <v>0.71250000000000002</v>
      </c>
      <c r="E37" s="278"/>
      <c r="F37" s="62"/>
      <c r="G37" s="62"/>
      <c r="H37" s="63" t="s">
        <v>65</v>
      </c>
      <c r="I37" s="101" t="s">
        <v>86</v>
      </c>
      <c r="J37" s="63" t="s">
        <v>66</v>
      </c>
      <c r="K37" s="102" t="s">
        <v>67</v>
      </c>
      <c r="L37" s="99"/>
    </row>
    <row r="38" spans="1:19" s="2" customFormat="1" ht="22.5" customHeight="1" thickBot="1">
      <c r="A38" s="224" t="s">
        <v>68</v>
      </c>
      <c r="B38" s="225"/>
      <c r="C38" s="64" t="s">
        <v>64</v>
      </c>
      <c r="D38" s="279">
        <v>0.69989999999999997</v>
      </c>
      <c r="E38" s="280"/>
      <c r="F38" s="62"/>
      <c r="G38" s="62"/>
      <c r="H38" s="256" t="s">
        <v>69</v>
      </c>
      <c r="I38" s="257"/>
      <c r="J38" s="256" t="s">
        <v>70</v>
      </c>
      <c r="K38" s="257"/>
      <c r="L38" s="99"/>
    </row>
    <row r="39" spans="1:19" s="2" customFormat="1" ht="22.5" customHeight="1" thickBot="1">
      <c r="A39" s="224" t="s">
        <v>71</v>
      </c>
      <c r="B39" s="225"/>
      <c r="C39" s="65" t="s">
        <v>39</v>
      </c>
      <c r="D39" s="226">
        <f>(D38-D37)*2.54</f>
        <v>-3.2004000000000143E-2</v>
      </c>
      <c r="E39" s="227"/>
      <c r="F39" s="31"/>
      <c r="G39" s="31"/>
      <c r="H39" s="163" t="s">
        <v>72</v>
      </c>
      <c r="I39" s="164">
        <v>4555</v>
      </c>
      <c r="J39" s="275">
        <v>4</v>
      </c>
      <c r="K39" s="229"/>
      <c r="L39" s="99"/>
    </row>
    <row r="40" spans="1:19" s="2" customFormat="1" ht="22.5" customHeight="1" thickBot="1">
      <c r="A40" s="230" t="s">
        <v>73</v>
      </c>
      <c r="B40" s="231"/>
      <c r="C40" s="67" t="s">
        <v>60</v>
      </c>
      <c r="D40" s="232">
        <f>IF(D39&lt;&gt;"",IF(D22&lt;&gt;"",D39/D22*100,""),"")</f>
        <v>-0.21194701986755063</v>
      </c>
      <c r="E40" s="233"/>
      <c r="F40" s="68"/>
      <c r="G40" s="68"/>
      <c r="H40" s="165" t="s">
        <v>33</v>
      </c>
      <c r="I40" s="166">
        <v>4555</v>
      </c>
      <c r="J40" s="276">
        <v>4</v>
      </c>
      <c r="K40" s="235"/>
      <c r="L40" s="99"/>
      <c r="P40" s="105"/>
      <c r="Q40" s="105"/>
      <c r="R40" s="134"/>
    </row>
    <row r="41" spans="1:19" s="2" customFormat="1" ht="33" customHeight="1" thickBot="1">
      <c r="A41" s="70"/>
      <c r="B41" s="58"/>
      <c r="C41" s="58"/>
      <c r="D41" s="58"/>
      <c r="E41" s="58"/>
      <c r="F41" s="71"/>
      <c r="G41" s="58"/>
      <c r="H41" s="70"/>
      <c r="I41" s="58"/>
      <c r="J41" s="107" t="str">
        <f>I19</f>
        <v>ANTES DE INMERSIÓN</v>
      </c>
      <c r="K41" s="107" t="str">
        <f>K19</f>
        <v xml:space="preserve">DESPUÉS DE INMERSIÓN </v>
      </c>
      <c r="L41" s="108"/>
      <c r="M41" s="20"/>
      <c r="P41" s="109"/>
      <c r="Q41" s="135"/>
      <c r="R41" s="136"/>
    </row>
    <row r="42" spans="1:19" s="2" customFormat="1" ht="22.5" customHeight="1">
      <c r="A42" s="70"/>
      <c r="B42" s="58"/>
      <c r="C42" s="58"/>
      <c r="D42" s="58"/>
      <c r="E42" s="58"/>
      <c r="F42" s="58"/>
      <c r="G42" s="58"/>
      <c r="H42" s="21" t="s">
        <v>74</v>
      </c>
      <c r="I42" s="110" t="s">
        <v>60</v>
      </c>
      <c r="J42" s="111">
        <f>(J27/6.9)*100</f>
        <v>39.922585291205323</v>
      </c>
      <c r="K42" s="112">
        <f>(L27/6.9)*100</f>
        <v>4.8834278512917457</v>
      </c>
      <c r="L42" s="99"/>
      <c r="P42" s="113"/>
      <c r="Q42" s="137"/>
      <c r="R42" s="136"/>
    </row>
    <row r="43" spans="1:19" s="2" customFormat="1" ht="22.5" customHeight="1" thickBot="1">
      <c r="A43" s="70"/>
      <c r="B43" s="73"/>
      <c r="C43" s="58"/>
      <c r="D43" s="58"/>
      <c r="E43" s="58"/>
      <c r="F43" s="58"/>
      <c r="G43" s="58"/>
      <c r="H43" s="74" t="s">
        <v>75</v>
      </c>
      <c r="I43" s="114" t="s">
        <v>60</v>
      </c>
      <c r="J43" s="115">
        <f>(J31/10.3)*100</f>
        <v>33.282076021628576</v>
      </c>
      <c r="K43" s="116">
        <f>(L31/10.3)*100</f>
        <v>7.8544292347584879</v>
      </c>
      <c r="L43" s="99"/>
      <c r="P43" s="117"/>
      <c r="Q43" s="138"/>
      <c r="R43" s="139"/>
    </row>
    <row r="44" spans="1:19" s="2" customFormat="1" ht="22.5" customHeight="1" thickBot="1">
      <c r="A44" s="70"/>
      <c r="B44" s="73"/>
      <c r="C44" s="73"/>
      <c r="D44" s="73"/>
      <c r="E44" s="58"/>
      <c r="F44" s="58"/>
      <c r="G44" s="58"/>
      <c r="H44" s="74" t="s">
        <v>76</v>
      </c>
      <c r="I44" s="114"/>
      <c r="J44" s="118">
        <f>IF(J42&lt;J43,J42,J43)</f>
        <v>33.282076021628576</v>
      </c>
      <c r="K44" s="119">
        <f>IF(K42&lt;K43,K42,K43)</f>
        <v>4.8834278512917457</v>
      </c>
      <c r="L44" s="120"/>
      <c r="M44" s="121"/>
    </row>
    <row r="45" spans="1:19" s="2" customFormat="1" ht="22.5" customHeight="1">
      <c r="A45" s="70"/>
      <c r="B45" s="58"/>
      <c r="C45" s="58"/>
      <c r="D45" s="59"/>
      <c r="E45" s="59"/>
      <c r="F45" s="59"/>
      <c r="G45" s="58"/>
      <c r="H45" s="4"/>
      <c r="I45" s="122"/>
      <c r="J45" s="122"/>
      <c r="K45" s="122"/>
      <c r="L45" s="99"/>
    </row>
    <row r="46" spans="1:19" s="2" customFormat="1" ht="22.5" customHeight="1">
      <c r="A46" s="70"/>
      <c r="B46" s="58"/>
      <c r="C46" s="58"/>
      <c r="D46" s="59"/>
      <c r="E46" s="59"/>
      <c r="F46" s="59"/>
      <c r="G46" s="58"/>
      <c r="H46" s="222" t="s">
        <v>77</v>
      </c>
      <c r="I46" s="222"/>
      <c r="J46" s="222" t="s">
        <v>78</v>
      </c>
      <c r="K46" s="222"/>
      <c r="L46" s="223"/>
    </row>
    <row r="47" spans="1:19" s="2" customFormat="1" ht="22.5" customHeight="1">
      <c r="A47" s="70"/>
      <c r="B47" s="56"/>
      <c r="C47" s="75"/>
      <c r="D47" s="76"/>
      <c r="E47" s="59"/>
      <c r="F47" s="59"/>
      <c r="G47" s="59"/>
      <c r="H47" s="77"/>
      <c r="I47" s="123"/>
      <c r="J47" s="77"/>
      <c r="K47" s="123"/>
      <c r="L47" s="124"/>
    </row>
    <row r="48" spans="1:19" s="2" customFormat="1" ht="22.5" customHeight="1">
      <c r="A48" s="70"/>
      <c r="B48" s="56"/>
      <c r="C48" s="75"/>
      <c r="D48" s="76"/>
      <c r="E48" s="59"/>
      <c r="F48" s="59"/>
      <c r="G48" s="59"/>
      <c r="H48" s="77"/>
      <c r="I48" s="123"/>
      <c r="J48" s="77"/>
      <c r="K48" s="123"/>
      <c r="L48" s="124"/>
    </row>
    <row r="49" spans="1:15" s="2" customFormat="1" ht="22.5" customHeight="1">
      <c r="A49" s="70"/>
      <c r="B49" s="56"/>
      <c r="C49" s="75"/>
      <c r="D49" s="76"/>
      <c r="E49" s="59"/>
      <c r="F49" s="59"/>
      <c r="G49" s="59"/>
      <c r="H49" s="77"/>
      <c r="I49" s="123"/>
      <c r="J49" s="77"/>
      <c r="K49"/>
      <c r="L49" s="124"/>
    </row>
    <row r="50" spans="1:15" s="2" customFormat="1" ht="22.5" customHeight="1">
      <c r="A50" s="70"/>
      <c r="B50" s="56"/>
      <c r="C50" s="75"/>
      <c r="D50" s="76"/>
      <c r="E50" s="59"/>
      <c r="F50" s="59"/>
      <c r="G50" s="59"/>
      <c r="H50" s="78"/>
      <c r="I50" s="78"/>
      <c r="J50" s="77"/>
      <c r="K50" s="123"/>
      <c r="L50" s="124"/>
    </row>
    <row r="51" spans="1:15" s="2" customFormat="1" ht="22.5" customHeight="1">
      <c r="A51" s="70"/>
      <c r="B51" s="56"/>
      <c r="C51" s="75"/>
      <c r="D51" s="76"/>
      <c r="E51" s="59"/>
      <c r="F51" s="59"/>
      <c r="G51" s="59"/>
      <c r="H51" s="220" t="s">
        <v>79</v>
      </c>
      <c r="I51" s="220"/>
      <c r="J51" s="220" t="s">
        <v>87</v>
      </c>
      <c r="K51" s="220"/>
      <c r="L51" s="221"/>
    </row>
    <row r="52" spans="1:15" s="2" customFormat="1" ht="22.5" customHeight="1">
      <c r="A52" s="70"/>
      <c r="B52" s="56"/>
      <c r="C52" s="75"/>
      <c r="D52" s="76"/>
      <c r="E52" s="59"/>
      <c r="F52" s="59"/>
      <c r="G52" s="59"/>
      <c r="H52" s="222" t="s">
        <v>80</v>
      </c>
      <c r="I52" s="222"/>
      <c r="J52" s="222" t="s">
        <v>81</v>
      </c>
      <c r="K52" s="222"/>
      <c r="L52" s="223"/>
    </row>
    <row r="53" spans="1:15" s="2" customFormat="1" ht="22.5" customHeight="1">
      <c r="A53" s="70"/>
      <c r="B53" s="56"/>
      <c r="C53" s="75"/>
      <c r="D53" s="76"/>
      <c r="E53" s="59"/>
      <c r="F53" s="59"/>
      <c r="G53" s="59"/>
      <c r="H53" s="186"/>
      <c r="I53" s="186"/>
      <c r="J53" s="186"/>
      <c r="K53" s="186"/>
      <c r="L53" s="99"/>
    </row>
    <row r="54" spans="1:15" s="2" customFormat="1" ht="22.5" customHeight="1">
      <c r="A54" s="70"/>
      <c r="B54" s="56"/>
      <c r="C54" s="75"/>
      <c r="D54" s="76"/>
      <c r="E54" s="59"/>
      <c r="F54" s="59"/>
      <c r="G54" s="59"/>
      <c r="H54" s="58"/>
      <c r="I54" s="58"/>
      <c r="J54" s="125"/>
      <c r="K54" s="58"/>
      <c r="L54" s="99"/>
      <c r="M54" s="126"/>
      <c r="N54" s="3"/>
    </row>
    <row r="55" spans="1:15" s="2" customFormat="1" ht="22.5" customHeight="1">
      <c r="A55" s="70"/>
      <c r="B55" s="56"/>
      <c r="C55" s="75"/>
      <c r="D55" s="76"/>
      <c r="E55" s="59"/>
      <c r="F55" s="59"/>
      <c r="G55" s="59"/>
      <c r="H55" s="58"/>
      <c r="I55" s="58"/>
      <c r="J55" s="127"/>
      <c r="K55" s="125"/>
      <c r="L55" s="128"/>
      <c r="M55" s="129"/>
      <c r="N55" s="3"/>
    </row>
    <row r="56" spans="1:15" s="2" customFormat="1" ht="22.5" customHeight="1">
      <c r="A56" s="264" t="s">
        <v>82</v>
      </c>
      <c r="B56" s="265"/>
      <c r="C56" s="265"/>
      <c r="D56" s="265"/>
      <c r="E56" s="265"/>
      <c r="F56" s="265"/>
      <c r="G56" s="265"/>
      <c r="H56" s="265"/>
      <c r="I56" s="265"/>
      <c r="J56" s="265"/>
      <c r="K56" s="265"/>
      <c r="L56" s="266"/>
      <c r="M56" s="130"/>
      <c r="N56" s="3"/>
      <c r="O56" s="3"/>
    </row>
    <row r="57" spans="1:15" s="2" customFormat="1" ht="22.5" customHeight="1">
      <c r="A57" s="261" t="s">
        <v>83</v>
      </c>
      <c r="B57" s="262"/>
      <c r="C57" s="262"/>
      <c r="D57" s="262"/>
      <c r="E57" s="262"/>
      <c r="F57" s="262"/>
      <c r="G57" s="262"/>
      <c r="H57" s="262"/>
      <c r="I57" s="262"/>
      <c r="J57" s="262"/>
      <c r="K57" s="262"/>
      <c r="L57" s="263"/>
      <c r="M57" s="3"/>
      <c r="N57" s="3"/>
      <c r="O57" s="3"/>
    </row>
    <row r="58" spans="1:15" s="2" customFormat="1" ht="22.5" customHeight="1">
      <c r="A58" s="261"/>
      <c r="B58" s="262"/>
      <c r="C58" s="262"/>
      <c r="D58" s="262"/>
      <c r="E58" s="262"/>
      <c r="F58" s="262"/>
      <c r="G58" s="262"/>
      <c r="H58" s="262"/>
      <c r="I58" s="262"/>
      <c r="J58" s="262"/>
      <c r="K58" s="262"/>
      <c r="L58" s="263"/>
      <c r="M58" s="3"/>
      <c r="N58" s="3"/>
      <c r="O58" s="3"/>
    </row>
    <row r="59" spans="1:15" ht="15" thickBot="1">
      <c r="A59" s="267" t="s">
        <v>84</v>
      </c>
      <c r="B59" s="268"/>
      <c r="C59" s="268"/>
      <c r="D59" s="268"/>
      <c r="E59" s="268"/>
      <c r="F59" s="268"/>
      <c r="G59" s="268"/>
      <c r="H59" s="268"/>
      <c r="I59" s="268"/>
      <c r="J59" s="268"/>
      <c r="K59" s="268"/>
      <c r="L59" s="269"/>
    </row>
    <row r="63" spans="1:15">
      <c r="I63" s="79"/>
      <c r="J63" s="79"/>
      <c r="K63" s="79"/>
      <c r="L63" s="79"/>
      <c r="M63" s="79"/>
      <c r="N63" s="79"/>
    </row>
    <row r="64" spans="1:15" ht="15" customHeight="1">
      <c r="E64" s="79"/>
      <c r="F64" s="79"/>
      <c r="G64" s="79"/>
      <c r="H64" s="79"/>
      <c r="I64" s="131"/>
      <c r="J64" s="131"/>
      <c r="K64" s="131"/>
      <c r="L64" s="131"/>
      <c r="M64" s="131"/>
      <c r="N64" s="131"/>
    </row>
    <row r="65" spans="2:18" ht="15" customHeight="1">
      <c r="E65" s="131"/>
      <c r="F65" s="131"/>
      <c r="G65" s="131"/>
      <c r="H65" s="131"/>
      <c r="I65" s="131"/>
      <c r="J65" s="131"/>
      <c r="K65" s="131"/>
      <c r="L65" s="131"/>
      <c r="M65" s="131"/>
      <c r="N65" s="131"/>
    </row>
    <row r="66" spans="2:18" ht="15" customHeight="1">
      <c r="E66" s="131"/>
      <c r="F66" s="131"/>
      <c r="G66" s="131"/>
      <c r="H66" s="131"/>
      <c r="I66" s="131"/>
      <c r="J66" s="131"/>
      <c r="K66" s="131"/>
      <c r="L66" s="131"/>
      <c r="M66" s="131"/>
      <c r="N66" s="131"/>
    </row>
    <row r="67" spans="2:18" ht="30.75" customHeight="1">
      <c r="E67" s="131"/>
      <c r="F67" s="131"/>
      <c r="G67" s="131"/>
      <c r="H67" s="131"/>
      <c r="I67" s="140"/>
      <c r="J67" s="140"/>
      <c r="K67" s="140"/>
      <c r="L67" s="140"/>
      <c r="M67" s="140"/>
      <c r="N67" s="140"/>
    </row>
    <row r="68" spans="2:18" ht="15" customHeight="1">
      <c r="E68" s="140"/>
      <c r="F68" s="140"/>
      <c r="G68" s="140"/>
      <c r="H68" s="140"/>
      <c r="I68" s="140"/>
      <c r="J68" s="140"/>
      <c r="K68" s="140"/>
      <c r="L68" s="140"/>
      <c r="M68" s="140"/>
      <c r="N68" s="140"/>
    </row>
    <row r="69" spans="2:18" ht="15" customHeight="1">
      <c r="E69" s="140"/>
      <c r="F69" s="140"/>
      <c r="G69" s="140"/>
      <c r="H69" s="140"/>
    </row>
    <row r="70" spans="2:18" ht="31.5" customHeight="1">
      <c r="E70" s="270"/>
      <c r="F70" s="270"/>
      <c r="G70" s="270"/>
      <c r="H70" s="270"/>
      <c r="I70" s="270"/>
      <c r="J70" s="270"/>
      <c r="K70" s="270"/>
      <c r="L70" s="270"/>
      <c r="M70" s="270"/>
      <c r="N70" s="270"/>
      <c r="O70" s="270"/>
      <c r="P70" s="270"/>
    </row>
    <row r="71" spans="2:18" ht="24" customHeight="1">
      <c r="B71" s="141"/>
      <c r="C71" s="142"/>
      <c r="D71" s="142"/>
      <c r="E71" s="142"/>
      <c r="F71" s="142"/>
      <c r="G71" s="142"/>
      <c r="H71" s="142"/>
      <c r="I71" s="142"/>
      <c r="J71" s="142"/>
      <c r="K71" s="142"/>
      <c r="L71" s="142"/>
      <c r="M71" s="142"/>
      <c r="N71" s="142"/>
      <c r="O71" s="142"/>
      <c r="P71" s="142"/>
      <c r="Q71" s="142"/>
      <c r="R71" s="142"/>
    </row>
    <row r="72" spans="2:18" ht="15" customHeight="1">
      <c r="B72" s="142"/>
      <c r="C72" s="142"/>
      <c r="D72" s="260"/>
      <c r="E72" s="260"/>
      <c r="F72" s="260"/>
      <c r="G72" s="260"/>
      <c r="H72" s="260"/>
      <c r="I72" s="260"/>
      <c r="J72" s="260"/>
      <c r="K72" s="260"/>
      <c r="L72" s="260"/>
      <c r="M72" s="260"/>
      <c r="N72" s="260"/>
      <c r="O72" s="260"/>
      <c r="P72" s="142"/>
      <c r="Q72" s="142"/>
      <c r="R72" s="142"/>
    </row>
    <row r="73" spans="2:18">
      <c r="D73" s="260"/>
      <c r="E73" s="260"/>
      <c r="F73" s="260"/>
      <c r="G73" s="260"/>
      <c r="H73" s="260"/>
      <c r="I73" s="260"/>
      <c r="J73" s="260"/>
      <c r="K73" s="260"/>
      <c r="L73" s="260"/>
      <c r="M73" s="260"/>
      <c r="N73" s="260"/>
      <c r="O73" s="260"/>
    </row>
  </sheetData>
  <sheetProtection formatCells="0" formatColumns="0" insertColumns="0" insertRows="0" deleteColumns="0" deleteRows="0"/>
  <mergeCells count="74">
    <mergeCell ref="A1:B4"/>
    <mergeCell ref="C1:J1"/>
    <mergeCell ref="K1:L1"/>
    <mergeCell ref="C2:J4"/>
    <mergeCell ref="K2:L2"/>
    <mergeCell ref="K3:L3"/>
    <mergeCell ref="K4:L4"/>
    <mergeCell ref="B5:K5"/>
    <mergeCell ref="C6:G6"/>
    <mergeCell ref="H6:I6"/>
    <mergeCell ref="J6:L6"/>
    <mergeCell ref="C7:G7"/>
    <mergeCell ref="H7:I7"/>
    <mergeCell ref="J7:L7"/>
    <mergeCell ref="A18:E18"/>
    <mergeCell ref="G18:L18"/>
    <mergeCell ref="C8:G8"/>
    <mergeCell ref="H8:I8"/>
    <mergeCell ref="J8:L8"/>
    <mergeCell ref="C9:G9"/>
    <mergeCell ref="H9:I9"/>
    <mergeCell ref="C10:G10"/>
    <mergeCell ref="H10:I10"/>
    <mergeCell ref="J10:L10"/>
    <mergeCell ref="B11:K11"/>
    <mergeCell ref="F12:G12"/>
    <mergeCell ref="H12:I12"/>
    <mergeCell ref="C13:L13"/>
    <mergeCell ref="A16:L16"/>
    <mergeCell ref="A27:B27"/>
    <mergeCell ref="A19:C19"/>
    <mergeCell ref="G19:H20"/>
    <mergeCell ref="I19:J19"/>
    <mergeCell ref="K19:L19"/>
    <mergeCell ref="A20:B20"/>
    <mergeCell ref="A21:B21"/>
    <mergeCell ref="A22:B22"/>
    <mergeCell ref="A23:B23"/>
    <mergeCell ref="A24:B24"/>
    <mergeCell ref="A25:B25"/>
    <mergeCell ref="A26:B26"/>
    <mergeCell ref="A38:B38"/>
    <mergeCell ref="D38:E38"/>
    <mergeCell ref="H38:I38"/>
    <mergeCell ref="J38:K38"/>
    <mergeCell ref="A28:B28"/>
    <mergeCell ref="A29:E29"/>
    <mergeCell ref="A30:B30"/>
    <mergeCell ref="A31:B31"/>
    <mergeCell ref="A32:B32"/>
    <mergeCell ref="A33:B33"/>
    <mergeCell ref="A34:B34"/>
    <mergeCell ref="A36:E36"/>
    <mergeCell ref="H36:K36"/>
    <mergeCell ref="A37:B37"/>
    <mergeCell ref="D37:E37"/>
    <mergeCell ref="A39:B39"/>
    <mergeCell ref="D39:E39"/>
    <mergeCell ref="J39:K39"/>
    <mergeCell ref="A40:B40"/>
    <mergeCell ref="D40:E40"/>
    <mergeCell ref="J40:K40"/>
    <mergeCell ref="D72:O73"/>
    <mergeCell ref="H46:I46"/>
    <mergeCell ref="J46:L46"/>
    <mergeCell ref="H51:I51"/>
    <mergeCell ref="J51:L51"/>
    <mergeCell ref="H52:I52"/>
    <mergeCell ref="J52:L52"/>
    <mergeCell ref="H53:K53"/>
    <mergeCell ref="A56:L56"/>
    <mergeCell ref="A57:L58"/>
    <mergeCell ref="A59:L59"/>
    <mergeCell ref="E70:P70"/>
  </mergeCells>
  <conditionalFormatting sqref="C6:G10">
    <cfRule type="containsBlanks" dxfId="109" priority="10">
      <formula>LEN(TRIM(C6))=0</formula>
    </cfRule>
  </conditionalFormatting>
  <conditionalFormatting sqref="C13:L13">
    <cfRule type="containsBlanks" dxfId="108" priority="9">
      <formula>LEN(TRIM(C13))=0</formula>
    </cfRule>
  </conditionalFormatting>
  <conditionalFormatting sqref="D20:D24">
    <cfRule type="containsBlanks" dxfId="107" priority="4">
      <formula>LEN(TRIM(D20))=0</formula>
    </cfRule>
  </conditionalFormatting>
  <conditionalFormatting sqref="D37:D38">
    <cfRule type="containsBlanks" dxfId="106" priority="3">
      <formula>LEN(TRIM(D37))=0</formula>
    </cfRule>
  </conditionalFormatting>
  <conditionalFormatting sqref="D30:E33">
    <cfRule type="containsBlanks" dxfId="105" priority="1">
      <formula>LEN(TRIM(D30))=0</formula>
    </cfRule>
  </conditionalFormatting>
  <conditionalFormatting sqref="E23">
    <cfRule type="containsBlanks" dxfId="104" priority="5">
      <formula>LEN(TRIM(E23))=0</formula>
    </cfRule>
  </conditionalFormatting>
  <conditionalFormatting sqref="F12:G12">
    <cfRule type="containsBlanks" dxfId="103" priority="8">
      <formula>LEN(TRIM(F12))=0</formula>
    </cfRule>
  </conditionalFormatting>
  <conditionalFormatting sqref="I22:I34">
    <cfRule type="containsBlanks" dxfId="102" priority="7">
      <formula>LEN(TRIM(I22))=0</formula>
    </cfRule>
  </conditionalFormatting>
  <conditionalFormatting sqref="I37">
    <cfRule type="containsBlanks" dxfId="101" priority="2">
      <formula>LEN(TRIM(I37))=0</formula>
    </cfRule>
  </conditionalFormatting>
  <conditionalFormatting sqref="K22:K34">
    <cfRule type="containsBlanks" dxfId="100" priority="6">
      <formula>LEN(TRIM(K22))=0</formula>
    </cfRule>
  </conditionalFormatting>
  <dataValidations count="2">
    <dataValidation type="list" allowBlank="1" showInputMessage="1" showErrorMessage="1" sqref="C12" xr:uid="{00000000-0002-0000-0C00-000000000000}">
      <formula1>$T$6:$T$13</formula1>
    </dataValidation>
    <dataValidation type="list" allowBlank="1" showInputMessage="1" showErrorMessage="1" sqref="I37" xr:uid="{00000000-0002-0000-0C00-000001000000}">
      <formula1>"5 kN, 50 kN"</formula1>
    </dataValidation>
  </dataValidations>
  <printOptions horizontalCentered="1" verticalCentered="1"/>
  <pageMargins left="0.31496062992126" right="0.31496062992126" top="0.15748031496063" bottom="0.55118110236220497" header="0" footer="0.118110236220472"/>
  <pageSetup scale="42" fitToWidth="0" fitToHeight="0" orientation="landscape" r:id="rId1"/>
  <headerFooter>
    <oddFooter>&amp;C&amp;"Arial,Normal"&amp;10GEODELTA S.A.S. Calle 68 B bis No 70 C 95, Móvil: 318 7902368 Bogotá DC - Colombia
e-mail: laboratoriogeodelta@gmail.com</oddFooter>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4" tint="0.79998168889431442"/>
  </sheetPr>
  <dimension ref="A1:AB73"/>
  <sheetViews>
    <sheetView showGridLines="0" view="pageBreakPreview" topLeftCell="A10" zoomScale="96" zoomScaleNormal="50" zoomScaleSheetLayoutView="96" zoomScalePageLayoutView="50" workbookViewId="0">
      <selection activeCell="J15" sqref="J15"/>
    </sheetView>
  </sheetViews>
  <sheetFormatPr baseColWidth="10" defaultColWidth="11" defaultRowHeight="14.25"/>
  <cols>
    <col min="1" max="1" width="10.5703125" style="3" customWidth="1"/>
    <col min="2" max="2" width="35.42578125" style="3" customWidth="1"/>
    <col min="3" max="3" width="20.85546875" style="3" customWidth="1"/>
    <col min="4" max="5" width="26.7109375" style="3" customWidth="1"/>
    <col min="6" max="6" width="3.7109375" style="3" customWidth="1"/>
    <col min="7" max="7" width="29.140625" style="3" customWidth="1"/>
    <col min="8" max="8" width="27.140625" style="3" customWidth="1"/>
    <col min="9" max="10" width="24.28515625" style="3" customWidth="1"/>
    <col min="11" max="12" width="22.42578125" style="3" customWidth="1"/>
    <col min="13" max="13" width="1.85546875" style="3" customWidth="1"/>
    <col min="14" max="16" width="12.85546875" style="3" customWidth="1"/>
    <col min="17" max="17" width="6.5703125" style="3" customWidth="1"/>
    <col min="18" max="18" width="6.28515625" style="3" customWidth="1"/>
    <col min="19" max="184" width="11" style="3"/>
    <col min="185" max="185" width="0.7109375" style="3" customWidth="1"/>
    <col min="186" max="186" width="6.5703125" style="3" customWidth="1"/>
    <col min="187" max="187" width="13.5703125" style="3" customWidth="1"/>
    <col min="188" max="188" width="13.42578125" style="3" customWidth="1"/>
    <col min="189" max="190" width="12.5703125" style="3" customWidth="1"/>
    <col min="191" max="191" width="14.85546875" style="3" customWidth="1"/>
    <col min="192" max="192" width="20.7109375" style="3" customWidth="1"/>
    <col min="193" max="193" width="12.5703125" style="3" customWidth="1"/>
    <col min="194" max="194" width="13" style="3" customWidth="1"/>
    <col min="195" max="195" width="16" style="3" customWidth="1"/>
    <col min="196" max="196" width="6.42578125" style="3" customWidth="1"/>
    <col min="197" max="197" width="16" style="3" customWidth="1"/>
    <col min="198" max="198" width="2.85546875" style="3" customWidth="1"/>
    <col min="199" max="199" width="0.85546875" style="3" customWidth="1"/>
    <col min="200" max="200" width="11" style="3"/>
    <col min="201" max="201" width="15.42578125" style="3" customWidth="1"/>
    <col min="202" max="204" width="14.85546875" style="3" customWidth="1"/>
    <col min="205" max="205" width="0.7109375" style="3" customWidth="1"/>
    <col min="206" max="206" width="11" style="3"/>
    <col min="207" max="207" width="15.7109375" style="3" customWidth="1"/>
    <col min="208" max="209" width="14.85546875" style="3" customWidth="1"/>
    <col min="210" max="210" width="3.28515625" style="3" customWidth="1"/>
    <col min="211" max="211" width="20.140625" style="3" customWidth="1"/>
    <col min="212" max="212" width="3.28515625" style="3" customWidth="1"/>
    <col min="213" max="217" width="11" style="3"/>
    <col min="218" max="230" width="4.7109375" style="3" customWidth="1"/>
    <col min="231" max="440" width="11" style="3"/>
    <col min="441" max="441" width="0.7109375" style="3" customWidth="1"/>
    <col min="442" max="442" width="6.5703125" style="3" customWidth="1"/>
    <col min="443" max="443" width="13.5703125" style="3" customWidth="1"/>
    <col min="444" max="444" width="13.42578125" style="3" customWidth="1"/>
    <col min="445" max="446" width="12.5703125" style="3" customWidth="1"/>
    <col min="447" max="447" width="14.85546875" style="3" customWidth="1"/>
    <col min="448" max="448" width="20.7109375" style="3" customWidth="1"/>
    <col min="449" max="449" width="12.5703125" style="3" customWidth="1"/>
    <col min="450" max="450" width="13" style="3" customWidth="1"/>
    <col min="451" max="451" width="16" style="3" customWidth="1"/>
    <col min="452" max="452" width="6.42578125" style="3" customWidth="1"/>
    <col min="453" max="453" width="16" style="3" customWidth="1"/>
    <col min="454" max="454" width="2.85546875" style="3" customWidth="1"/>
    <col min="455" max="455" width="0.85546875" style="3" customWidth="1"/>
    <col min="456" max="456" width="11" style="3"/>
    <col min="457" max="457" width="15.42578125" style="3" customWidth="1"/>
    <col min="458" max="460" width="14.85546875" style="3" customWidth="1"/>
    <col min="461" max="461" width="0.7109375" style="3" customWidth="1"/>
    <col min="462" max="462" width="11" style="3"/>
    <col min="463" max="463" width="15.7109375" style="3" customWidth="1"/>
    <col min="464" max="465" width="14.85546875" style="3" customWidth="1"/>
    <col min="466" max="466" width="3.28515625" style="3" customWidth="1"/>
    <col min="467" max="467" width="20.140625" style="3" customWidth="1"/>
    <col min="468" max="468" width="3.28515625" style="3" customWidth="1"/>
    <col min="469" max="473" width="11" style="3"/>
    <col min="474" max="486" width="4.7109375" style="3" customWidth="1"/>
    <col min="487" max="696" width="11" style="3"/>
    <col min="697" max="697" width="0.7109375" style="3" customWidth="1"/>
    <col min="698" max="698" width="6.5703125" style="3" customWidth="1"/>
    <col min="699" max="699" width="13.5703125" style="3" customWidth="1"/>
    <col min="700" max="700" width="13.42578125" style="3" customWidth="1"/>
    <col min="701" max="702" width="12.5703125" style="3" customWidth="1"/>
    <col min="703" max="703" width="14.85546875" style="3" customWidth="1"/>
    <col min="704" max="704" width="20.7109375" style="3" customWidth="1"/>
    <col min="705" max="705" width="12.5703125" style="3" customWidth="1"/>
    <col min="706" max="706" width="13" style="3" customWidth="1"/>
    <col min="707" max="707" width="16" style="3" customWidth="1"/>
    <col min="708" max="708" width="6.42578125" style="3" customWidth="1"/>
    <col min="709" max="709" width="16" style="3" customWidth="1"/>
    <col min="710" max="710" width="2.85546875" style="3" customWidth="1"/>
    <col min="711" max="711" width="0.85546875" style="3" customWidth="1"/>
    <col min="712" max="712" width="11" style="3"/>
    <col min="713" max="713" width="15.42578125" style="3" customWidth="1"/>
    <col min="714" max="716" width="14.85546875" style="3" customWidth="1"/>
    <col min="717" max="717" width="0.7109375" style="3" customWidth="1"/>
    <col min="718" max="718" width="11" style="3"/>
    <col min="719" max="719" width="15.7109375" style="3" customWidth="1"/>
    <col min="720" max="721" width="14.85546875" style="3" customWidth="1"/>
    <col min="722" max="722" width="3.28515625" style="3" customWidth="1"/>
    <col min="723" max="723" width="20.140625" style="3" customWidth="1"/>
    <col min="724" max="724" width="3.28515625" style="3" customWidth="1"/>
    <col min="725" max="729" width="11" style="3"/>
    <col min="730" max="742" width="4.7109375" style="3" customWidth="1"/>
    <col min="743" max="952" width="11" style="3"/>
    <col min="953" max="953" width="0.7109375" style="3" customWidth="1"/>
    <col min="954" max="954" width="6.5703125" style="3" customWidth="1"/>
    <col min="955" max="955" width="13.5703125" style="3" customWidth="1"/>
    <col min="956" max="956" width="13.42578125" style="3" customWidth="1"/>
    <col min="957" max="958" width="12.5703125" style="3" customWidth="1"/>
    <col min="959" max="959" width="14.85546875" style="3" customWidth="1"/>
    <col min="960" max="960" width="20.7109375" style="3" customWidth="1"/>
    <col min="961" max="961" width="12.5703125" style="3" customWidth="1"/>
    <col min="962" max="962" width="13" style="3" customWidth="1"/>
    <col min="963" max="963" width="16" style="3" customWidth="1"/>
    <col min="964" max="964" width="6.42578125" style="3" customWidth="1"/>
    <col min="965" max="965" width="16" style="3" customWidth="1"/>
    <col min="966" max="966" width="2.85546875" style="3" customWidth="1"/>
    <col min="967" max="967" width="0.85546875" style="3" customWidth="1"/>
    <col min="968" max="968" width="11" style="3"/>
    <col min="969" max="969" width="15.42578125" style="3" customWidth="1"/>
    <col min="970" max="972" width="14.85546875" style="3" customWidth="1"/>
    <col min="973" max="973" width="0.7109375" style="3" customWidth="1"/>
    <col min="974" max="974" width="11" style="3"/>
    <col min="975" max="975" width="15.7109375" style="3" customWidth="1"/>
    <col min="976" max="977" width="14.85546875" style="3" customWidth="1"/>
    <col min="978" max="978" width="3.28515625" style="3" customWidth="1"/>
    <col min="979" max="979" width="20.140625" style="3" customWidth="1"/>
    <col min="980" max="980" width="3.28515625" style="3" customWidth="1"/>
    <col min="981" max="985" width="11" style="3"/>
    <col min="986" max="998" width="4.7109375" style="3" customWidth="1"/>
    <col min="999" max="1208" width="11" style="3"/>
    <col min="1209" max="1209" width="0.7109375" style="3" customWidth="1"/>
    <col min="1210" max="1210" width="6.5703125" style="3" customWidth="1"/>
    <col min="1211" max="1211" width="13.5703125" style="3" customWidth="1"/>
    <col min="1212" max="1212" width="13.42578125" style="3" customWidth="1"/>
    <col min="1213" max="1214" width="12.5703125" style="3" customWidth="1"/>
    <col min="1215" max="1215" width="14.85546875" style="3" customWidth="1"/>
    <col min="1216" max="1216" width="20.7109375" style="3" customWidth="1"/>
    <col min="1217" max="1217" width="12.5703125" style="3" customWidth="1"/>
    <col min="1218" max="1218" width="13" style="3" customWidth="1"/>
    <col min="1219" max="1219" width="16" style="3" customWidth="1"/>
    <col min="1220" max="1220" width="6.42578125" style="3" customWidth="1"/>
    <col min="1221" max="1221" width="16" style="3" customWidth="1"/>
    <col min="1222" max="1222" width="2.85546875" style="3" customWidth="1"/>
    <col min="1223" max="1223" width="0.85546875" style="3" customWidth="1"/>
    <col min="1224" max="1224" width="11" style="3"/>
    <col min="1225" max="1225" width="15.42578125" style="3" customWidth="1"/>
    <col min="1226" max="1228" width="14.85546875" style="3" customWidth="1"/>
    <col min="1229" max="1229" width="0.7109375" style="3" customWidth="1"/>
    <col min="1230" max="1230" width="11" style="3"/>
    <col min="1231" max="1231" width="15.7109375" style="3" customWidth="1"/>
    <col min="1232" max="1233" width="14.85546875" style="3" customWidth="1"/>
    <col min="1234" max="1234" width="3.28515625" style="3" customWidth="1"/>
    <col min="1235" max="1235" width="20.140625" style="3" customWidth="1"/>
    <col min="1236" max="1236" width="3.28515625" style="3" customWidth="1"/>
    <col min="1237" max="1241" width="11" style="3"/>
    <col min="1242" max="1254" width="4.7109375" style="3" customWidth="1"/>
    <col min="1255" max="1464" width="11" style="3"/>
    <col min="1465" max="1465" width="0.7109375" style="3" customWidth="1"/>
    <col min="1466" max="1466" width="6.5703125" style="3" customWidth="1"/>
    <col min="1467" max="1467" width="13.5703125" style="3" customWidth="1"/>
    <col min="1468" max="1468" width="13.42578125" style="3" customWidth="1"/>
    <col min="1469" max="1470" width="12.5703125" style="3" customWidth="1"/>
    <col min="1471" max="1471" width="14.85546875" style="3" customWidth="1"/>
    <col min="1472" max="1472" width="20.7109375" style="3" customWidth="1"/>
    <col min="1473" max="1473" width="12.5703125" style="3" customWidth="1"/>
    <col min="1474" max="1474" width="13" style="3" customWidth="1"/>
    <col min="1475" max="1475" width="16" style="3" customWidth="1"/>
    <col min="1476" max="1476" width="6.42578125" style="3" customWidth="1"/>
    <col min="1477" max="1477" width="16" style="3" customWidth="1"/>
    <col min="1478" max="1478" width="2.85546875" style="3" customWidth="1"/>
    <col min="1479" max="1479" width="0.85546875" style="3" customWidth="1"/>
    <col min="1480" max="1480" width="11" style="3"/>
    <col min="1481" max="1481" width="15.42578125" style="3" customWidth="1"/>
    <col min="1482" max="1484" width="14.85546875" style="3" customWidth="1"/>
    <col min="1485" max="1485" width="0.7109375" style="3" customWidth="1"/>
    <col min="1486" max="1486" width="11" style="3"/>
    <col min="1487" max="1487" width="15.7109375" style="3" customWidth="1"/>
    <col min="1488" max="1489" width="14.85546875" style="3" customWidth="1"/>
    <col min="1490" max="1490" width="3.28515625" style="3" customWidth="1"/>
    <col min="1491" max="1491" width="20.140625" style="3" customWidth="1"/>
    <col min="1492" max="1492" width="3.28515625" style="3" customWidth="1"/>
    <col min="1493" max="1497" width="11" style="3"/>
    <col min="1498" max="1510" width="4.7109375" style="3" customWidth="1"/>
    <col min="1511" max="1720" width="11" style="3"/>
    <col min="1721" max="1721" width="0.7109375" style="3" customWidth="1"/>
    <col min="1722" max="1722" width="6.5703125" style="3" customWidth="1"/>
    <col min="1723" max="1723" width="13.5703125" style="3" customWidth="1"/>
    <col min="1724" max="1724" width="13.42578125" style="3" customWidth="1"/>
    <col min="1725" max="1726" width="12.5703125" style="3" customWidth="1"/>
    <col min="1727" max="1727" width="14.85546875" style="3" customWidth="1"/>
    <col min="1728" max="1728" width="20.7109375" style="3" customWidth="1"/>
    <col min="1729" max="1729" width="12.5703125" style="3" customWidth="1"/>
    <col min="1730" max="1730" width="13" style="3" customWidth="1"/>
    <col min="1731" max="1731" width="16" style="3" customWidth="1"/>
    <col min="1732" max="1732" width="6.42578125" style="3" customWidth="1"/>
    <col min="1733" max="1733" width="16" style="3" customWidth="1"/>
    <col min="1734" max="1734" width="2.85546875" style="3" customWidth="1"/>
    <col min="1735" max="1735" width="0.85546875" style="3" customWidth="1"/>
    <col min="1736" max="1736" width="11" style="3"/>
    <col min="1737" max="1737" width="15.42578125" style="3" customWidth="1"/>
    <col min="1738" max="1740" width="14.85546875" style="3" customWidth="1"/>
    <col min="1741" max="1741" width="0.7109375" style="3" customWidth="1"/>
    <col min="1742" max="1742" width="11" style="3"/>
    <col min="1743" max="1743" width="15.7109375" style="3" customWidth="1"/>
    <col min="1744" max="1745" width="14.85546875" style="3" customWidth="1"/>
    <col min="1746" max="1746" width="3.28515625" style="3" customWidth="1"/>
    <col min="1747" max="1747" width="20.140625" style="3" customWidth="1"/>
    <col min="1748" max="1748" width="3.28515625" style="3" customWidth="1"/>
    <col min="1749" max="1753" width="11" style="3"/>
    <col min="1754" max="1766" width="4.7109375" style="3" customWidth="1"/>
    <col min="1767" max="1976" width="11" style="3"/>
    <col min="1977" max="1977" width="0.7109375" style="3" customWidth="1"/>
    <col min="1978" max="1978" width="6.5703125" style="3" customWidth="1"/>
    <col min="1979" max="1979" width="13.5703125" style="3" customWidth="1"/>
    <col min="1980" max="1980" width="13.42578125" style="3" customWidth="1"/>
    <col min="1981" max="1982" width="12.5703125" style="3" customWidth="1"/>
    <col min="1983" max="1983" width="14.85546875" style="3" customWidth="1"/>
    <col min="1984" max="1984" width="20.7109375" style="3" customWidth="1"/>
    <col min="1985" max="1985" width="12.5703125" style="3" customWidth="1"/>
    <col min="1986" max="1986" width="13" style="3" customWidth="1"/>
    <col min="1987" max="1987" width="16" style="3" customWidth="1"/>
    <col min="1988" max="1988" width="6.42578125" style="3" customWidth="1"/>
    <col min="1989" max="1989" width="16" style="3" customWidth="1"/>
    <col min="1990" max="1990" width="2.85546875" style="3" customWidth="1"/>
    <col min="1991" max="1991" width="0.85546875" style="3" customWidth="1"/>
    <col min="1992" max="1992" width="11" style="3"/>
    <col min="1993" max="1993" width="15.42578125" style="3" customWidth="1"/>
    <col min="1994" max="1996" width="14.85546875" style="3" customWidth="1"/>
    <col min="1997" max="1997" width="0.7109375" style="3" customWidth="1"/>
    <col min="1998" max="1998" width="11" style="3"/>
    <col min="1999" max="1999" width="15.7109375" style="3" customWidth="1"/>
    <col min="2000" max="2001" width="14.85546875" style="3" customWidth="1"/>
    <col min="2002" max="2002" width="3.28515625" style="3" customWidth="1"/>
    <col min="2003" max="2003" width="20.140625" style="3" customWidth="1"/>
    <col min="2004" max="2004" width="3.28515625" style="3" customWidth="1"/>
    <col min="2005" max="2009" width="11" style="3"/>
    <col min="2010" max="2022" width="4.7109375" style="3" customWidth="1"/>
    <col min="2023" max="2232" width="11" style="3"/>
    <col min="2233" max="2233" width="0.7109375" style="3" customWidth="1"/>
    <col min="2234" max="2234" width="6.5703125" style="3" customWidth="1"/>
    <col min="2235" max="2235" width="13.5703125" style="3" customWidth="1"/>
    <col min="2236" max="2236" width="13.42578125" style="3" customWidth="1"/>
    <col min="2237" max="2238" width="12.5703125" style="3" customWidth="1"/>
    <col min="2239" max="2239" width="14.85546875" style="3" customWidth="1"/>
    <col min="2240" max="2240" width="20.7109375" style="3" customWidth="1"/>
    <col min="2241" max="2241" width="12.5703125" style="3" customWidth="1"/>
    <col min="2242" max="2242" width="13" style="3" customWidth="1"/>
    <col min="2243" max="2243" width="16" style="3" customWidth="1"/>
    <col min="2244" max="2244" width="6.42578125" style="3" customWidth="1"/>
    <col min="2245" max="2245" width="16" style="3" customWidth="1"/>
    <col min="2246" max="2246" width="2.85546875" style="3" customWidth="1"/>
    <col min="2247" max="2247" width="0.85546875" style="3" customWidth="1"/>
    <col min="2248" max="2248" width="11" style="3"/>
    <col min="2249" max="2249" width="15.42578125" style="3" customWidth="1"/>
    <col min="2250" max="2252" width="14.85546875" style="3" customWidth="1"/>
    <col min="2253" max="2253" width="0.7109375" style="3" customWidth="1"/>
    <col min="2254" max="2254" width="11" style="3"/>
    <col min="2255" max="2255" width="15.7109375" style="3" customWidth="1"/>
    <col min="2256" max="2257" width="14.85546875" style="3" customWidth="1"/>
    <col min="2258" max="2258" width="3.28515625" style="3" customWidth="1"/>
    <col min="2259" max="2259" width="20.140625" style="3" customWidth="1"/>
    <col min="2260" max="2260" width="3.28515625" style="3" customWidth="1"/>
    <col min="2261" max="2265" width="11" style="3"/>
    <col min="2266" max="2278" width="4.7109375" style="3" customWidth="1"/>
    <col min="2279" max="2488" width="11" style="3"/>
    <col min="2489" max="2489" width="0.7109375" style="3" customWidth="1"/>
    <col min="2490" max="2490" width="6.5703125" style="3" customWidth="1"/>
    <col min="2491" max="2491" width="13.5703125" style="3" customWidth="1"/>
    <col min="2492" max="2492" width="13.42578125" style="3" customWidth="1"/>
    <col min="2493" max="2494" width="12.5703125" style="3" customWidth="1"/>
    <col min="2495" max="2495" width="14.85546875" style="3" customWidth="1"/>
    <col min="2496" max="2496" width="20.7109375" style="3" customWidth="1"/>
    <col min="2497" max="2497" width="12.5703125" style="3" customWidth="1"/>
    <col min="2498" max="2498" width="13" style="3" customWidth="1"/>
    <col min="2499" max="2499" width="16" style="3" customWidth="1"/>
    <col min="2500" max="2500" width="6.42578125" style="3" customWidth="1"/>
    <col min="2501" max="2501" width="16" style="3" customWidth="1"/>
    <col min="2502" max="2502" width="2.85546875" style="3" customWidth="1"/>
    <col min="2503" max="2503" width="0.85546875" style="3" customWidth="1"/>
    <col min="2504" max="2504" width="11" style="3"/>
    <col min="2505" max="2505" width="15.42578125" style="3" customWidth="1"/>
    <col min="2506" max="2508" width="14.85546875" style="3" customWidth="1"/>
    <col min="2509" max="2509" width="0.7109375" style="3" customWidth="1"/>
    <col min="2510" max="2510" width="11" style="3"/>
    <col min="2511" max="2511" width="15.7109375" style="3" customWidth="1"/>
    <col min="2512" max="2513" width="14.85546875" style="3" customWidth="1"/>
    <col min="2514" max="2514" width="3.28515625" style="3" customWidth="1"/>
    <col min="2515" max="2515" width="20.140625" style="3" customWidth="1"/>
    <col min="2516" max="2516" width="3.28515625" style="3" customWidth="1"/>
    <col min="2517" max="2521" width="11" style="3"/>
    <col min="2522" max="2534" width="4.7109375" style="3" customWidth="1"/>
    <col min="2535" max="2744" width="11" style="3"/>
    <col min="2745" max="2745" width="0.7109375" style="3" customWidth="1"/>
    <col min="2746" max="2746" width="6.5703125" style="3" customWidth="1"/>
    <col min="2747" max="2747" width="13.5703125" style="3" customWidth="1"/>
    <col min="2748" max="2748" width="13.42578125" style="3" customWidth="1"/>
    <col min="2749" max="2750" width="12.5703125" style="3" customWidth="1"/>
    <col min="2751" max="2751" width="14.85546875" style="3" customWidth="1"/>
    <col min="2752" max="2752" width="20.7109375" style="3" customWidth="1"/>
    <col min="2753" max="2753" width="12.5703125" style="3" customWidth="1"/>
    <col min="2754" max="2754" width="13" style="3" customWidth="1"/>
    <col min="2755" max="2755" width="16" style="3" customWidth="1"/>
    <col min="2756" max="2756" width="6.42578125" style="3" customWidth="1"/>
    <col min="2757" max="2757" width="16" style="3" customWidth="1"/>
    <col min="2758" max="2758" width="2.85546875" style="3" customWidth="1"/>
    <col min="2759" max="2759" width="0.85546875" style="3" customWidth="1"/>
    <col min="2760" max="2760" width="11" style="3"/>
    <col min="2761" max="2761" width="15.42578125" style="3" customWidth="1"/>
    <col min="2762" max="2764" width="14.85546875" style="3" customWidth="1"/>
    <col min="2765" max="2765" width="0.7109375" style="3" customWidth="1"/>
    <col min="2766" max="2766" width="11" style="3"/>
    <col min="2767" max="2767" width="15.7109375" style="3" customWidth="1"/>
    <col min="2768" max="2769" width="14.85546875" style="3" customWidth="1"/>
    <col min="2770" max="2770" width="3.28515625" style="3" customWidth="1"/>
    <col min="2771" max="2771" width="20.140625" style="3" customWidth="1"/>
    <col min="2772" max="2772" width="3.28515625" style="3" customWidth="1"/>
    <col min="2773" max="2777" width="11" style="3"/>
    <col min="2778" max="2790" width="4.7109375" style="3" customWidth="1"/>
    <col min="2791" max="3000" width="11" style="3"/>
    <col min="3001" max="3001" width="0.7109375" style="3" customWidth="1"/>
    <col min="3002" max="3002" width="6.5703125" style="3" customWidth="1"/>
    <col min="3003" max="3003" width="13.5703125" style="3" customWidth="1"/>
    <col min="3004" max="3004" width="13.42578125" style="3" customWidth="1"/>
    <col min="3005" max="3006" width="12.5703125" style="3" customWidth="1"/>
    <col min="3007" max="3007" width="14.85546875" style="3" customWidth="1"/>
    <col min="3008" max="3008" width="20.7109375" style="3" customWidth="1"/>
    <col min="3009" max="3009" width="12.5703125" style="3" customWidth="1"/>
    <col min="3010" max="3010" width="13" style="3" customWidth="1"/>
    <col min="3011" max="3011" width="16" style="3" customWidth="1"/>
    <col min="3012" max="3012" width="6.42578125" style="3" customWidth="1"/>
    <col min="3013" max="3013" width="16" style="3" customWidth="1"/>
    <col min="3014" max="3014" width="2.85546875" style="3" customWidth="1"/>
    <col min="3015" max="3015" width="0.85546875" style="3" customWidth="1"/>
    <col min="3016" max="3016" width="11" style="3"/>
    <col min="3017" max="3017" width="15.42578125" style="3" customWidth="1"/>
    <col min="3018" max="3020" width="14.85546875" style="3" customWidth="1"/>
    <col min="3021" max="3021" width="0.7109375" style="3" customWidth="1"/>
    <col min="3022" max="3022" width="11" style="3"/>
    <col min="3023" max="3023" width="15.7109375" style="3" customWidth="1"/>
    <col min="3024" max="3025" width="14.85546875" style="3" customWidth="1"/>
    <col min="3026" max="3026" width="3.28515625" style="3" customWidth="1"/>
    <col min="3027" max="3027" width="20.140625" style="3" customWidth="1"/>
    <col min="3028" max="3028" width="3.28515625" style="3" customWidth="1"/>
    <col min="3029" max="3033" width="11" style="3"/>
    <col min="3034" max="3046" width="4.7109375" style="3" customWidth="1"/>
    <col min="3047" max="3256" width="11" style="3"/>
    <col min="3257" max="3257" width="0.7109375" style="3" customWidth="1"/>
    <col min="3258" max="3258" width="6.5703125" style="3" customWidth="1"/>
    <col min="3259" max="3259" width="13.5703125" style="3" customWidth="1"/>
    <col min="3260" max="3260" width="13.42578125" style="3" customWidth="1"/>
    <col min="3261" max="3262" width="12.5703125" style="3" customWidth="1"/>
    <col min="3263" max="3263" width="14.85546875" style="3" customWidth="1"/>
    <col min="3264" max="3264" width="20.7109375" style="3" customWidth="1"/>
    <col min="3265" max="3265" width="12.5703125" style="3" customWidth="1"/>
    <col min="3266" max="3266" width="13" style="3" customWidth="1"/>
    <col min="3267" max="3267" width="16" style="3" customWidth="1"/>
    <col min="3268" max="3268" width="6.42578125" style="3" customWidth="1"/>
    <col min="3269" max="3269" width="16" style="3" customWidth="1"/>
    <col min="3270" max="3270" width="2.85546875" style="3" customWidth="1"/>
    <col min="3271" max="3271" width="0.85546875" style="3" customWidth="1"/>
    <col min="3272" max="3272" width="11" style="3"/>
    <col min="3273" max="3273" width="15.42578125" style="3" customWidth="1"/>
    <col min="3274" max="3276" width="14.85546875" style="3" customWidth="1"/>
    <col min="3277" max="3277" width="0.7109375" style="3" customWidth="1"/>
    <col min="3278" max="3278" width="11" style="3"/>
    <col min="3279" max="3279" width="15.7109375" style="3" customWidth="1"/>
    <col min="3280" max="3281" width="14.85546875" style="3" customWidth="1"/>
    <col min="3282" max="3282" width="3.28515625" style="3" customWidth="1"/>
    <col min="3283" max="3283" width="20.140625" style="3" customWidth="1"/>
    <col min="3284" max="3284" width="3.28515625" style="3" customWidth="1"/>
    <col min="3285" max="3289" width="11" style="3"/>
    <col min="3290" max="3302" width="4.7109375" style="3" customWidth="1"/>
    <col min="3303" max="3512" width="11" style="3"/>
    <col min="3513" max="3513" width="0.7109375" style="3" customWidth="1"/>
    <col min="3514" max="3514" width="6.5703125" style="3" customWidth="1"/>
    <col min="3515" max="3515" width="13.5703125" style="3" customWidth="1"/>
    <col min="3516" max="3516" width="13.42578125" style="3" customWidth="1"/>
    <col min="3517" max="3518" width="12.5703125" style="3" customWidth="1"/>
    <col min="3519" max="3519" width="14.85546875" style="3" customWidth="1"/>
    <col min="3520" max="3520" width="20.7109375" style="3" customWidth="1"/>
    <col min="3521" max="3521" width="12.5703125" style="3" customWidth="1"/>
    <col min="3522" max="3522" width="13" style="3" customWidth="1"/>
    <col min="3523" max="3523" width="16" style="3" customWidth="1"/>
    <col min="3524" max="3524" width="6.42578125" style="3" customWidth="1"/>
    <col min="3525" max="3525" width="16" style="3" customWidth="1"/>
    <col min="3526" max="3526" width="2.85546875" style="3" customWidth="1"/>
    <col min="3527" max="3527" width="0.85546875" style="3" customWidth="1"/>
    <col min="3528" max="3528" width="11" style="3"/>
    <col min="3529" max="3529" width="15.42578125" style="3" customWidth="1"/>
    <col min="3530" max="3532" width="14.85546875" style="3" customWidth="1"/>
    <col min="3533" max="3533" width="0.7109375" style="3" customWidth="1"/>
    <col min="3534" max="3534" width="11" style="3"/>
    <col min="3535" max="3535" width="15.7109375" style="3" customWidth="1"/>
    <col min="3536" max="3537" width="14.85546875" style="3" customWidth="1"/>
    <col min="3538" max="3538" width="3.28515625" style="3" customWidth="1"/>
    <col min="3539" max="3539" width="20.140625" style="3" customWidth="1"/>
    <col min="3540" max="3540" width="3.28515625" style="3" customWidth="1"/>
    <col min="3541" max="3545" width="11" style="3"/>
    <col min="3546" max="3558" width="4.7109375" style="3" customWidth="1"/>
    <col min="3559" max="3768" width="11" style="3"/>
    <col min="3769" max="3769" width="0.7109375" style="3" customWidth="1"/>
    <col min="3770" max="3770" width="6.5703125" style="3" customWidth="1"/>
    <col min="3771" max="3771" width="13.5703125" style="3" customWidth="1"/>
    <col min="3772" max="3772" width="13.42578125" style="3" customWidth="1"/>
    <col min="3773" max="3774" width="12.5703125" style="3" customWidth="1"/>
    <col min="3775" max="3775" width="14.85546875" style="3" customWidth="1"/>
    <col min="3776" max="3776" width="20.7109375" style="3" customWidth="1"/>
    <col min="3777" max="3777" width="12.5703125" style="3" customWidth="1"/>
    <col min="3778" max="3778" width="13" style="3" customWidth="1"/>
    <col min="3779" max="3779" width="16" style="3" customWidth="1"/>
    <col min="3780" max="3780" width="6.42578125" style="3" customWidth="1"/>
    <col min="3781" max="3781" width="16" style="3" customWidth="1"/>
    <col min="3782" max="3782" width="2.85546875" style="3" customWidth="1"/>
    <col min="3783" max="3783" width="0.85546875" style="3" customWidth="1"/>
    <col min="3784" max="3784" width="11" style="3"/>
    <col min="3785" max="3785" width="15.42578125" style="3" customWidth="1"/>
    <col min="3786" max="3788" width="14.85546875" style="3" customWidth="1"/>
    <col min="3789" max="3789" width="0.7109375" style="3" customWidth="1"/>
    <col min="3790" max="3790" width="11" style="3"/>
    <col min="3791" max="3791" width="15.7109375" style="3" customWidth="1"/>
    <col min="3792" max="3793" width="14.85546875" style="3" customWidth="1"/>
    <col min="3794" max="3794" width="3.28515625" style="3" customWidth="1"/>
    <col min="3795" max="3795" width="20.140625" style="3" customWidth="1"/>
    <col min="3796" max="3796" width="3.28515625" style="3" customWidth="1"/>
    <col min="3797" max="3801" width="11" style="3"/>
    <col min="3802" max="3814" width="4.7109375" style="3" customWidth="1"/>
    <col min="3815" max="4024" width="11" style="3"/>
    <col min="4025" max="4025" width="0.7109375" style="3" customWidth="1"/>
    <col min="4026" max="4026" width="6.5703125" style="3" customWidth="1"/>
    <col min="4027" max="4027" width="13.5703125" style="3" customWidth="1"/>
    <col min="4028" max="4028" width="13.42578125" style="3" customWidth="1"/>
    <col min="4029" max="4030" width="12.5703125" style="3" customWidth="1"/>
    <col min="4031" max="4031" width="14.85546875" style="3" customWidth="1"/>
    <col min="4032" max="4032" width="20.7109375" style="3" customWidth="1"/>
    <col min="4033" max="4033" width="12.5703125" style="3" customWidth="1"/>
    <col min="4034" max="4034" width="13" style="3" customWidth="1"/>
    <col min="4035" max="4035" width="16" style="3" customWidth="1"/>
    <col min="4036" max="4036" width="6.42578125" style="3" customWidth="1"/>
    <col min="4037" max="4037" width="16" style="3" customWidth="1"/>
    <col min="4038" max="4038" width="2.85546875" style="3" customWidth="1"/>
    <col min="4039" max="4039" width="0.85546875" style="3" customWidth="1"/>
    <col min="4040" max="4040" width="11" style="3"/>
    <col min="4041" max="4041" width="15.42578125" style="3" customWidth="1"/>
    <col min="4042" max="4044" width="14.85546875" style="3" customWidth="1"/>
    <col min="4045" max="4045" width="0.7109375" style="3" customWidth="1"/>
    <col min="4046" max="4046" width="11" style="3"/>
    <col min="4047" max="4047" width="15.7109375" style="3" customWidth="1"/>
    <col min="4048" max="4049" width="14.85546875" style="3" customWidth="1"/>
    <col min="4050" max="4050" width="3.28515625" style="3" customWidth="1"/>
    <col min="4051" max="4051" width="20.140625" style="3" customWidth="1"/>
    <col min="4052" max="4052" width="3.28515625" style="3" customWidth="1"/>
    <col min="4053" max="4057" width="11" style="3"/>
    <col min="4058" max="4070" width="4.7109375" style="3" customWidth="1"/>
    <col min="4071" max="4280" width="11" style="3"/>
    <col min="4281" max="4281" width="0.7109375" style="3" customWidth="1"/>
    <col min="4282" max="4282" width="6.5703125" style="3" customWidth="1"/>
    <col min="4283" max="4283" width="13.5703125" style="3" customWidth="1"/>
    <col min="4284" max="4284" width="13.42578125" style="3" customWidth="1"/>
    <col min="4285" max="4286" width="12.5703125" style="3" customWidth="1"/>
    <col min="4287" max="4287" width="14.85546875" style="3" customWidth="1"/>
    <col min="4288" max="4288" width="20.7109375" style="3" customWidth="1"/>
    <col min="4289" max="4289" width="12.5703125" style="3" customWidth="1"/>
    <col min="4290" max="4290" width="13" style="3" customWidth="1"/>
    <col min="4291" max="4291" width="16" style="3" customWidth="1"/>
    <col min="4292" max="4292" width="6.42578125" style="3" customWidth="1"/>
    <col min="4293" max="4293" width="16" style="3" customWidth="1"/>
    <col min="4294" max="4294" width="2.85546875" style="3" customWidth="1"/>
    <col min="4295" max="4295" width="0.85546875" style="3" customWidth="1"/>
    <col min="4296" max="4296" width="11" style="3"/>
    <col min="4297" max="4297" width="15.42578125" style="3" customWidth="1"/>
    <col min="4298" max="4300" width="14.85546875" style="3" customWidth="1"/>
    <col min="4301" max="4301" width="0.7109375" style="3" customWidth="1"/>
    <col min="4302" max="4302" width="11" style="3"/>
    <col min="4303" max="4303" width="15.7109375" style="3" customWidth="1"/>
    <col min="4304" max="4305" width="14.85546875" style="3" customWidth="1"/>
    <col min="4306" max="4306" width="3.28515625" style="3" customWidth="1"/>
    <col min="4307" max="4307" width="20.140625" style="3" customWidth="1"/>
    <col min="4308" max="4308" width="3.28515625" style="3" customWidth="1"/>
    <col min="4309" max="4313" width="11" style="3"/>
    <col min="4314" max="4326" width="4.7109375" style="3" customWidth="1"/>
    <col min="4327" max="4536" width="11" style="3"/>
    <col min="4537" max="4537" width="0.7109375" style="3" customWidth="1"/>
    <col min="4538" max="4538" width="6.5703125" style="3" customWidth="1"/>
    <col min="4539" max="4539" width="13.5703125" style="3" customWidth="1"/>
    <col min="4540" max="4540" width="13.42578125" style="3" customWidth="1"/>
    <col min="4541" max="4542" width="12.5703125" style="3" customWidth="1"/>
    <col min="4543" max="4543" width="14.85546875" style="3" customWidth="1"/>
    <col min="4544" max="4544" width="20.7109375" style="3" customWidth="1"/>
    <col min="4545" max="4545" width="12.5703125" style="3" customWidth="1"/>
    <col min="4546" max="4546" width="13" style="3" customWidth="1"/>
    <col min="4547" max="4547" width="16" style="3" customWidth="1"/>
    <col min="4548" max="4548" width="6.42578125" style="3" customWidth="1"/>
    <col min="4549" max="4549" width="16" style="3" customWidth="1"/>
    <col min="4550" max="4550" width="2.85546875" style="3" customWidth="1"/>
    <col min="4551" max="4551" width="0.85546875" style="3" customWidth="1"/>
    <col min="4552" max="4552" width="11" style="3"/>
    <col min="4553" max="4553" width="15.42578125" style="3" customWidth="1"/>
    <col min="4554" max="4556" width="14.85546875" style="3" customWidth="1"/>
    <col min="4557" max="4557" width="0.7109375" style="3" customWidth="1"/>
    <col min="4558" max="4558" width="11" style="3"/>
    <col min="4559" max="4559" width="15.7109375" style="3" customWidth="1"/>
    <col min="4560" max="4561" width="14.85546875" style="3" customWidth="1"/>
    <col min="4562" max="4562" width="3.28515625" style="3" customWidth="1"/>
    <col min="4563" max="4563" width="20.140625" style="3" customWidth="1"/>
    <col min="4564" max="4564" width="3.28515625" style="3" customWidth="1"/>
    <col min="4565" max="4569" width="11" style="3"/>
    <col min="4570" max="4582" width="4.7109375" style="3" customWidth="1"/>
    <col min="4583" max="4792" width="11" style="3"/>
    <col min="4793" max="4793" width="0.7109375" style="3" customWidth="1"/>
    <col min="4794" max="4794" width="6.5703125" style="3" customWidth="1"/>
    <col min="4795" max="4795" width="13.5703125" style="3" customWidth="1"/>
    <col min="4796" max="4796" width="13.42578125" style="3" customWidth="1"/>
    <col min="4797" max="4798" width="12.5703125" style="3" customWidth="1"/>
    <col min="4799" max="4799" width="14.85546875" style="3" customWidth="1"/>
    <col min="4800" max="4800" width="20.7109375" style="3" customWidth="1"/>
    <col min="4801" max="4801" width="12.5703125" style="3" customWidth="1"/>
    <col min="4802" max="4802" width="13" style="3" customWidth="1"/>
    <col min="4803" max="4803" width="16" style="3" customWidth="1"/>
    <col min="4804" max="4804" width="6.42578125" style="3" customWidth="1"/>
    <col min="4805" max="4805" width="16" style="3" customWidth="1"/>
    <col min="4806" max="4806" width="2.85546875" style="3" customWidth="1"/>
    <col min="4807" max="4807" width="0.85546875" style="3" customWidth="1"/>
    <col min="4808" max="4808" width="11" style="3"/>
    <col min="4809" max="4809" width="15.42578125" style="3" customWidth="1"/>
    <col min="4810" max="4812" width="14.85546875" style="3" customWidth="1"/>
    <col min="4813" max="4813" width="0.7109375" style="3" customWidth="1"/>
    <col min="4814" max="4814" width="11" style="3"/>
    <col min="4815" max="4815" width="15.7109375" style="3" customWidth="1"/>
    <col min="4816" max="4817" width="14.85546875" style="3" customWidth="1"/>
    <col min="4818" max="4818" width="3.28515625" style="3" customWidth="1"/>
    <col min="4819" max="4819" width="20.140625" style="3" customWidth="1"/>
    <col min="4820" max="4820" width="3.28515625" style="3" customWidth="1"/>
    <col min="4821" max="4825" width="11" style="3"/>
    <col min="4826" max="4838" width="4.7109375" style="3" customWidth="1"/>
    <col min="4839" max="5048" width="11" style="3"/>
    <col min="5049" max="5049" width="0.7109375" style="3" customWidth="1"/>
    <col min="5050" max="5050" width="6.5703125" style="3" customWidth="1"/>
    <col min="5051" max="5051" width="13.5703125" style="3" customWidth="1"/>
    <col min="5052" max="5052" width="13.42578125" style="3" customWidth="1"/>
    <col min="5053" max="5054" width="12.5703125" style="3" customWidth="1"/>
    <col min="5055" max="5055" width="14.85546875" style="3" customWidth="1"/>
    <col min="5056" max="5056" width="20.7109375" style="3" customWidth="1"/>
    <col min="5057" max="5057" width="12.5703125" style="3" customWidth="1"/>
    <col min="5058" max="5058" width="13" style="3" customWidth="1"/>
    <col min="5059" max="5059" width="16" style="3" customWidth="1"/>
    <col min="5060" max="5060" width="6.42578125" style="3" customWidth="1"/>
    <col min="5061" max="5061" width="16" style="3" customWidth="1"/>
    <col min="5062" max="5062" width="2.85546875" style="3" customWidth="1"/>
    <col min="5063" max="5063" width="0.85546875" style="3" customWidth="1"/>
    <col min="5064" max="5064" width="11" style="3"/>
    <col min="5065" max="5065" width="15.42578125" style="3" customWidth="1"/>
    <col min="5066" max="5068" width="14.85546875" style="3" customWidth="1"/>
    <col min="5069" max="5069" width="0.7109375" style="3" customWidth="1"/>
    <col min="5070" max="5070" width="11" style="3"/>
    <col min="5071" max="5071" width="15.7109375" style="3" customWidth="1"/>
    <col min="5072" max="5073" width="14.85546875" style="3" customWidth="1"/>
    <col min="5074" max="5074" width="3.28515625" style="3" customWidth="1"/>
    <col min="5075" max="5075" width="20.140625" style="3" customWidth="1"/>
    <col min="5076" max="5076" width="3.28515625" style="3" customWidth="1"/>
    <col min="5077" max="5081" width="11" style="3"/>
    <col min="5082" max="5094" width="4.7109375" style="3" customWidth="1"/>
    <col min="5095" max="5304" width="11" style="3"/>
    <col min="5305" max="5305" width="0.7109375" style="3" customWidth="1"/>
    <col min="5306" max="5306" width="6.5703125" style="3" customWidth="1"/>
    <col min="5307" max="5307" width="13.5703125" style="3" customWidth="1"/>
    <col min="5308" max="5308" width="13.42578125" style="3" customWidth="1"/>
    <col min="5309" max="5310" width="12.5703125" style="3" customWidth="1"/>
    <col min="5311" max="5311" width="14.85546875" style="3" customWidth="1"/>
    <col min="5312" max="5312" width="20.7109375" style="3" customWidth="1"/>
    <col min="5313" max="5313" width="12.5703125" style="3" customWidth="1"/>
    <col min="5314" max="5314" width="13" style="3" customWidth="1"/>
    <col min="5315" max="5315" width="16" style="3" customWidth="1"/>
    <col min="5316" max="5316" width="6.42578125" style="3" customWidth="1"/>
    <col min="5317" max="5317" width="16" style="3" customWidth="1"/>
    <col min="5318" max="5318" width="2.85546875" style="3" customWidth="1"/>
    <col min="5319" max="5319" width="0.85546875" style="3" customWidth="1"/>
    <col min="5320" max="5320" width="11" style="3"/>
    <col min="5321" max="5321" width="15.42578125" style="3" customWidth="1"/>
    <col min="5322" max="5324" width="14.85546875" style="3" customWidth="1"/>
    <col min="5325" max="5325" width="0.7109375" style="3" customWidth="1"/>
    <col min="5326" max="5326" width="11" style="3"/>
    <col min="5327" max="5327" width="15.7109375" style="3" customWidth="1"/>
    <col min="5328" max="5329" width="14.85546875" style="3" customWidth="1"/>
    <col min="5330" max="5330" width="3.28515625" style="3" customWidth="1"/>
    <col min="5331" max="5331" width="20.140625" style="3" customWidth="1"/>
    <col min="5332" max="5332" width="3.28515625" style="3" customWidth="1"/>
    <col min="5333" max="5337" width="11" style="3"/>
    <col min="5338" max="5350" width="4.7109375" style="3" customWidth="1"/>
    <col min="5351" max="5560" width="11" style="3"/>
    <col min="5561" max="5561" width="0.7109375" style="3" customWidth="1"/>
    <col min="5562" max="5562" width="6.5703125" style="3" customWidth="1"/>
    <col min="5563" max="5563" width="13.5703125" style="3" customWidth="1"/>
    <col min="5564" max="5564" width="13.42578125" style="3" customWidth="1"/>
    <col min="5565" max="5566" width="12.5703125" style="3" customWidth="1"/>
    <col min="5567" max="5567" width="14.85546875" style="3" customWidth="1"/>
    <col min="5568" max="5568" width="20.7109375" style="3" customWidth="1"/>
    <col min="5569" max="5569" width="12.5703125" style="3" customWidth="1"/>
    <col min="5570" max="5570" width="13" style="3" customWidth="1"/>
    <col min="5571" max="5571" width="16" style="3" customWidth="1"/>
    <col min="5572" max="5572" width="6.42578125" style="3" customWidth="1"/>
    <col min="5573" max="5573" width="16" style="3" customWidth="1"/>
    <col min="5574" max="5574" width="2.85546875" style="3" customWidth="1"/>
    <col min="5575" max="5575" width="0.85546875" style="3" customWidth="1"/>
    <col min="5576" max="5576" width="11" style="3"/>
    <col min="5577" max="5577" width="15.42578125" style="3" customWidth="1"/>
    <col min="5578" max="5580" width="14.85546875" style="3" customWidth="1"/>
    <col min="5581" max="5581" width="0.7109375" style="3" customWidth="1"/>
    <col min="5582" max="5582" width="11" style="3"/>
    <col min="5583" max="5583" width="15.7109375" style="3" customWidth="1"/>
    <col min="5584" max="5585" width="14.85546875" style="3" customWidth="1"/>
    <col min="5586" max="5586" width="3.28515625" style="3" customWidth="1"/>
    <col min="5587" max="5587" width="20.140625" style="3" customWidth="1"/>
    <col min="5588" max="5588" width="3.28515625" style="3" customWidth="1"/>
    <col min="5589" max="5593" width="11" style="3"/>
    <col min="5594" max="5606" width="4.7109375" style="3" customWidth="1"/>
    <col min="5607" max="5816" width="11" style="3"/>
    <col min="5817" max="5817" width="0.7109375" style="3" customWidth="1"/>
    <col min="5818" max="5818" width="6.5703125" style="3" customWidth="1"/>
    <col min="5819" max="5819" width="13.5703125" style="3" customWidth="1"/>
    <col min="5820" max="5820" width="13.42578125" style="3" customWidth="1"/>
    <col min="5821" max="5822" width="12.5703125" style="3" customWidth="1"/>
    <col min="5823" max="5823" width="14.85546875" style="3" customWidth="1"/>
    <col min="5824" max="5824" width="20.7109375" style="3" customWidth="1"/>
    <col min="5825" max="5825" width="12.5703125" style="3" customWidth="1"/>
    <col min="5826" max="5826" width="13" style="3" customWidth="1"/>
    <col min="5827" max="5827" width="16" style="3" customWidth="1"/>
    <col min="5828" max="5828" width="6.42578125" style="3" customWidth="1"/>
    <col min="5829" max="5829" width="16" style="3" customWidth="1"/>
    <col min="5830" max="5830" width="2.85546875" style="3" customWidth="1"/>
    <col min="5831" max="5831" width="0.85546875" style="3" customWidth="1"/>
    <col min="5832" max="5832" width="11" style="3"/>
    <col min="5833" max="5833" width="15.42578125" style="3" customWidth="1"/>
    <col min="5834" max="5836" width="14.85546875" style="3" customWidth="1"/>
    <col min="5837" max="5837" width="0.7109375" style="3" customWidth="1"/>
    <col min="5838" max="5838" width="11" style="3"/>
    <col min="5839" max="5839" width="15.7109375" style="3" customWidth="1"/>
    <col min="5840" max="5841" width="14.85546875" style="3" customWidth="1"/>
    <col min="5842" max="5842" width="3.28515625" style="3" customWidth="1"/>
    <col min="5843" max="5843" width="20.140625" style="3" customWidth="1"/>
    <col min="5844" max="5844" width="3.28515625" style="3" customWidth="1"/>
    <col min="5845" max="5849" width="11" style="3"/>
    <col min="5850" max="5862" width="4.7109375" style="3" customWidth="1"/>
    <col min="5863" max="6072" width="11" style="3"/>
    <col min="6073" max="6073" width="0.7109375" style="3" customWidth="1"/>
    <col min="6074" max="6074" width="6.5703125" style="3" customWidth="1"/>
    <col min="6075" max="6075" width="13.5703125" style="3" customWidth="1"/>
    <col min="6076" max="6076" width="13.42578125" style="3" customWidth="1"/>
    <col min="6077" max="6078" width="12.5703125" style="3" customWidth="1"/>
    <col min="6079" max="6079" width="14.85546875" style="3" customWidth="1"/>
    <col min="6080" max="6080" width="20.7109375" style="3" customWidth="1"/>
    <col min="6081" max="6081" width="12.5703125" style="3" customWidth="1"/>
    <col min="6082" max="6082" width="13" style="3" customWidth="1"/>
    <col min="6083" max="6083" width="16" style="3" customWidth="1"/>
    <col min="6084" max="6084" width="6.42578125" style="3" customWidth="1"/>
    <col min="6085" max="6085" width="16" style="3" customWidth="1"/>
    <col min="6086" max="6086" width="2.85546875" style="3" customWidth="1"/>
    <col min="6087" max="6087" width="0.85546875" style="3" customWidth="1"/>
    <col min="6088" max="6088" width="11" style="3"/>
    <col min="6089" max="6089" width="15.42578125" style="3" customWidth="1"/>
    <col min="6090" max="6092" width="14.85546875" style="3" customWidth="1"/>
    <col min="6093" max="6093" width="0.7109375" style="3" customWidth="1"/>
    <col min="6094" max="6094" width="11" style="3"/>
    <col min="6095" max="6095" width="15.7109375" style="3" customWidth="1"/>
    <col min="6096" max="6097" width="14.85546875" style="3" customWidth="1"/>
    <col min="6098" max="6098" width="3.28515625" style="3" customWidth="1"/>
    <col min="6099" max="6099" width="20.140625" style="3" customWidth="1"/>
    <col min="6100" max="6100" width="3.28515625" style="3" customWidth="1"/>
    <col min="6101" max="6105" width="11" style="3"/>
    <col min="6106" max="6118" width="4.7109375" style="3" customWidth="1"/>
    <col min="6119" max="6328" width="11" style="3"/>
    <col min="6329" max="6329" width="0.7109375" style="3" customWidth="1"/>
    <col min="6330" max="6330" width="6.5703125" style="3" customWidth="1"/>
    <col min="6331" max="6331" width="13.5703125" style="3" customWidth="1"/>
    <col min="6332" max="6332" width="13.42578125" style="3" customWidth="1"/>
    <col min="6333" max="6334" width="12.5703125" style="3" customWidth="1"/>
    <col min="6335" max="6335" width="14.85546875" style="3" customWidth="1"/>
    <col min="6336" max="6336" width="20.7109375" style="3" customWidth="1"/>
    <col min="6337" max="6337" width="12.5703125" style="3" customWidth="1"/>
    <col min="6338" max="6338" width="13" style="3" customWidth="1"/>
    <col min="6339" max="6339" width="16" style="3" customWidth="1"/>
    <col min="6340" max="6340" width="6.42578125" style="3" customWidth="1"/>
    <col min="6341" max="6341" width="16" style="3" customWidth="1"/>
    <col min="6342" max="6342" width="2.85546875" style="3" customWidth="1"/>
    <col min="6343" max="6343" width="0.85546875" style="3" customWidth="1"/>
    <col min="6344" max="6344" width="11" style="3"/>
    <col min="6345" max="6345" width="15.42578125" style="3" customWidth="1"/>
    <col min="6346" max="6348" width="14.85546875" style="3" customWidth="1"/>
    <col min="6349" max="6349" width="0.7109375" style="3" customWidth="1"/>
    <col min="6350" max="6350" width="11" style="3"/>
    <col min="6351" max="6351" width="15.7109375" style="3" customWidth="1"/>
    <col min="6352" max="6353" width="14.85546875" style="3" customWidth="1"/>
    <col min="6354" max="6354" width="3.28515625" style="3" customWidth="1"/>
    <col min="6355" max="6355" width="20.140625" style="3" customWidth="1"/>
    <col min="6356" max="6356" width="3.28515625" style="3" customWidth="1"/>
    <col min="6357" max="6361" width="11" style="3"/>
    <col min="6362" max="6374" width="4.7109375" style="3" customWidth="1"/>
    <col min="6375" max="6584" width="11" style="3"/>
    <col min="6585" max="6585" width="0.7109375" style="3" customWidth="1"/>
    <col min="6586" max="6586" width="6.5703125" style="3" customWidth="1"/>
    <col min="6587" max="6587" width="13.5703125" style="3" customWidth="1"/>
    <col min="6588" max="6588" width="13.42578125" style="3" customWidth="1"/>
    <col min="6589" max="6590" width="12.5703125" style="3" customWidth="1"/>
    <col min="6591" max="6591" width="14.85546875" style="3" customWidth="1"/>
    <col min="6592" max="6592" width="20.7109375" style="3" customWidth="1"/>
    <col min="6593" max="6593" width="12.5703125" style="3" customWidth="1"/>
    <col min="6594" max="6594" width="13" style="3" customWidth="1"/>
    <col min="6595" max="6595" width="16" style="3" customWidth="1"/>
    <col min="6596" max="6596" width="6.42578125" style="3" customWidth="1"/>
    <col min="6597" max="6597" width="16" style="3" customWidth="1"/>
    <col min="6598" max="6598" width="2.85546875" style="3" customWidth="1"/>
    <col min="6599" max="6599" width="0.85546875" style="3" customWidth="1"/>
    <col min="6600" max="6600" width="11" style="3"/>
    <col min="6601" max="6601" width="15.42578125" style="3" customWidth="1"/>
    <col min="6602" max="6604" width="14.85546875" style="3" customWidth="1"/>
    <col min="6605" max="6605" width="0.7109375" style="3" customWidth="1"/>
    <col min="6606" max="6606" width="11" style="3"/>
    <col min="6607" max="6607" width="15.7109375" style="3" customWidth="1"/>
    <col min="6608" max="6609" width="14.85546875" style="3" customWidth="1"/>
    <col min="6610" max="6610" width="3.28515625" style="3" customWidth="1"/>
    <col min="6611" max="6611" width="20.140625" style="3" customWidth="1"/>
    <col min="6612" max="6612" width="3.28515625" style="3" customWidth="1"/>
    <col min="6613" max="6617" width="11" style="3"/>
    <col min="6618" max="6630" width="4.7109375" style="3" customWidth="1"/>
    <col min="6631" max="6840" width="11" style="3"/>
    <col min="6841" max="6841" width="0.7109375" style="3" customWidth="1"/>
    <col min="6842" max="6842" width="6.5703125" style="3" customWidth="1"/>
    <col min="6843" max="6843" width="13.5703125" style="3" customWidth="1"/>
    <col min="6844" max="6844" width="13.42578125" style="3" customWidth="1"/>
    <col min="6845" max="6846" width="12.5703125" style="3" customWidth="1"/>
    <col min="6847" max="6847" width="14.85546875" style="3" customWidth="1"/>
    <col min="6848" max="6848" width="20.7109375" style="3" customWidth="1"/>
    <col min="6849" max="6849" width="12.5703125" style="3" customWidth="1"/>
    <col min="6850" max="6850" width="13" style="3" customWidth="1"/>
    <col min="6851" max="6851" width="16" style="3" customWidth="1"/>
    <col min="6852" max="6852" width="6.42578125" style="3" customWidth="1"/>
    <col min="6853" max="6853" width="16" style="3" customWidth="1"/>
    <col min="6854" max="6854" width="2.85546875" style="3" customWidth="1"/>
    <col min="6855" max="6855" width="0.85546875" style="3" customWidth="1"/>
    <col min="6856" max="6856" width="11" style="3"/>
    <col min="6857" max="6857" width="15.42578125" style="3" customWidth="1"/>
    <col min="6858" max="6860" width="14.85546875" style="3" customWidth="1"/>
    <col min="6861" max="6861" width="0.7109375" style="3" customWidth="1"/>
    <col min="6862" max="6862" width="11" style="3"/>
    <col min="6863" max="6863" width="15.7109375" style="3" customWidth="1"/>
    <col min="6864" max="6865" width="14.85546875" style="3" customWidth="1"/>
    <col min="6866" max="6866" width="3.28515625" style="3" customWidth="1"/>
    <col min="6867" max="6867" width="20.140625" style="3" customWidth="1"/>
    <col min="6868" max="6868" width="3.28515625" style="3" customWidth="1"/>
    <col min="6869" max="6873" width="11" style="3"/>
    <col min="6874" max="6886" width="4.7109375" style="3" customWidth="1"/>
    <col min="6887" max="7096" width="11" style="3"/>
    <col min="7097" max="7097" width="0.7109375" style="3" customWidth="1"/>
    <col min="7098" max="7098" width="6.5703125" style="3" customWidth="1"/>
    <col min="7099" max="7099" width="13.5703125" style="3" customWidth="1"/>
    <col min="7100" max="7100" width="13.42578125" style="3" customWidth="1"/>
    <col min="7101" max="7102" width="12.5703125" style="3" customWidth="1"/>
    <col min="7103" max="7103" width="14.85546875" style="3" customWidth="1"/>
    <col min="7104" max="7104" width="20.7109375" style="3" customWidth="1"/>
    <col min="7105" max="7105" width="12.5703125" style="3" customWidth="1"/>
    <col min="7106" max="7106" width="13" style="3" customWidth="1"/>
    <col min="7107" max="7107" width="16" style="3" customWidth="1"/>
    <col min="7108" max="7108" width="6.42578125" style="3" customWidth="1"/>
    <col min="7109" max="7109" width="16" style="3" customWidth="1"/>
    <col min="7110" max="7110" width="2.85546875" style="3" customWidth="1"/>
    <col min="7111" max="7111" width="0.85546875" style="3" customWidth="1"/>
    <col min="7112" max="7112" width="11" style="3"/>
    <col min="7113" max="7113" width="15.42578125" style="3" customWidth="1"/>
    <col min="7114" max="7116" width="14.85546875" style="3" customWidth="1"/>
    <col min="7117" max="7117" width="0.7109375" style="3" customWidth="1"/>
    <col min="7118" max="7118" width="11" style="3"/>
    <col min="7119" max="7119" width="15.7109375" style="3" customWidth="1"/>
    <col min="7120" max="7121" width="14.85546875" style="3" customWidth="1"/>
    <col min="7122" max="7122" width="3.28515625" style="3" customWidth="1"/>
    <col min="7123" max="7123" width="20.140625" style="3" customWidth="1"/>
    <col min="7124" max="7124" width="3.28515625" style="3" customWidth="1"/>
    <col min="7125" max="7129" width="11" style="3"/>
    <col min="7130" max="7142" width="4.7109375" style="3" customWidth="1"/>
    <col min="7143" max="7352" width="11" style="3"/>
    <col min="7353" max="7353" width="0.7109375" style="3" customWidth="1"/>
    <col min="7354" max="7354" width="6.5703125" style="3" customWidth="1"/>
    <col min="7355" max="7355" width="13.5703125" style="3" customWidth="1"/>
    <col min="7356" max="7356" width="13.42578125" style="3" customWidth="1"/>
    <col min="7357" max="7358" width="12.5703125" style="3" customWidth="1"/>
    <col min="7359" max="7359" width="14.85546875" style="3" customWidth="1"/>
    <col min="7360" max="7360" width="20.7109375" style="3" customWidth="1"/>
    <col min="7361" max="7361" width="12.5703125" style="3" customWidth="1"/>
    <col min="7362" max="7362" width="13" style="3" customWidth="1"/>
    <col min="7363" max="7363" width="16" style="3" customWidth="1"/>
    <col min="7364" max="7364" width="6.42578125" style="3" customWidth="1"/>
    <col min="7365" max="7365" width="16" style="3" customWidth="1"/>
    <col min="7366" max="7366" width="2.85546875" style="3" customWidth="1"/>
    <col min="7367" max="7367" width="0.85546875" style="3" customWidth="1"/>
    <col min="7368" max="7368" width="11" style="3"/>
    <col min="7369" max="7369" width="15.42578125" style="3" customWidth="1"/>
    <col min="7370" max="7372" width="14.85546875" style="3" customWidth="1"/>
    <col min="7373" max="7373" width="0.7109375" style="3" customWidth="1"/>
    <col min="7374" max="7374" width="11" style="3"/>
    <col min="7375" max="7375" width="15.7109375" style="3" customWidth="1"/>
    <col min="7376" max="7377" width="14.85546875" style="3" customWidth="1"/>
    <col min="7378" max="7378" width="3.28515625" style="3" customWidth="1"/>
    <col min="7379" max="7379" width="20.140625" style="3" customWidth="1"/>
    <col min="7380" max="7380" width="3.28515625" style="3" customWidth="1"/>
    <col min="7381" max="7385" width="11" style="3"/>
    <col min="7386" max="7398" width="4.7109375" style="3" customWidth="1"/>
    <col min="7399" max="7608" width="11" style="3"/>
    <col min="7609" max="7609" width="0.7109375" style="3" customWidth="1"/>
    <col min="7610" max="7610" width="6.5703125" style="3" customWidth="1"/>
    <col min="7611" max="7611" width="13.5703125" style="3" customWidth="1"/>
    <col min="7612" max="7612" width="13.42578125" style="3" customWidth="1"/>
    <col min="7613" max="7614" width="12.5703125" style="3" customWidth="1"/>
    <col min="7615" max="7615" width="14.85546875" style="3" customWidth="1"/>
    <col min="7616" max="7616" width="20.7109375" style="3" customWidth="1"/>
    <col min="7617" max="7617" width="12.5703125" style="3" customWidth="1"/>
    <col min="7618" max="7618" width="13" style="3" customWidth="1"/>
    <col min="7619" max="7619" width="16" style="3" customWidth="1"/>
    <col min="7620" max="7620" width="6.42578125" style="3" customWidth="1"/>
    <col min="7621" max="7621" width="16" style="3" customWidth="1"/>
    <col min="7622" max="7622" width="2.85546875" style="3" customWidth="1"/>
    <col min="7623" max="7623" width="0.85546875" style="3" customWidth="1"/>
    <col min="7624" max="7624" width="11" style="3"/>
    <col min="7625" max="7625" width="15.42578125" style="3" customWidth="1"/>
    <col min="7626" max="7628" width="14.85546875" style="3" customWidth="1"/>
    <col min="7629" max="7629" width="0.7109375" style="3" customWidth="1"/>
    <col min="7630" max="7630" width="11" style="3"/>
    <col min="7631" max="7631" width="15.7109375" style="3" customWidth="1"/>
    <col min="7632" max="7633" width="14.85546875" style="3" customWidth="1"/>
    <col min="7634" max="7634" width="3.28515625" style="3" customWidth="1"/>
    <col min="7635" max="7635" width="20.140625" style="3" customWidth="1"/>
    <col min="7636" max="7636" width="3.28515625" style="3" customWidth="1"/>
    <col min="7637" max="7641" width="11" style="3"/>
    <col min="7642" max="7654" width="4.7109375" style="3" customWidth="1"/>
    <col min="7655" max="7864" width="11" style="3"/>
    <col min="7865" max="7865" width="0.7109375" style="3" customWidth="1"/>
    <col min="7866" max="7866" width="6.5703125" style="3" customWidth="1"/>
    <col min="7867" max="7867" width="13.5703125" style="3" customWidth="1"/>
    <col min="7868" max="7868" width="13.42578125" style="3" customWidth="1"/>
    <col min="7869" max="7870" width="12.5703125" style="3" customWidth="1"/>
    <col min="7871" max="7871" width="14.85546875" style="3" customWidth="1"/>
    <col min="7872" max="7872" width="20.7109375" style="3" customWidth="1"/>
    <col min="7873" max="7873" width="12.5703125" style="3" customWidth="1"/>
    <col min="7874" max="7874" width="13" style="3" customWidth="1"/>
    <col min="7875" max="7875" width="16" style="3" customWidth="1"/>
    <col min="7876" max="7876" width="6.42578125" style="3" customWidth="1"/>
    <col min="7877" max="7877" width="16" style="3" customWidth="1"/>
    <col min="7878" max="7878" width="2.85546875" style="3" customWidth="1"/>
    <col min="7879" max="7879" width="0.85546875" style="3" customWidth="1"/>
    <col min="7880" max="7880" width="11" style="3"/>
    <col min="7881" max="7881" width="15.42578125" style="3" customWidth="1"/>
    <col min="7882" max="7884" width="14.85546875" style="3" customWidth="1"/>
    <col min="7885" max="7885" width="0.7109375" style="3" customWidth="1"/>
    <col min="7886" max="7886" width="11" style="3"/>
    <col min="7887" max="7887" width="15.7109375" style="3" customWidth="1"/>
    <col min="7888" max="7889" width="14.85546875" style="3" customWidth="1"/>
    <col min="7890" max="7890" width="3.28515625" style="3" customWidth="1"/>
    <col min="7891" max="7891" width="20.140625" style="3" customWidth="1"/>
    <col min="7892" max="7892" width="3.28515625" style="3" customWidth="1"/>
    <col min="7893" max="7897" width="11" style="3"/>
    <col min="7898" max="7910" width="4.7109375" style="3" customWidth="1"/>
    <col min="7911" max="8120" width="11" style="3"/>
    <col min="8121" max="8121" width="0.7109375" style="3" customWidth="1"/>
    <col min="8122" max="8122" width="6.5703125" style="3" customWidth="1"/>
    <col min="8123" max="8123" width="13.5703125" style="3" customWidth="1"/>
    <col min="8124" max="8124" width="13.42578125" style="3" customWidth="1"/>
    <col min="8125" max="8126" width="12.5703125" style="3" customWidth="1"/>
    <col min="8127" max="8127" width="14.85546875" style="3" customWidth="1"/>
    <col min="8128" max="8128" width="20.7109375" style="3" customWidth="1"/>
    <col min="8129" max="8129" width="12.5703125" style="3" customWidth="1"/>
    <col min="8130" max="8130" width="13" style="3" customWidth="1"/>
    <col min="8131" max="8131" width="16" style="3" customWidth="1"/>
    <col min="8132" max="8132" width="6.42578125" style="3" customWidth="1"/>
    <col min="8133" max="8133" width="16" style="3" customWidth="1"/>
    <col min="8134" max="8134" width="2.85546875" style="3" customWidth="1"/>
    <col min="8135" max="8135" width="0.85546875" style="3" customWidth="1"/>
    <col min="8136" max="8136" width="11" style="3"/>
    <col min="8137" max="8137" width="15.42578125" style="3" customWidth="1"/>
    <col min="8138" max="8140" width="14.85546875" style="3" customWidth="1"/>
    <col min="8141" max="8141" width="0.7109375" style="3" customWidth="1"/>
    <col min="8142" max="8142" width="11" style="3"/>
    <col min="8143" max="8143" width="15.7109375" style="3" customWidth="1"/>
    <col min="8144" max="8145" width="14.85546875" style="3" customWidth="1"/>
    <col min="8146" max="8146" width="3.28515625" style="3" customWidth="1"/>
    <col min="8147" max="8147" width="20.140625" style="3" customWidth="1"/>
    <col min="8148" max="8148" width="3.28515625" style="3" customWidth="1"/>
    <col min="8149" max="8153" width="11" style="3"/>
    <col min="8154" max="8166" width="4.7109375" style="3" customWidth="1"/>
    <col min="8167" max="8376" width="11" style="3"/>
    <col min="8377" max="8377" width="0.7109375" style="3" customWidth="1"/>
    <col min="8378" max="8378" width="6.5703125" style="3" customWidth="1"/>
    <col min="8379" max="8379" width="13.5703125" style="3" customWidth="1"/>
    <col min="8380" max="8380" width="13.42578125" style="3" customWidth="1"/>
    <col min="8381" max="8382" width="12.5703125" style="3" customWidth="1"/>
    <col min="8383" max="8383" width="14.85546875" style="3" customWidth="1"/>
    <col min="8384" max="8384" width="20.7109375" style="3" customWidth="1"/>
    <col min="8385" max="8385" width="12.5703125" style="3" customWidth="1"/>
    <col min="8386" max="8386" width="13" style="3" customWidth="1"/>
    <col min="8387" max="8387" width="16" style="3" customWidth="1"/>
    <col min="8388" max="8388" width="6.42578125" style="3" customWidth="1"/>
    <col min="8389" max="8389" width="16" style="3" customWidth="1"/>
    <col min="8390" max="8390" width="2.85546875" style="3" customWidth="1"/>
    <col min="8391" max="8391" width="0.85546875" style="3" customWidth="1"/>
    <col min="8392" max="8392" width="11" style="3"/>
    <col min="8393" max="8393" width="15.42578125" style="3" customWidth="1"/>
    <col min="8394" max="8396" width="14.85546875" style="3" customWidth="1"/>
    <col min="8397" max="8397" width="0.7109375" style="3" customWidth="1"/>
    <col min="8398" max="8398" width="11" style="3"/>
    <col min="8399" max="8399" width="15.7109375" style="3" customWidth="1"/>
    <col min="8400" max="8401" width="14.85546875" style="3" customWidth="1"/>
    <col min="8402" max="8402" width="3.28515625" style="3" customWidth="1"/>
    <col min="8403" max="8403" width="20.140625" style="3" customWidth="1"/>
    <col min="8404" max="8404" width="3.28515625" style="3" customWidth="1"/>
    <col min="8405" max="8409" width="11" style="3"/>
    <col min="8410" max="8422" width="4.7109375" style="3" customWidth="1"/>
    <col min="8423" max="8632" width="11" style="3"/>
    <col min="8633" max="8633" width="0.7109375" style="3" customWidth="1"/>
    <col min="8634" max="8634" width="6.5703125" style="3" customWidth="1"/>
    <col min="8635" max="8635" width="13.5703125" style="3" customWidth="1"/>
    <col min="8636" max="8636" width="13.42578125" style="3" customWidth="1"/>
    <col min="8637" max="8638" width="12.5703125" style="3" customWidth="1"/>
    <col min="8639" max="8639" width="14.85546875" style="3" customWidth="1"/>
    <col min="8640" max="8640" width="20.7109375" style="3" customWidth="1"/>
    <col min="8641" max="8641" width="12.5703125" style="3" customWidth="1"/>
    <col min="8642" max="8642" width="13" style="3" customWidth="1"/>
    <col min="8643" max="8643" width="16" style="3" customWidth="1"/>
    <col min="8644" max="8644" width="6.42578125" style="3" customWidth="1"/>
    <col min="8645" max="8645" width="16" style="3" customWidth="1"/>
    <col min="8646" max="8646" width="2.85546875" style="3" customWidth="1"/>
    <col min="8647" max="8647" width="0.85546875" style="3" customWidth="1"/>
    <col min="8648" max="8648" width="11" style="3"/>
    <col min="8649" max="8649" width="15.42578125" style="3" customWidth="1"/>
    <col min="8650" max="8652" width="14.85546875" style="3" customWidth="1"/>
    <col min="8653" max="8653" width="0.7109375" style="3" customWidth="1"/>
    <col min="8654" max="8654" width="11" style="3"/>
    <col min="8655" max="8655" width="15.7109375" style="3" customWidth="1"/>
    <col min="8656" max="8657" width="14.85546875" style="3" customWidth="1"/>
    <col min="8658" max="8658" width="3.28515625" style="3" customWidth="1"/>
    <col min="8659" max="8659" width="20.140625" style="3" customWidth="1"/>
    <col min="8660" max="8660" width="3.28515625" style="3" customWidth="1"/>
    <col min="8661" max="8665" width="11" style="3"/>
    <col min="8666" max="8678" width="4.7109375" style="3" customWidth="1"/>
    <col min="8679" max="8888" width="11" style="3"/>
    <col min="8889" max="8889" width="0.7109375" style="3" customWidth="1"/>
    <col min="8890" max="8890" width="6.5703125" style="3" customWidth="1"/>
    <col min="8891" max="8891" width="13.5703125" style="3" customWidth="1"/>
    <col min="8892" max="8892" width="13.42578125" style="3" customWidth="1"/>
    <col min="8893" max="8894" width="12.5703125" style="3" customWidth="1"/>
    <col min="8895" max="8895" width="14.85546875" style="3" customWidth="1"/>
    <col min="8896" max="8896" width="20.7109375" style="3" customWidth="1"/>
    <col min="8897" max="8897" width="12.5703125" style="3" customWidth="1"/>
    <col min="8898" max="8898" width="13" style="3" customWidth="1"/>
    <col min="8899" max="8899" width="16" style="3" customWidth="1"/>
    <col min="8900" max="8900" width="6.42578125" style="3" customWidth="1"/>
    <col min="8901" max="8901" width="16" style="3" customWidth="1"/>
    <col min="8902" max="8902" width="2.85546875" style="3" customWidth="1"/>
    <col min="8903" max="8903" width="0.85546875" style="3" customWidth="1"/>
    <col min="8904" max="8904" width="11" style="3"/>
    <col min="8905" max="8905" width="15.42578125" style="3" customWidth="1"/>
    <col min="8906" max="8908" width="14.85546875" style="3" customWidth="1"/>
    <col min="8909" max="8909" width="0.7109375" style="3" customWidth="1"/>
    <col min="8910" max="8910" width="11" style="3"/>
    <col min="8911" max="8911" width="15.7109375" style="3" customWidth="1"/>
    <col min="8912" max="8913" width="14.85546875" style="3" customWidth="1"/>
    <col min="8914" max="8914" width="3.28515625" style="3" customWidth="1"/>
    <col min="8915" max="8915" width="20.140625" style="3" customWidth="1"/>
    <col min="8916" max="8916" width="3.28515625" style="3" customWidth="1"/>
    <col min="8917" max="8921" width="11" style="3"/>
    <col min="8922" max="8934" width="4.7109375" style="3" customWidth="1"/>
    <col min="8935" max="9144" width="11" style="3"/>
    <col min="9145" max="9145" width="0.7109375" style="3" customWidth="1"/>
    <col min="9146" max="9146" width="6.5703125" style="3" customWidth="1"/>
    <col min="9147" max="9147" width="13.5703125" style="3" customWidth="1"/>
    <col min="9148" max="9148" width="13.42578125" style="3" customWidth="1"/>
    <col min="9149" max="9150" width="12.5703125" style="3" customWidth="1"/>
    <col min="9151" max="9151" width="14.85546875" style="3" customWidth="1"/>
    <col min="9152" max="9152" width="20.7109375" style="3" customWidth="1"/>
    <col min="9153" max="9153" width="12.5703125" style="3" customWidth="1"/>
    <col min="9154" max="9154" width="13" style="3" customWidth="1"/>
    <col min="9155" max="9155" width="16" style="3" customWidth="1"/>
    <col min="9156" max="9156" width="6.42578125" style="3" customWidth="1"/>
    <col min="9157" max="9157" width="16" style="3" customWidth="1"/>
    <col min="9158" max="9158" width="2.85546875" style="3" customWidth="1"/>
    <col min="9159" max="9159" width="0.85546875" style="3" customWidth="1"/>
    <col min="9160" max="9160" width="11" style="3"/>
    <col min="9161" max="9161" width="15.42578125" style="3" customWidth="1"/>
    <col min="9162" max="9164" width="14.85546875" style="3" customWidth="1"/>
    <col min="9165" max="9165" width="0.7109375" style="3" customWidth="1"/>
    <col min="9166" max="9166" width="11" style="3"/>
    <col min="9167" max="9167" width="15.7109375" style="3" customWidth="1"/>
    <col min="9168" max="9169" width="14.85546875" style="3" customWidth="1"/>
    <col min="9170" max="9170" width="3.28515625" style="3" customWidth="1"/>
    <col min="9171" max="9171" width="20.140625" style="3" customWidth="1"/>
    <col min="9172" max="9172" width="3.28515625" style="3" customWidth="1"/>
    <col min="9173" max="9177" width="11" style="3"/>
    <col min="9178" max="9190" width="4.7109375" style="3" customWidth="1"/>
    <col min="9191" max="9400" width="11" style="3"/>
    <col min="9401" max="9401" width="0.7109375" style="3" customWidth="1"/>
    <col min="9402" max="9402" width="6.5703125" style="3" customWidth="1"/>
    <col min="9403" max="9403" width="13.5703125" style="3" customWidth="1"/>
    <col min="9404" max="9404" width="13.42578125" style="3" customWidth="1"/>
    <col min="9405" max="9406" width="12.5703125" style="3" customWidth="1"/>
    <col min="9407" max="9407" width="14.85546875" style="3" customWidth="1"/>
    <col min="9408" max="9408" width="20.7109375" style="3" customWidth="1"/>
    <col min="9409" max="9409" width="12.5703125" style="3" customWidth="1"/>
    <col min="9410" max="9410" width="13" style="3" customWidth="1"/>
    <col min="9411" max="9411" width="16" style="3" customWidth="1"/>
    <col min="9412" max="9412" width="6.42578125" style="3" customWidth="1"/>
    <col min="9413" max="9413" width="16" style="3" customWidth="1"/>
    <col min="9414" max="9414" width="2.85546875" style="3" customWidth="1"/>
    <col min="9415" max="9415" width="0.85546875" style="3" customWidth="1"/>
    <col min="9416" max="9416" width="11" style="3"/>
    <col min="9417" max="9417" width="15.42578125" style="3" customWidth="1"/>
    <col min="9418" max="9420" width="14.85546875" style="3" customWidth="1"/>
    <col min="9421" max="9421" width="0.7109375" style="3" customWidth="1"/>
    <col min="9422" max="9422" width="11" style="3"/>
    <col min="9423" max="9423" width="15.7109375" style="3" customWidth="1"/>
    <col min="9424" max="9425" width="14.85546875" style="3" customWidth="1"/>
    <col min="9426" max="9426" width="3.28515625" style="3" customWidth="1"/>
    <col min="9427" max="9427" width="20.140625" style="3" customWidth="1"/>
    <col min="9428" max="9428" width="3.28515625" style="3" customWidth="1"/>
    <col min="9429" max="9433" width="11" style="3"/>
    <col min="9434" max="9446" width="4.7109375" style="3" customWidth="1"/>
    <col min="9447" max="9656" width="11" style="3"/>
    <col min="9657" max="9657" width="0.7109375" style="3" customWidth="1"/>
    <col min="9658" max="9658" width="6.5703125" style="3" customWidth="1"/>
    <col min="9659" max="9659" width="13.5703125" style="3" customWidth="1"/>
    <col min="9660" max="9660" width="13.42578125" style="3" customWidth="1"/>
    <col min="9661" max="9662" width="12.5703125" style="3" customWidth="1"/>
    <col min="9663" max="9663" width="14.85546875" style="3" customWidth="1"/>
    <col min="9664" max="9664" width="20.7109375" style="3" customWidth="1"/>
    <col min="9665" max="9665" width="12.5703125" style="3" customWidth="1"/>
    <col min="9666" max="9666" width="13" style="3" customWidth="1"/>
    <col min="9667" max="9667" width="16" style="3" customWidth="1"/>
    <col min="9668" max="9668" width="6.42578125" style="3" customWidth="1"/>
    <col min="9669" max="9669" width="16" style="3" customWidth="1"/>
    <col min="9670" max="9670" width="2.85546875" style="3" customWidth="1"/>
    <col min="9671" max="9671" width="0.85546875" style="3" customWidth="1"/>
    <col min="9672" max="9672" width="11" style="3"/>
    <col min="9673" max="9673" width="15.42578125" style="3" customWidth="1"/>
    <col min="9674" max="9676" width="14.85546875" style="3" customWidth="1"/>
    <col min="9677" max="9677" width="0.7109375" style="3" customWidth="1"/>
    <col min="9678" max="9678" width="11" style="3"/>
    <col min="9679" max="9679" width="15.7109375" style="3" customWidth="1"/>
    <col min="9680" max="9681" width="14.85546875" style="3" customWidth="1"/>
    <col min="9682" max="9682" width="3.28515625" style="3" customWidth="1"/>
    <col min="9683" max="9683" width="20.140625" style="3" customWidth="1"/>
    <col min="9684" max="9684" width="3.28515625" style="3" customWidth="1"/>
    <col min="9685" max="9689" width="11" style="3"/>
    <col min="9690" max="9702" width="4.7109375" style="3" customWidth="1"/>
    <col min="9703" max="9912" width="11" style="3"/>
    <col min="9913" max="9913" width="0.7109375" style="3" customWidth="1"/>
    <col min="9914" max="9914" width="6.5703125" style="3" customWidth="1"/>
    <col min="9915" max="9915" width="13.5703125" style="3" customWidth="1"/>
    <col min="9916" max="9916" width="13.42578125" style="3" customWidth="1"/>
    <col min="9917" max="9918" width="12.5703125" style="3" customWidth="1"/>
    <col min="9919" max="9919" width="14.85546875" style="3" customWidth="1"/>
    <col min="9920" max="9920" width="20.7109375" style="3" customWidth="1"/>
    <col min="9921" max="9921" width="12.5703125" style="3" customWidth="1"/>
    <col min="9922" max="9922" width="13" style="3" customWidth="1"/>
    <col min="9923" max="9923" width="16" style="3" customWidth="1"/>
    <col min="9924" max="9924" width="6.42578125" style="3" customWidth="1"/>
    <col min="9925" max="9925" width="16" style="3" customWidth="1"/>
    <col min="9926" max="9926" width="2.85546875" style="3" customWidth="1"/>
    <col min="9927" max="9927" width="0.85546875" style="3" customWidth="1"/>
    <col min="9928" max="9928" width="11" style="3"/>
    <col min="9929" max="9929" width="15.42578125" style="3" customWidth="1"/>
    <col min="9930" max="9932" width="14.85546875" style="3" customWidth="1"/>
    <col min="9933" max="9933" width="0.7109375" style="3" customWidth="1"/>
    <col min="9934" max="9934" width="11" style="3"/>
    <col min="9935" max="9935" width="15.7109375" style="3" customWidth="1"/>
    <col min="9936" max="9937" width="14.85546875" style="3" customWidth="1"/>
    <col min="9938" max="9938" width="3.28515625" style="3" customWidth="1"/>
    <col min="9939" max="9939" width="20.140625" style="3" customWidth="1"/>
    <col min="9940" max="9940" width="3.28515625" style="3" customWidth="1"/>
    <col min="9941" max="9945" width="11" style="3"/>
    <col min="9946" max="9958" width="4.7109375" style="3" customWidth="1"/>
    <col min="9959" max="10168" width="11" style="3"/>
    <col min="10169" max="10169" width="0.7109375" style="3" customWidth="1"/>
    <col min="10170" max="10170" width="6.5703125" style="3" customWidth="1"/>
    <col min="10171" max="10171" width="13.5703125" style="3" customWidth="1"/>
    <col min="10172" max="10172" width="13.42578125" style="3" customWidth="1"/>
    <col min="10173" max="10174" width="12.5703125" style="3" customWidth="1"/>
    <col min="10175" max="10175" width="14.85546875" style="3" customWidth="1"/>
    <col min="10176" max="10176" width="20.7109375" style="3" customWidth="1"/>
    <col min="10177" max="10177" width="12.5703125" style="3" customWidth="1"/>
    <col min="10178" max="10178" width="13" style="3" customWidth="1"/>
    <col min="10179" max="10179" width="16" style="3" customWidth="1"/>
    <col min="10180" max="10180" width="6.42578125" style="3" customWidth="1"/>
    <col min="10181" max="10181" width="16" style="3" customWidth="1"/>
    <col min="10182" max="10182" width="2.85546875" style="3" customWidth="1"/>
    <col min="10183" max="10183" width="0.85546875" style="3" customWidth="1"/>
    <col min="10184" max="10184" width="11" style="3"/>
    <col min="10185" max="10185" width="15.42578125" style="3" customWidth="1"/>
    <col min="10186" max="10188" width="14.85546875" style="3" customWidth="1"/>
    <col min="10189" max="10189" width="0.7109375" style="3" customWidth="1"/>
    <col min="10190" max="10190" width="11" style="3"/>
    <col min="10191" max="10191" width="15.7109375" style="3" customWidth="1"/>
    <col min="10192" max="10193" width="14.85546875" style="3" customWidth="1"/>
    <col min="10194" max="10194" width="3.28515625" style="3" customWidth="1"/>
    <col min="10195" max="10195" width="20.140625" style="3" customWidth="1"/>
    <col min="10196" max="10196" width="3.28515625" style="3" customWidth="1"/>
    <col min="10197" max="10201" width="11" style="3"/>
    <col min="10202" max="10214" width="4.7109375" style="3" customWidth="1"/>
    <col min="10215" max="10424" width="11" style="3"/>
    <col min="10425" max="10425" width="0.7109375" style="3" customWidth="1"/>
    <col min="10426" max="10426" width="6.5703125" style="3" customWidth="1"/>
    <col min="10427" max="10427" width="13.5703125" style="3" customWidth="1"/>
    <col min="10428" max="10428" width="13.42578125" style="3" customWidth="1"/>
    <col min="10429" max="10430" width="12.5703125" style="3" customWidth="1"/>
    <col min="10431" max="10431" width="14.85546875" style="3" customWidth="1"/>
    <col min="10432" max="10432" width="20.7109375" style="3" customWidth="1"/>
    <col min="10433" max="10433" width="12.5703125" style="3" customWidth="1"/>
    <col min="10434" max="10434" width="13" style="3" customWidth="1"/>
    <col min="10435" max="10435" width="16" style="3" customWidth="1"/>
    <col min="10436" max="10436" width="6.42578125" style="3" customWidth="1"/>
    <col min="10437" max="10437" width="16" style="3" customWidth="1"/>
    <col min="10438" max="10438" width="2.85546875" style="3" customWidth="1"/>
    <col min="10439" max="10439" width="0.85546875" style="3" customWidth="1"/>
    <col min="10440" max="10440" width="11" style="3"/>
    <col min="10441" max="10441" width="15.42578125" style="3" customWidth="1"/>
    <col min="10442" max="10444" width="14.85546875" style="3" customWidth="1"/>
    <col min="10445" max="10445" width="0.7109375" style="3" customWidth="1"/>
    <col min="10446" max="10446" width="11" style="3"/>
    <col min="10447" max="10447" width="15.7109375" style="3" customWidth="1"/>
    <col min="10448" max="10449" width="14.85546875" style="3" customWidth="1"/>
    <col min="10450" max="10450" width="3.28515625" style="3" customWidth="1"/>
    <col min="10451" max="10451" width="20.140625" style="3" customWidth="1"/>
    <col min="10452" max="10452" width="3.28515625" style="3" customWidth="1"/>
    <col min="10453" max="10457" width="11" style="3"/>
    <col min="10458" max="10470" width="4.7109375" style="3" customWidth="1"/>
    <col min="10471" max="10680" width="11" style="3"/>
    <col min="10681" max="10681" width="0.7109375" style="3" customWidth="1"/>
    <col min="10682" max="10682" width="6.5703125" style="3" customWidth="1"/>
    <col min="10683" max="10683" width="13.5703125" style="3" customWidth="1"/>
    <col min="10684" max="10684" width="13.42578125" style="3" customWidth="1"/>
    <col min="10685" max="10686" width="12.5703125" style="3" customWidth="1"/>
    <col min="10687" max="10687" width="14.85546875" style="3" customWidth="1"/>
    <col min="10688" max="10688" width="20.7109375" style="3" customWidth="1"/>
    <col min="10689" max="10689" width="12.5703125" style="3" customWidth="1"/>
    <col min="10690" max="10690" width="13" style="3" customWidth="1"/>
    <col min="10691" max="10691" width="16" style="3" customWidth="1"/>
    <col min="10692" max="10692" width="6.42578125" style="3" customWidth="1"/>
    <col min="10693" max="10693" width="16" style="3" customWidth="1"/>
    <col min="10694" max="10694" width="2.85546875" style="3" customWidth="1"/>
    <col min="10695" max="10695" width="0.85546875" style="3" customWidth="1"/>
    <col min="10696" max="10696" width="11" style="3"/>
    <col min="10697" max="10697" width="15.42578125" style="3" customWidth="1"/>
    <col min="10698" max="10700" width="14.85546875" style="3" customWidth="1"/>
    <col min="10701" max="10701" width="0.7109375" style="3" customWidth="1"/>
    <col min="10702" max="10702" width="11" style="3"/>
    <col min="10703" max="10703" width="15.7109375" style="3" customWidth="1"/>
    <col min="10704" max="10705" width="14.85546875" style="3" customWidth="1"/>
    <col min="10706" max="10706" width="3.28515625" style="3" customWidth="1"/>
    <col min="10707" max="10707" width="20.140625" style="3" customWidth="1"/>
    <col min="10708" max="10708" width="3.28515625" style="3" customWidth="1"/>
    <col min="10709" max="10713" width="11" style="3"/>
    <col min="10714" max="10726" width="4.7109375" style="3" customWidth="1"/>
    <col min="10727" max="10936" width="11" style="3"/>
    <col min="10937" max="10937" width="0.7109375" style="3" customWidth="1"/>
    <col min="10938" max="10938" width="6.5703125" style="3" customWidth="1"/>
    <col min="10939" max="10939" width="13.5703125" style="3" customWidth="1"/>
    <col min="10940" max="10940" width="13.42578125" style="3" customWidth="1"/>
    <col min="10941" max="10942" width="12.5703125" style="3" customWidth="1"/>
    <col min="10943" max="10943" width="14.85546875" style="3" customWidth="1"/>
    <col min="10944" max="10944" width="20.7109375" style="3" customWidth="1"/>
    <col min="10945" max="10945" width="12.5703125" style="3" customWidth="1"/>
    <col min="10946" max="10946" width="13" style="3" customWidth="1"/>
    <col min="10947" max="10947" width="16" style="3" customWidth="1"/>
    <col min="10948" max="10948" width="6.42578125" style="3" customWidth="1"/>
    <col min="10949" max="10949" width="16" style="3" customWidth="1"/>
    <col min="10950" max="10950" width="2.85546875" style="3" customWidth="1"/>
    <col min="10951" max="10951" width="0.85546875" style="3" customWidth="1"/>
    <col min="10952" max="10952" width="11" style="3"/>
    <col min="10953" max="10953" width="15.42578125" style="3" customWidth="1"/>
    <col min="10954" max="10956" width="14.85546875" style="3" customWidth="1"/>
    <col min="10957" max="10957" width="0.7109375" style="3" customWidth="1"/>
    <col min="10958" max="10958" width="11" style="3"/>
    <col min="10959" max="10959" width="15.7109375" style="3" customWidth="1"/>
    <col min="10960" max="10961" width="14.85546875" style="3" customWidth="1"/>
    <col min="10962" max="10962" width="3.28515625" style="3" customWidth="1"/>
    <col min="10963" max="10963" width="20.140625" style="3" customWidth="1"/>
    <col min="10964" max="10964" width="3.28515625" style="3" customWidth="1"/>
    <col min="10965" max="10969" width="11" style="3"/>
    <col min="10970" max="10982" width="4.7109375" style="3" customWidth="1"/>
    <col min="10983" max="11192" width="11" style="3"/>
    <col min="11193" max="11193" width="0.7109375" style="3" customWidth="1"/>
    <col min="11194" max="11194" width="6.5703125" style="3" customWidth="1"/>
    <col min="11195" max="11195" width="13.5703125" style="3" customWidth="1"/>
    <col min="11196" max="11196" width="13.42578125" style="3" customWidth="1"/>
    <col min="11197" max="11198" width="12.5703125" style="3" customWidth="1"/>
    <col min="11199" max="11199" width="14.85546875" style="3" customWidth="1"/>
    <col min="11200" max="11200" width="20.7109375" style="3" customWidth="1"/>
    <col min="11201" max="11201" width="12.5703125" style="3" customWidth="1"/>
    <col min="11202" max="11202" width="13" style="3" customWidth="1"/>
    <col min="11203" max="11203" width="16" style="3" customWidth="1"/>
    <col min="11204" max="11204" width="6.42578125" style="3" customWidth="1"/>
    <col min="11205" max="11205" width="16" style="3" customWidth="1"/>
    <col min="11206" max="11206" width="2.85546875" style="3" customWidth="1"/>
    <col min="11207" max="11207" width="0.85546875" style="3" customWidth="1"/>
    <col min="11208" max="11208" width="11" style="3"/>
    <col min="11209" max="11209" width="15.42578125" style="3" customWidth="1"/>
    <col min="11210" max="11212" width="14.85546875" style="3" customWidth="1"/>
    <col min="11213" max="11213" width="0.7109375" style="3" customWidth="1"/>
    <col min="11214" max="11214" width="11" style="3"/>
    <col min="11215" max="11215" width="15.7109375" style="3" customWidth="1"/>
    <col min="11216" max="11217" width="14.85546875" style="3" customWidth="1"/>
    <col min="11218" max="11218" width="3.28515625" style="3" customWidth="1"/>
    <col min="11219" max="11219" width="20.140625" style="3" customWidth="1"/>
    <col min="11220" max="11220" width="3.28515625" style="3" customWidth="1"/>
    <col min="11221" max="11225" width="11" style="3"/>
    <col min="11226" max="11238" width="4.7109375" style="3" customWidth="1"/>
    <col min="11239" max="11448" width="11" style="3"/>
    <col min="11449" max="11449" width="0.7109375" style="3" customWidth="1"/>
    <col min="11450" max="11450" width="6.5703125" style="3" customWidth="1"/>
    <col min="11451" max="11451" width="13.5703125" style="3" customWidth="1"/>
    <col min="11452" max="11452" width="13.42578125" style="3" customWidth="1"/>
    <col min="11453" max="11454" width="12.5703125" style="3" customWidth="1"/>
    <col min="11455" max="11455" width="14.85546875" style="3" customWidth="1"/>
    <col min="11456" max="11456" width="20.7109375" style="3" customWidth="1"/>
    <col min="11457" max="11457" width="12.5703125" style="3" customWidth="1"/>
    <col min="11458" max="11458" width="13" style="3" customWidth="1"/>
    <col min="11459" max="11459" width="16" style="3" customWidth="1"/>
    <col min="11460" max="11460" width="6.42578125" style="3" customWidth="1"/>
    <col min="11461" max="11461" width="16" style="3" customWidth="1"/>
    <col min="11462" max="11462" width="2.85546875" style="3" customWidth="1"/>
    <col min="11463" max="11463" width="0.85546875" style="3" customWidth="1"/>
    <col min="11464" max="11464" width="11" style="3"/>
    <col min="11465" max="11465" width="15.42578125" style="3" customWidth="1"/>
    <col min="11466" max="11468" width="14.85546875" style="3" customWidth="1"/>
    <col min="11469" max="11469" width="0.7109375" style="3" customWidth="1"/>
    <col min="11470" max="11470" width="11" style="3"/>
    <col min="11471" max="11471" width="15.7109375" style="3" customWidth="1"/>
    <col min="11472" max="11473" width="14.85546875" style="3" customWidth="1"/>
    <col min="11474" max="11474" width="3.28515625" style="3" customWidth="1"/>
    <col min="11475" max="11475" width="20.140625" style="3" customWidth="1"/>
    <col min="11476" max="11476" width="3.28515625" style="3" customWidth="1"/>
    <col min="11477" max="11481" width="11" style="3"/>
    <col min="11482" max="11494" width="4.7109375" style="3" customWidth="1"/>
    <col min="11495" max="11704" width="11" style="3"/>
    <col min="11705" max="11705" width="0.7109375" style="3" customWidth="1"/>
    <col min="11706" max="11706" width="6.5703125" style="3" customWidth="1"/>
    <col min="11707" max="11707" width="13.5703125" style="3" customWidth="1"/>
    <col min="11708" max="11708" width="13.42578125" style="3" customWidth="1"/>
    <col min="11709" max="11710" width="12.5703125" style="3" customWidth="1"/>
    <col min="11711" max="11711" width="14.85546875" style="3" customWidth="1"/>
    <col min="11712" max="11712" width="20.7109375" style="3" customWidth="1"/>
    <col min="11713" max="11713" width="12.5703125" style="3" customWidth="1"/>
    <col min="11714" max="11714" width="13" style="3" customWidth="1"/>
    <col min="11715" max="11715" width="16" style="3" customWidth="1"/>
    <col min="11716" max="11716" width="6.42578125" style="3" customWidth="1"/>
    <col min="11717" max="11717" width="16" style="3" customWidth="1"/>
    <col min="11718" max="11718" width="2.85546875" style="3" customWidth="1"/>
    <col min="11719" max="11719" width="0.85546875" style="3" customWidth="1"/>
    <col min="11720" max="11720" width="11" style="3"/>
    <col min="11721" max="11721" width="15.42578125" style="3" customWidth="1"/>
    <col min="11722" max="11724" width="14.85546875" style="3" customWidth="1"/>
    <col min="11725" max="11725" width="0.7109375" style="3" customWidth="1"/>
    <col min="11726" max="11726" width="11" style="3"/>
    <col min="11727" max="11727" width="15.7109375" style="3" customWidth="1"/>
    <col min="11728" max="11729" width="14.85546875" style="3" customWidth="1"/>
    <col min="11730" max="11730" width="3.28515625" style="3" customWidth="1"/>
    <col min="11731" max="11731" width="20.140625" style="3" customWidth="1"/>
    <col min="11732" max="11732" width="3.28515625" style="3" customWidth="1"/>
    <col min="11733" max="11737" width="11" style="3"/>
    <col min="11738" max="11750" width="4.7109375" style="3" customWidth="1"/>
    <col min="11751" max="11960" width="11" style="3"/>
    <col min="11961" max="11961" width="0.7109375" style="3" customWidth="1"/>
    <col min="11962" max="11962" width="6.5703125" style="3" customWidth="1"/>
    <col min="11963" max="11963" width="13.5703125" style="3" customWidth="1"/>
    <col min="11964" max="11964" width="13.42578125" style="3" customWidth="1"/>
    <col min="11965" max="11966" width="12.5703125" style="3" customWidth="1"/>
    <col min="11967" max="11967" width="14.85546875" style="3" customWidth="1"/>
    <col min="11968" max="11968" width="20.7109375" style="3" customWidth="1"/>
    <col min="11969" max="11969" width="12.5703125" style="3" customWidth="1"/>
    <col min="11970" max="11970" width="13" style="3" customWidth="1"/>
    <col min="11971" max="11971" width="16" style="3" customWidth="1"/>
    <col min="11972" max="11972" width="6.42578125" style="3" customWidth="1"/>
    <col min="11973" max="11973" width="16" style="3" customWidth="1"/>
    <col min="11974" max="11974" width="2.85546875" style="3" customWidth="1"/>
    <col min="11975" max="11975" width="0.85546875" style="3" customWidth="1"/>
    <col min="11976" max="11976" width="11" style="3"/>
    <col min="11977" max="11977" width="15.42578125" style="3" customWidth="1"/>
    <col min="11978" max="11980" width="14.85546875" style="3" customWidth="1"/>
    <col min="11981" max="11981" width="0.7109375" style="3" customWidth="1"/>
    <col min="11982" max="11982" width="11" style="3"/>
    <col min="11983" max="11983" width="15.7109375" style="3" customWidth="1"/>
    <col min="11984" max="11985" width="14.85546875" style="3" customWidth="1"/>
    <col min="11986" max="11986" width="3.28515625" style="3" customWidth="1"/>
    <col min="11987" max="11987" width="20.140625" style="3" customWidth="1"/>
    <col min="11988" max="11988" width="3.28515625" style="3" customWidth="1"/>
    <col min="11989" max="11993" width="11" style="3"/>
    <col min="11994" max="12006" width="4.7109375" style="3" customWidth="1"/>
    <col min="12007" max="12216" width="11" style="3"/>
    <col min="12217" max="12217" width="0.7109375" style="3" customWidth="1"/>
    <col min="12218" max="12218" width="6.5703125" style="3" customWidth="1"/>
    <col min="12219" max="12219" width="13.5703125" style="3" customWidth="1"/>
    <col min="12220" max="12220" width="13.42578125" style="3" customWidth="1"/>
    <col min="12221" max="12222" width="12.5703125" style="3" customWidth="1"/>
    <col min="12223" max="12223" width="14.85546875" style="3" customWidth="1"/>
    <col min="12224" max="12224" width="20.7109375" style="3" customWidth="1"/>
    <col min="12225" max="12225" width="12.5703125" style="3" customWidth="1"/>
    <col min="12226" max="12226" width="13" style="3" customWidth="1"/>
    <col min="12227" max="12227" width="16" style="3" customWidth="1"/>
    <col min="12228" max="12228" width="6.42578125" style="3" customWidth="1"/>
    <col min="12229" max="12229" width="16" style="3" customWidth="1"/>
    <col min="12230" max="12230" width="2.85546875" style="3" customWidth="1"/>
    <col min="12231" max="12231" width="0.85546875" style="3" customWidth="1"/>
    <col min="12232" max="12232" width="11" style="3"/>
    <col min="12233" max="12233" width="15.42578125" style="3" customWidth="1"/>
    <col min="12234" max="12236" width="14.85546875" style="3" customWidth="1"/>
    <col min="12237" max="12237" width="0.7109375" style="3" customWidth="1"/>
    <col min="12238" max="12238" width="11" style="3"/>
    <col min="12239" max="12239" width="15.7109375" style="3" customWidth="1"/>
    <col min="12240" max="12241" width="14.85546875" style="3" customWidth="1"/>
    <col min="12242" max="12242" width="3.28515625" style="3" customWidth="1"/>
    <col min="12243" max="12243" width="20.140625" style="3" customWidth="1"/>
    <col min="12244" max="12244" width="3.28515625" style="3" customWidth="1"/>
    <col min="12245" max="12249" width="11" style="3"/>
    <col min="12250" max="12262" width="4.7109375" style="3" customWidth="1"/>
    <col min="12263" max="12472" width="11" style="3"/>
    <col min="12473" max="12473" width="0.7109375" style="3" customWidth="1"/>
    <col min="12474" max="12474" width="6.5703125" style="3" customWidth="1"/>
    <col min="12475" max="12475" width="13.5703125" style="3" customWidth="1"/>
    <col min="12476" max="12476" width="13.42578125" style="3" customWidth="1"/>
    <col min="12477" max="12478" width="12.5703125" style="3" customWidth="1"/>
    <col min="12479" max="12479" width="14.85546875" style="3" customWidth="1"/>
    <col min="12480" max="12480" width="20.7109375" style="3" customWidth="1"/>
    <col min="12481" max="12481" width="12.5703125" style="3" customWidth="1"/>
    <col min="12482" max="12482" width="13" style="3" customWidth="1"/>
    <col min="12483" max="12483" width="16" style="3" customWidth="1"/>
    <col min="12484" max="12484" width="6.42578125" style="3" customWidth="1"/>
    <col min="12485" max="12485" width="16" style="3" customWidth="1"/>
    <col min="12486" max="12486" width="2.85546875" style="3" customWidth="1"/>
    <col min="12487" max="12487" width="0.85546875" style="3" customWidth="1"/>
    <col min="12488" max="12488" width="11" style="3"/>
    <col min="12489" max="12489" width="15.42578125" style="3" customWidth="1"/>
    <col min="12490" max="12492" width="14.85546875" style="3" customWidth="1"/>
    <col min="12493" max="12493" width="0.7109375" style="3" customWidth="1"/>
    <col min="12494" max="12494" width="11" style="3"/>
    <col min="12495" max="12495" width="15.7109375" style="3" customWidth="1"/>
    <col min="12496" max="12497" width="14.85546875" style="3" customWidth="1"/>
    <col min="12498" max="12498" width="3.28515625" style="3" customWidth="1"/>
    <col min="12499" max="12499" width="20.140625" style="3" customWidth="1"/>
    <col min="12500" max="12500" width="3.28515625" style="3" customWidth="1"/>
    <col min="12501" max="12505" width="11" style="3"/>
    <col min="12506" max="12518" width="4.7109375" style="3" customWidth="1"/>
    <col min="12519" max="12728" width="11" style="3"/>
    <col min="12729" max="12729" width="0.7109375" style="3" customWidth="1"/>
    <col min="12730" max="12730" width="6.5703125" style="3" customWidth="1"/>
    <col min="12731" max="12731" width="13.5703125" style="3" customWidth="1"/>
    <col min="12732" max="12732" width="13.42578125" style="3" customWidth="1"/>
    <col min="12733" max="12734" width="12.5703125" style="3" customWidth="1"/>
    <col min="12735" max="12735" width="14.85546875" style="3" customWidth="1"/>
    <col min="12736" max="12736" width="20.7109375" style="3" customWidth="1"/>
    <col min="12737" max="12737" width="12.5703125" style="3" customWidth="1"/>
    <col min="12738" max="12738" width="13" style="3" customWidth="1"/>
    <col min="12739" max="12739" width="16" style="3" customWidth="1"/>
    <col min="12740" max="12740" width="6.42578125" style="3" customWidth="1"/>
    <col min="12741" max="12741" width="16" style="3" customWidth="1"/>
    <col min="12742" max="12742" width="2.85546875" style="3" customWidth="1"/>
    <col min="12743" max="12743" width="0.85546875" style="3" customWidth="1"/>
    <col min="12744" max="12744" width="11" style="3"/>
    <col min="12745" max="12745" width="15.42578125" style="3" customWidth="1"/>
    <col min="12746" max="12748" width="14.85546875" style="3" customWidth="1"/>
    <col min="12749" max="12749" width="0.7109375" style="3" customWidth="1"/>
    <col min="12750" max="12750" width="11" style="3"/>
    <col min="12751" max="12751" width="15.7109375" style="3" customWidth="1"/>
    <col min="12752" max="12753" width="14.85546875" style="3" customWidth="1"/>
    <col min="12754" max="12754" width="3.28515625" style="3" customWidth="1"/>
    <col min="12755" max="12755" width="20.140625" style="3" customWidth="1"/>
    <col min="12756" max="12756" width="3.28515625" style="3" customWidth="1"/>
    <col min="12757" max="12761" width="11" style="3"/>
    <col min="12762" max="12774" width="4.7109375" style="3" customWidth="1"/>
    <col min="12775" max="12984" width="11" style="3"/>
    <col min="12985" max="12985" width="0.7109375" style="3" customWidth="1"/>
    <col min="12986" max="12986" width="6.5703125" style="3" customWidth="1"/>
    <col min="12987" max="12987" width="13.5703125" style="3" customWidth="1"/>
    <col min="12988" max="12988" width="13.42578125" style="3" customWidth="1"/>
    <col min="12989" max="12990" width="12.5703125" style="3" customWidth="1"/>
    <col min="12991" max="12991" width="14.85546875" style="3" customWidth="1"/>
    <col min="12992" max="12992" width="20.7109375" style="3" customWidth="1"/>
    <col min="12993" max="12993" width="12.5703125" style="3" customWidth="1"/>
    <col min="12994" max="12994" width="13" style="3" customWidth="1"/>
    <col min="12995" max="12995" width="16" style="3" customWidth="1"/>
    <col min="12996" max="12996" width="6.42578125" style="3" customWidth="1"/>
    <col min="12997" max="12997" width="16" style="3" customWidth="1"/>
    <col min="12998" max="12998" width="2.85546875" style="3" customWidth="1"/>
    <col min="12999" max="12999" width="0.85546875" style="3" customWidth="1"/>
    <col min="13000" max="13000" width="11" style="3"/>
    <col min="13001" max="13001" width="15.42578125" style="3" customWidth="1"/>
    <col min="13002" max="13004" width="14.85546875" style="3" customWidth="1"/>
    <col min="13005" max="13005" width="0.7109375" style="3" customWidth="1"/>
    <col min="13006" max="13006" width="11" style="3"/>
    <col min="13007" max="13007" width="15.7109375" style="3" customWidth="1"/>
    <col min="13008" max="13009" width="14.85546875" style="3" customWidth="1"/>
    <col min="13010" max="13010" width="3.28515625" style="3" customWidth="1"/>
    <col min="13011" max="13011" width="20.140625" style="3" customWidth="1"/>
    <col min="13012" max="13012" width="3.28515625" style="3" customWidth="1"/>
    <col min="13013" max="13017" width="11" style="3"/>
    <col min="13018" max="13030" width="4.7109375" style="3" customWidth="1"/>
    <col min="13031" max="13240" width="11" style="3"/>
    <col min="13241" max="13241" width="0.7109375" style="3" customWidth="1"/>
    <col min="13242" max="13242" width="6.5703125" style="3" customWidth="1"/>
    <col min="13243" max="13243" width="13.5703125" style="3" customWidth="1"/>
    <col min="13244" max="13244" width="13.42578125" style="3" customWidth="1"/>
    <col min="13245" max="13246" width="12.5703125" style="3" customWidth="1"/>
    <col min="13247" max="13247" width="14.85546875" style="3" customWidth="1"/>
    <col min="13248" max="13248" width="20.7109375" style="3" customWidth="1"/>
    <col min="13249" max="13249" width="12.5703125" style="3" customWidth="1"/>
    <col min="13250" max="13250" width="13" style="3" customWidth="1"/>
    <col min="13251" max="13251" width="16" style="3" customWidth="1"/>
    <col min="13252" max="13252" width="6.42578125" style="3" customWidth="1"/>
    <col min="13253" max="13253" width="16" style="3" customWidth="1"/>
    <col min="13254" max="13254" width="2.85546875" style="3" customWidth="1"/>
    <col min="13255" max="13255" width="0.85546875" style="3" customWidth="1"/>
    <col min="13256" max="13256" width="11" style="3"/>
    <col min="13257" max="13257" width="15.42578125" style="3" customWidth="1"/>
    <col min="13258" max="13260" width="14.85546875" style="3" customWidth="1"/>
    <col min="13261" max="13261" width="0.7109375" style="3" customWidth="1"/>
    <col min="13262" max="13262" width="11" style="3"/>
    <col min="13263" max="13263" width="15.7109375" style="3" customWidth="1"/>
    <col min="13264" max="13265" width="14.85546875" style="3" customWidth="1"/>
    <col min="13266" max="13266" width="3.28515625" style="3" customWidth="1"/>
    <col min="13267" max="13267" width="20.140625" style="3" customWidth="1"/>
    <col min="13268" max="13268" width="3.28515625" style="3" customWidth="1"/>
    <col min="13269" max="13273" width="11" style="3"/>
    <col min="13274" max="13286" width="4.7109375" style="3" customWidth="1"/>
    <col min="13287" max="13496" width="11" style="3"/>
    <col min="13497" max="13497" width="0.7109375" style="3" customWidth="1"/>
    <col min="13498" max="13498" width="6.5703125" style="3" customWidth="1"/>
    <col min="13499" max="13499" width="13.5703125" style="3" customWidth="1"/>
    <col min="13500" max="13500" width="13.42578125" style="3" customWidth="1"/>
    <col min="13501" max="13502" width="12.5703125" style="3" customWidth="1"/>
    <col min="13503" max="13503" width="14.85546875" style="3" customWidth="1"/>
    <col min="13504" max="13504" width="20.7109375" style="3" customWidth="1"/>
    <col min="13505" max="13505" width="12.5703125" style="3" customWidth="1"/>
    <col min="13506" max="13506" width="13" style="3" customWidth="1"/>
    <col min="13507" max="13507" width="16" style="3" customWidth="1"/>
    <col min="13508" max="13508" width="6.42578125" style="3" customWidth="1"/>
    <col min="13509" max="13509" width="16" style="3" customWidth="1"/>
    <col min="13510" max="13510" width="2.85546875" style="3" customWidth="1"/>
    <col min="13511" max="13511" width="0.85546875" style="3" customWidth="1"/>
    <col min="13512" max="13512" width="11" style="3"/>
    <col min="13513" max="13513" width="15.42578125" style="3" customWidth="1"/>
    <col min="13514" max="13516" width="14.85546875" style="3" customWidth="1"/>
    <col min="13517" max="13517" width="0.7109375" style="3" customWidth="1"/>
    <col min="13518" max="13518" width="11" style="3"/>
    <col min="13519" max="13519" width="15.7109375" style="3" customWidth="1"/>
    <col min="13520" max="13521" width="14.85546875" style="3" customWidth="1"/>
    <col min="13522" max="13522" width="3.28515625" style="3" customWidth="1"/>
    <col min="13523" max="13523" width="20.140625" style="3" customWidth="1"/>
    <col min="13524" max="13524" width="3.28515625" style="3" customWidth="1"/>
    <col min="13525" max="13529" width="11" style="3"/>
    <col min="13530" max="13542" width="4.7109375" style="3" customWidth="1"/>
    <col min="13543" max="13752" width="11" style="3"/>
    <col min="13753" max="13753" width="0.7109375" style="3" customWidth="1"/>
    <col min="13754" max="13754" width="6.5703125" style="3" customWidth="1"/>
    <col min="13755" max="13755" width="13.5703125" style="3" customWidth="1"/>
    <col min="13756" max="13756" width="13.42578125" style="3" customWidth="1"/>
    <col min="13757" max="13758" width="12.5703125" style="3" customWidth="1"/>
    <col min="13759" max="13759" width="14.85546875" style="3" customWidth="1"/>
    <col min="13760" max="13760" width="20.7109375" style="3" customWidth="1"/>
    <col min="13761" max="13761" width="12.5703125" style="3" customWidth="1"/>
    <col min="13762" max="13762" width="13" style="3" customWidth="1"/>
    <col min="13763" max="13763" width="16" style="3" customWidth="1"/>
    <col min="13764" max="13764" width="6.42578125" style="3" customWidth="1"/>
    <col min="13765" max="13765" width="16" style="3" customWidth="1"/>
    <col min="13766" max="13766" width="2.85546875" style="3" customWidth="1"/>
    <col min="13767" max="13767" width="0.85546875" style="3" customWidth="1"/>
    <col min="13768" max="13768" width="11" style="3"/>
    <col min="13769" max="13769" width="15.42578125" style="3" customWidth="1"/>
    <col min="13770" max="13772" width="14.85546875" style="3" customWidth="1"/>
    <col min="13773" max="13773" width="0.7109375" style="3" customWidth="1"/>
    <col min="13774" max="13774" width="11" style="3"/>
    <col min="13775" max="13775" width="15.7109375" style="3" customWidth="1"/>
    <col min="13776" max="13777" width="14.85546875" style="3" customWidth="1"/>
    <col min="13778" max="13778" width="3.28515625" style="3" customWidth="1"/>
    <col min="13779" max="13779" width="20.140625" style="3" customWidth="1"/>
    <col min="13780" max="13780" width="3.28515625" style="3" customWidth="1"/>
    <col min="13781" max="13785" width="11" style="3"/>
    <col min="13786" max="13798" width="4.7109375" style="3" customWidth="1"/>
    <col min="13799" max="14008" width="11" style="3"/>
    <col min="14009" max="14009" width="0.7109375" style="3" customWidth="1"/>
    <col min="14010" max="14010" width="6.5703125" style="3" customWidth="1"/>
    <col min="14011" max="14011" width="13.5703125" style="3" customWidth="1"/>
    <col min="14012" max="14012" width="13.42578125" style="3" customWidth="1"/>
    <col min="14013" max="14014" width="12.5703125" style="3" customWidth="1"/>
    <col min="14015" max="14015" width="14.85546875" style="3" customWidth="1"/>
    <col min="14016" max="14016" width="20.7109375" style="3" customWidth="1"/>
    <col min="14017" max="14017" width="12.5703125" style="3" customWidth="1"/>
    <col min="14018" max="14018" width="13" style="3" customWidth="1"/>
    <col min="14019" max="14019" width="16" style="3" customWidth="1"/>
    <col min="14020" max="14020" width="6.42578125" style="3" customWidth="1"/>
    <col min="14021" max="14021" width="16" style="3" customWidth="1"/>
    <col min="14022" max="14022" width="2.85546875" style="3" customWidth="1"/>
    <col min="14023" max="14023" width="0.85546875" style="3" customWidth="1"/>
    <col min="14024" max="14024" width="11" style="3"/>
    <col min="14025" max="14025" width="15.42578125" style="3" customWidth="1"/>
    <col min="14026" max="14028" width="14.85546875" style="3" customWidth="1"/>
    <col min="14029" max="14029" width="0.7109375" style="3" customWidth="1"/>
    <col min="14030" max="14030" width="11" style="3"/>
    <col min="14031" max="14031" width="15.7109375" style="3" customWidth="1"/>
    <col min="14032" max="14033" width="14.85546875" style="3" customWidth="1"/>
    <col min="14034" max="14034" width="3.28515625" style="3" customWidth="1"/>
    <col min="14035" max="14035" width="20.140625" style="3" customWidth="1"/>
    <col min="14036" max="14036" width="3.28515625" style="3" customWidth="1"/>
    <col min="14037" max="14041" width="11" style="3"/>
    <col min="14042" max="14054" width="4.7109375" style="3" customWidth="1"/>
    <col min="14055" max="14264" width="11" style="3"/>
    <col min="14265" max="14265" width="0.7109375" style="3" customWidth="1"/>
    <col min="14266" max="14266" width="6.5703125" style="3" customWidth="1"/>
    <col min="14267" max="14267" width="13.5703125" style="3" customWidth="1"/>
    <col min="14268" max="14268" width="13.42578125" style="3" customWidth="1"/>
    <col min="14269" max="14270" width="12.5703125" style="3" customWidth="1"/>
    <col min="14271" max="14271" width="14.85546875" style="3" customWidth="1"/>
    <col min="14272" max="14272" width="20.7109375" style="3" customWidth="1"/>
    <col min="14273" max="14273" width="12.5703125" style="3" customWidth="1"/>
    <col min="14274" max="14274" width="13" style="3" customWidth="1"/>
    <col min="14275" max="14275" width="16" style="3" customWidth="1"/>
    <col min="14276" max="14276" width="6.42578125" style="3" customWidth="1"/>
    <col min="14277" max="14277" width="16" style="3" customWidth="1"/>
    <col min="14278" max="14278" width="2.85546875" style="3" customWidth="1"/>
    <col min="14279" max="14279" width="0.85546875" style="3" customWidth="1"/>
    <col min="14280" max="14280" width="11" style="3"/>
    <col min="14281" max="14281" width="15.42578125" style="3" customWidth="1"/>
    <col min="14282" max="14284" width="14.85546875" style="3" customWidth="1"/>
    <col min="14285" max="14285" width="0.7109375" style="3" customWidth="1"/>
    <col min="14286" max="14286" width="11" style="3"/>
    <col min="14287" max="14287" width="15.7109375" style="3" customWidth="1"/>
    <col min="14288" max="14289" width="14.85546875" style="3" customWidth="1"/>
    <col min="14290" max="14290" width="3.28515625" style="3" customWidth="1"/>
    <col min="14291" max="14291" width="20.140625" style="3" customWidth="1"/>
    <col min="14292" max="14292" width="3.28515625" style="3" customWidth="1"/>
    <col min="14293" max="14297" width="11" style="3"/>
    <col min="14298" max="14310" width="4.7109375" style="3" customWidth="1"/>
    <col min="14311" max="14520" width="11" style="3"/>
    <col min="14521" max="14521" width="0.7109375" style="3" customWidth="1"/>
    <col min="14522" max="14522" width="6.5703125" style="3" customWidth="1"/>
    <col min="14523" max="14523" width="13.5703125" style="3" customWidth="1"/>
    <col min="14524" max="14524" width="13.42578125" style="3" customWidth="1"/>
    <col min="14525" max="14526" width="12.5703125" style="3" customWidth="1"/>
    <col min="14527" max="14527" width="14.85546875" style="3" customWidth="1"/>
    <col min="14528" max="14528" width="20.7109375" style="3" customWidth="1"/>
    <col min="14529" max="14529" width="12.5703125" style="3" customWidth="1"/>
    <col min="14530" max="14530" width="13" style="3" customWidth="1"/>
    <col min="14531" max="14531" width="16" style="3" customWidth="1"/>
    <col min="14532" max="14532" width="6.42578125" style="3" customWidth="1"/>
    <col min="14533" max="14533" width="16" style="3" customWidth="1"/>
    <col min="14534" max="14534" width="2.85546875" style="3" customWidth="1"/>
    <col min="14535" max="14535" width="0.85546875" style="3" customWidth="1"/>
    <col min="14536" max="14536" width="11" style="3"/>
    <col min="14537" max="14537" width="15.42578125" style="3" customWidth="1"/>
    <col min="14538" max="14540" width="14.85546875" style="3" customWidth="1"/>
    <col min="14541" max="14541" width="0.7109375" style="3" customWidth="1"/>
    <col min="14542" max="14542" width="11" style="3"/>
    <col min="14543" max="14543" width="15.7109375" style="3" customWidth="1"/>
    <col min="14544" max="14545" width="14.85546875" style="3" customWidth="1"/>
    <col min="14546" max="14546" width="3.28515625" style="3" customWidth="1"/>
    <col min="14547" max="14547" width="20.140625" style="3" customWidth="1"/>
    <col min="14548" max="14548" width="3.28515625" style="3" customWidth="1"/>
    <col min="14549" max="14553" width="11" style="3"/>
    <col min="14554" max="14566" width="4.7109375" style="3" customWidth="1"/>
    <col min="14567" max="14776" width="11" style="3"/>
    <col min="14777" max="14777" width="0.7109375" style="3" customWidth="1"/>
    <col min="14778" max="14778" width="6.5703125" style="3" customWidth="1"/>
    <col min="14779" max="14779" width="13.5703125" style="3" customWidth="1"/>
    <col min="14780" max="14780" width="13.42578125" style="3" customWidth="1"/>
    <col min="14781" max="14782" width="12.5703125" style="3" customWidth="1"/>
    <col min="14783" max="14783" width="14.85546875" style="3" customWidth="1"/>
    <col min="14784" max="14784" width="20.7109375" style="3" customWidth="1"/>
    <col min="14785" max="14785" width="12.5703125" style="3" customWidth="1"/>
    <col min="14786" max="14786" width="13" style="3" customWidth="1"/>
    <col min="14787" max="14787" width="16" style="3" customWidth="1"/>
    <col min="14788" max="14788" width="6.42578125" style="3" customWidth="1"/>
    <col min="14789" max="14789" width="16" style="3" customWidth="1"/>
    <col min="14790" max="14790" width="2.85546875" style="3" customWidth="1"/>
    <col min="14791" max="14791" width="0.85546875" style="3" customWidth="1"/>
    <col min="14792" max="14792" width="11" style="3"/>
    <col min="14793" max="14793" width="15.42578125" style="3" customWidth="1"/>
    <col min="14794" max="14796" width="14.85546875" style="3" customWidth="1"/>
    <col min="14797" max="14797" width="0.7109375" style="3" customWidth="1"/>
    <col min="14798" max="14798" width="11" style="3"/>
    <col min="14799" max="14799" width="15.7109375" style="3" customWidth="1"/>
    <col min="14800" max="14801" width="14.85546875" style="3" customWidth="1"/>
    <col min="14802" max="14802" width="3.28515625" style="3" customWidth="1"/>
    <col min="14803" max="14803" width="20.140625" style="3" customWidth="1"/>
    <col min="14804" max="14804" width="3.28515625" style="3" customWidth="1"/>
    <col min="14805" max="14809" width="11" style="3"/>
    <col min="14810" max="14822" width="4.7109375" style="3" customWidth="1"/>
    <col min="14823" max="15032" width="11" style="3"/>
    <col min="15033" max="15033" width="0.7109375" style="3" customWidth="1"/>
    <col min="15034" max="15034" width="6.5703125" style="3" customWidth="1"/>
    <col min="15035" max="15035" width="13.5703125" style="3" customWidth="1"/>
    <col min="15036" max="15036" width="13.42578125" style="3" customWidth="1"/>
    <col min="15037" max="15038" width="12.5703125" style="3" customWidth="1"/>
    <col min="15039" max="15039" width="14.85546875" style="3" customWidth="1"/>
    <col min="15040" max="15040" width="20.7109375" style="3" customWidth="1"/>
    <col min="15041" max="15041" width="12.5703125" style="3" customWidth="1"/>
    <col min="15042" max="15042" width="13" style="3" customWidth="1"/>
    <col min="15043" max="15043" width="16" style="3" customWidth="1"/>
    <col min="15044" max="15044" width="6.42578125" style="3" customWidth="1"/>
    <col min="15045" max="15045" width="16" style="3" customWidth="1"/>
    <col min="15046" max="15046" width="2.85546875" style="3" customWidth="1"/>
    <col min="15047" max="15047" width="0.85546875" style="3" customWidth="1"/>
    <col min="15048" max="15048" width="11" style="3"/>
    <col min="15049" max="15049" width="15.42578125" style="3" customWidth="1"/>
    <col min="15050" max="15052" width="14.85546875" style="3" customWidth="1"/>
    <col min="15053" max="15053" width="0.7109375" style="3" customWidth="1"/>
    <col min="15054" max="15054" width="11" style="3"/>
    <col min="15055" max="15055" width="15.7109375" style="3" customWidth="1"/>
    <col min="15056" max="15057" width="14.85546875" style="3" customWidth="1"/>
    <col min="15058" max="15058" width="3.28515625" style="3" customWidth="1"/>
    <col min="15059" max="15059" width="20.140625" style="3" customWidth="1"/>
    <col min="15060" max="15060" width="3.28515625" style="3" customWidth="1"/>
    <col min="15061" max="15065" width="11" style="3"/>
    <col min="15066" max="15078" width="4.7109375" style="3" customWidth="1"/>
    <col min="15079" max="15288" width="11" style="3"/>
    <col min="15289" max="15289" width="0.7109375" style="3" customWidth="1"/>
    <col min="15290" max="15290" width="6.5703125" style="3" customWidth="1"/>
    <col min="15291" max="15291" width="13.5703125" style="3" customWidth="1"/>
    <col min="15292" max="15292" width="13.42578125" style="3" customWidth="1"/>
    <col min="15293" max="15294" width="12.5703125" style="3" customWidth="1"/>
    <col min="15295" max="15295" width="14.85546875" style="3" customWidth="1"/>
    <col min="15296" max="15296" width="20.7109375" style="3" customWidth="1"/>
    <col min="15297" max="15297" width="12.5703125" style="3" customWidth="1"/>
    <col min="15298" max="15298" width="13" style="3" customWidth="1"/>
    <col min="15299" max="15299" width="16" style="3" customWidth="1"/>
    <col min="15300" max="15300" width="6.42578125" style="3" customWidth="1"/>
    <col min="15301" max="15301" width="16" style="3" customWidth="1"/>
    <col min="15302" max="15302" width="2.85546875" style="3" customWidth="1"/>
    <col min="15303" max="15303" width="0.85546875" style="3" customWidth="1"/>
    <col min="15304" max="15304" width="11" style="3"/>
    <col min="15305" max="15305" width="15.42578125" style="3" customWidth="1"/>
    <col min="15306" max="15308" width="14.85546875" style="3" customWidth="1"/>
    <col min="15309" max="15309" width="0.7109375" style="3" customWidth="1"/>
    <col min="15310" max="15310" width="11" style="3"/>
    <col min="15311" max="15311" width="15.7109375" style="3" customWidth="1"/>
    <col min="15312" max="15313" width="14.85546875" style="3" customWidth="1"/>
    <col min="15314" max="15314" width="3.28515625" style="3" customWidth="1"/>
    <col min="15315" max="15315" width="20.140625" style="3" customWidth="1"/>
    <col min="15316" max="15316" width="3.28515625" style="3" customWidth="1"/>
    <col min="15317" max="15321" width="11" style="3"/>
    <col min="15322" max="15334" width="4.7109375" style="3" customWidth="1"/>
    <col min="15335" max="15544" width="11" style="3"/>
    <col min="15545" max="15545" width="0.7109375" style="3" customWidth="1"/>
    <col min="15546" max="15546" width="6.5703125" style="3" customWidth="1"/>
    <col min="15547" max="15547" width="13.5703125" style="3" customWidth="1"/>
    <col min="15548" max="15548" width="13.42578125" style="3" customWidth="1"/>
    <col min="15549" max="15550" width="12.5703125" style="3" customWidth="1"/>
    <col min="15551" max="15551" width="14.85546875" style="3" customWidth="1"/>
    <col min="15552" max="15552" width="20.7109375" style="3" customWidth="1"/>
    <col min="15553" max="15553" width="12.5703125" style="3" customWidth="1"/>
    <col min="15554" max="15554" width="13" style="3" customWidth="1"/>
    <col min="15555" max="15555" width="16" style="3" customWidth="1"/>
    <col min="15556" max="15556" width="6.42578125" style="3" customWidth="1"/>
    <col min="15557" max="15557" width="16" style="3" customWidth="1"/>
    <col min="15558" max="15558" width="2.85546875" style="3" customWidth="1"/>
    <col min="15559" max="15559" width="0.85546875" style="3" customWidth="1"/>
    <col min="15560" max="15560" width="11" style="3"/>
    <col min="15561" max="15561" width="15.42578125" style="3" customWidth="1"/>
    <col min="15562" max="15564" width="14.85546875" style="3" customWidth="1"/>
    <col min="15565" max="15565" width="0.7109375" style="3" customWidth="1"/>
    <col min="15566" max="15566" width="11" style="3"/>
    <col min="15567" max="15567" width="15.7109375" style="3" customWidth="1"/>
    <col min="15568" max="15569" width="14.85546875" style="3" customWidth="1"/>
    <col min="15570" max="15570" width="3.28515625" style="3" customWidth="1"/>
    <col min="15571" max="15571" width="20.140625" style="3" customWidth="1"/>
    <col min="15572" max="15572" width="3.28515625" style="3" customWidth="1"/>
    <col min="15573" max="15577" width="11" style="3"/>
    <col min="15578" max="15590" width="4.7109375" style="3" customWidth="1"/>
    <col min="15591" max="15800" width="11" style="3"/>
    <col min="15801" max="15801" width="0.7109375" style="3" customWidth="1"/>
    <col min="15802" max="15802" width="6.5703125" style="3" customWidth="1"/>
    <col min="15803" max="15803" width="13.5703125" style="3" customWidth="1"/>
    <col min="15804" max="15804" width="13.42578125" style="3" customWidth="1"/>
    <col min="15805" max="15806" width="12.5703125" style="3" customWidth="1"/>
    <col min="15807" max="15807" width="14.85546875" style="3" customWidth="1"/>
    <col min="15808" max="15808" width="20.7109375" style="3" customWidth="1"/>
    <col min="15809" max="15809" width="12.5703125" style="3" customWidth="1"/>
    <col min="15810" max="15810" width="13" style="3" customWidth="1"/>
    <col min="15811" max="15811" width="16" style="3" customWidth="1"/>
    <col min="15812" max="15812" width="6.42578125" style="3" customWidth="1"/>
    <col min="15813" max="15813" width="16" style="3" customWidth="1"/>
    <col min="15814" max="15814" width="2.85546875" style="3" customWidth="1"/>
    <col min="15815" max="15815" width="0.85546875" style="3" customWidth="1"/>
    <col min="15816" max="15816" width="11" style="3"/>
    <col min="15817" max="15817" width="15.42578125" style="3" customWidth="1"/>
    <col min="15818" max="15820" width="14.85546875" style="3" customWidth="1"/>
    <col min="15821" max="15821" width="0.7109375" style="3" customWidth="1"/>
    <col min="15822" max="15822" width="11" style="3"/>
    <col min="15823" max="15823" width="15.7109375" style="3" customWidth="1"/>
    <col min="15824" max="15825" width="14.85546875" style="3" customWidth="1"/>
    <col min="15826" max="15826" width="3.28515625" style="3" customWidth="1"/>
    <col min="15827" max="15827" width="20.140625" style="3" customWidth="1"/>
    <col min="15828" max="15828" width="3.28515625" style="3" customWidth="1"/>
    <col min="15829" max="15833" width="11" style="3"/>
    <col min="15834" max="15846" width="4.7109375" style="3" customWidth="1"/>
    <col min="15847" max="16056" width="11" style="3"/>
    <col min="16057" max="16057" width="0.7109375" style="3" customWidth="1"/>
    <col min="16058" max="16058" width="6.5703125" style="3" customWidth="1"/>
    <col min="16059" max="16059" width="13.5703125" style="3" customWidth="1"/>
    <col min="16060" max="16060" width="13.42578125" style="3" customWidth="1"/>
    <col min="16061" max="16062" width="12.5703125" style="3" customWidth="1"/>
    <col min="16063" max="16063" width="14.85546875" style="3" customWidth="1"/>
    <col min="16064" max="16064" width="20.7109375" style="3" customWidth="1"/>
    <col min="16065" max="16065" width="12.5703125" style="3" customWidth="1"/>
    <col min="16066" max="16066" width="13" style="3" customWidth="1"/>
    <col min="16067" max="16067" width="16" style="3" customWidth="1"/>
    <col min="16068" max="16068" width="6.42578125" style="3" customWidth="1"/>
    <col min="16069" max="16069" width="16" style="3" customWidth="1"/>
    <col min="16070" max="16070" width="2.85546875" style="3" customWidth="1"/>
    <col min="16071" max="16071" width="0.85546875" style="3" customWidth="1"/>
    <col min="16072" max="16072" width="11" style="3"/>
    <col min="16073" max="16073" width="15.42578125" style="3" customWidth="1"/>
    <col min="16074" max="16076" width="14.85546875" style="3" customWidth="1"/>
    <col min="16077" max="16077" width="0.7109375" style="3" customWidth="1"/>
    <col min="16078" max="16078" width="11" style="3"/>
    <col min="16079" max="16079" width="15.7109375" style="3" customWidth="1"/>
    <col min="16080" max="16081" width="14.85546875" style="3" customWidth="1"/>
    <col min="16082" max="16082" width="3.28515625" style="3" customWidth="1"/>
    <col min="16083" max="16083" width="20.140625" style="3" customWidth="1"/>
    <col min="16084" max="16084" width="3.28515625" style="3" customWidth="1"/>
    <col min="16085" max="16089" width="11" style="3"/>
    <col min="16090" max="16102" width="4.7109375" style="3" customWidth="1"/>
    <col min="16103" max="16384" width="11" style="3"/>
  </cols>
  <sheetData>
    <row r="1" spans="1:28" s="1" customFormat="1" ht="19.5" customHeight="1">
      <c r="A1" s="236"/>
      <c r="B1" s="237"/>
      <c r="C1" s="179" t="s">
        <v>0</v>
      </c>
      <c r="D1" s="179"/>
      <c r="E1" s="179"/>
      <c r="F1" s="179"/>
      <c r="G1" s="179"/>
      <c r="H1" s="179"/>
      <c r="I1" s="179"/>
      <c r="J1" s="179"/>
      <c r="K1" s="180" t="s">
        <v>1</v>
      </c>
      <c r="L1" s="181"/>
      <c r="O1" s="80"/>
      <c r="P1" s="80"/>
      <c r="Q1" s="80"/>
      <c r="R1" s="80"/>
      <c r="S1" s="80"/>
      <c r="T1" s="80"/>
      <c r="U1" s="80"/>
      <c r="V1" s="80"/>
      <c r="W1" s="80"/>
      <c r="X1" s="80"/>
      <c r="Y1" s="80"/>
      <c r="Z1" s="80"/>
      <c r="AA1" s="80"/>
    </row>
    <row r="2" spans="1:28" s="1" customFormat="1" ht="19.5" customHeight="1">
      <c r="A2" s="238"/>
      <c r="B2" s="186"/>
      <c r="C2" s="241" t="s">
        <v>2</v>
      </c>
      <c r="D2" s="241"/>
      <c r="E2" s="241"/>
      <c r="F2" s="241"/>
      <c r="G2" s="241"/>
      <c r="H2" s="241"/>
      <c r="I2" s="241"/>
      <c r="J2" s="241"/>
      <c r="K2" s="182" t="s">
        <v>89</v>
      </c>
      <c r="L2" s="183"/>
      <c r="O2" s="80"/>
      <c r="P2" s="80"/>
      <c r="Q2" s="80"/>
      <c r="R2" s="80"/>
      <c r="S2" s="80"/>
      <c r="T2" s="80"/>
      <c r="U2" s="80"/>
      <c r="V2" s="80"/>
      <c r="W2" s="80"/>
      <c r="X2" s="80"/>
      <c r="Y2" s="80"/>
      <c r="Z2" s="80"/>
      <c r="AA2" s="80"/>
    </row>
    <row r="3" spans="1:28" s="1" customFormat="1" ht="19.5" customHeight="1">
      <c r="A3" s="238"/>
      <c r="B3" s="186"/>
      <c r="C3" s="241"/>
      <c r="D3" s="241"/>
      <c r="E3" s="241"/>
      <c r="F3" s="241"/>
      <c r="G3" s="241"/>
      <c r="H3" s="241"/>
      <c r="I3" s="241"/>
      <c r="J3" s="241"/>
      <c r="K3" s="182" t="s">
        <v>3</v>
      </c>
      <c r="L3" s="183"/>
      <c r="Q3" s="132"/>
      <c r="R3" s="80"/>
      <c r="T3" s="132" t="s">
        <v>4</v>
      </c>
      <c r="U3" s="132"/>
      <c r="V3" s="80"/>
      <c r="W3" s="80"/>
      <c r="X3" s="80"/>
      <c r="Y3" s="80"/>
      <c r="Z3" s="80"/>
      <c r="AA3" s="80"/>
    </row>
    <row r="4" spans="1:28" s="1" customFormat="1" ht="19.5" customHeight="1" thickBot="1">
      <c r="A4" s="239"/>
      <c r="B4" s="240"/>
      <c r="C4" s="242"/>
      <c r="D4" s="242"/>
      <c r="E4" s="242"/>
      <c r="F4" s="242"/>
      <c r="G4" s="242"/>
      <c r="H4" s="242"/>
      <c r="I4" s="242"/>
      <c r="J4" s="242"/>
      <c r="K4" s="184" t="s">
        <v>88</v>
      </c>
      <c r="L4" s="185"/>
      <c r="Q4" s="132"/>
      <c r="R4" s="80"/>
      <c r="S4" s="132"/>
      <c r="T4" s="132"/>
      <c r="U4" s="132"/>
      <c r="V4" s="80"/>
      <c r="W4" s="80"/>
      <c r="X4" s="80"/>
      <c r="Y4" s="80"/>
      <c r="Z4" s="80"/>
      <c r="AA4" s="80"/>
    </row>
    <row r="5" spans="1:28" s="1" customFormat="1" ht="3.95" customHeight="1" thickBot="1">
      <c r="A5" s="5"/>
      <c r="B5" s="186"/>
      <c r="C5" s="186"/>
      <c r="D5" s="186"/>
      <c r="E5" s="186"/>
      <c r="F5" s="186"/>
      <c r="G5" s="186"/>
      <c r="H5" s="186"/>
      <c r="I5" s="186"/>
      <c r="J5" s="186"/>
      <c r="K5" s="186"/>
      <c r="L5" s="81"/>
      <c r="Q5" s="132"/>
      <c r="R5" s="132"/>
      <c r="T5" s="132"/>
      <c r="U5" s="132"/>
      <c r="V5" s="80"/>
      <c r="W5" s="80"/>
      <c r="X5" s="80"/>
      <c r="Y5" s="80"/>
      <c r="Z5" s="80"/>
      <c r="AA5" s="80"/>
      <c r="AB5" s="80"/>
    </row>
    <row r="6" spans="1:28" s="1" customFormat="1" ht="22.5" customHeight="1">
      <c r="A6" s="6"/>
      <c r="B6" s="7" t="s">
        <v>5</v>
      </c>
      <c r="C6" s="273" t="s">
        <v>91</v>
      </c>
      <c r="D6" s="273"/>
      <c r="E6" s="273"/>
      <c r="F6" s="273"/>
      <c r="G6" s="273"/>
      <c r="H6" s="188" t="s">
        <v>6</v>
      </c>
      <c r="I6" s="188"/>
      <c r="J6" s="189">
        <v>45884</v>
      </c>
      <c r="K6" s="189"/>
      <c r="L6" s="190"/>
      <c r="Q6" s="80"/>
      <c r="R6" s="80"/>
      <c r="T6" s="133" t="s">
        <v>7</v>
      </c>
      <c r="U6" s="80"/>
      <c r="V6" s="80"/>
      <c r="W6" s="80"/>
      <c r="X6" s="80"/>
      <c r="Y6" s="80"/>
      <c r="Z6" s="80"/>
      <c r="AA6" s="80"/>
      <c r="AB6" s="80"/>
    </row>
    <row r="7" spans="1:28" s="1" customFormat="1" ht="24.75" customHeight="1">
      <c r="A7" s="5"/>
      <c r="B7" s="9" t="s">
        <v>8</v>
      </c>
      <c r="C7" s="274" t="s">
        <v>92</v>
      </c>
      <c r="D7" s="274"/>
      <c r="E7" s="274"/>
      <c r="F7" s="274"/>
      <c r="G7" s="274"/>
      <c r="H7" s="192" t="s">
        <v>9</v>
      </c>
      <c r="I7" s="192"/>
      <c r="J7" s="193">
        <v>45923</v>
      </c>
      <c r="K7" s="193"/>
      <c r="L7" s="194"/>
      <c r="Q7" s="80"/>
      <c r="R7" s="80"/>
      <c r="T7" s="133" t="s">
        <v>10</v>
      </c>
      <c r="U7" s="80"/>
      <c r="V7" s="80"/>
      <c r="W7" s="80"/>
      <c r="X7" s="80"/>
      <c r="Y7" s="80"/>
      <c r="Z7" s="80"/>
      <c r="AA7" s="80"/>
      <c r="AB7" s="80"/>
    </row>
    <row r="8" spans="1:28" s="1" customFormat="1" ht="22.5" customHeight="1">
      <c r="A8" s="5"/>
      <c r="B8" s="9" t="s">
        <v>11</v>
      </c>
      <c r="C8" s="271" t="s">
        <v>12</v>
      </c>
      <c r="D8" s="272"/>
      <c r="E8" s="272"/>
      <c r="F8" s="272"/>
      <c r="G8" s="272"/>
      <c r="H8" s="192" t="s">
        <v>13</v>
      </c>
      <c r="I8" s="192"/>
      <c r="J8" s="193">
        <v>45932</v>
      </c>
      <c r="K8" s="193"/>
      <c r="L8" s="194"/>
      <c r="Q8" s="80"/>
      <c r="R8" s="80"/>
      <c r="S8" s="1">
        <f>17-2.57</f>
        <v>14.43</v>
      </c>
      <c r="T8" s="133" t="s">
        <v>14</v>
      </c>
      <c r="U8" s="80"/>
      <c r="V8" s="80"/>
      <c r="W8" s="80"/>
      <c r="X8" s="80"/>
      <c r="Y8" s="80"/>
      <c r="Z8" s="80"/>
      <c r="AA8" s="80"/>
      <c r="AB8" s="80"/>
    </row>
    <row r="9" spans="1:28" s="1" customFormat="1" ht="22.5" customHeight="1">
      <c r="A9" s="5"/>
      <c r="B9" s="9" t="s">
        <v>15</v>
      </c>
      <c r="C9" s="202" t="s">
        <v>93</v>
      </c>
      <c r="D9" s="202"/>
      <c r="E9" s="202"/>
      <c r="F9" s="202"/>
      <c r="G9" s="202"/>
      <c r="H9" s="192" t="s">
        <v>16</v>
      </c>
      <c r="I9" s="192"/>
      <c r="J9" s="82" t="s">
        <v>17</v>
      </c>
      <c r="K9" s="83" t="s">
        <v>90</v>
      </c>
      <c r="L9" s="84" t="s">
        <v>85</v>
      </c>
      <c r="Q9" s="80"/>
      <c r="R9" s="80"/>
      <c r="T9" s="133" t="s">
        <v>18</v>
      </c>
      <c r="U9" s="80"/>
      <c r="V9" s="80"/>
      <c r="W9" s="80"/>
      <c r="X9" s="80"/>
      <c r="Y9" s="80"/>
      <c r="Z9" s="80"/>
      <c r="AA9" s="80"/>
      <c r="AB9" s="80"/>
    </row>
    <row r="10" spans="1:28" s="1" customFormat="1" ht="22.5" customHeight="1">
      <c r="A10" s="5"/>
      <c r="B10" s="10" t="s">
        <v>19</v>
      </c>
      <c r="C10" s="202" t="s">
        <v>20</v>
      </c>
      <c r="D10" s="202"/>
      <c r="E10" s="202"/>
      <c r="F10" s="202"/>
      <c r="G10" s="202"/>
      <c r="H10" s="196" t="s">
        <v>21</v>
      </c>
      <c r="I10" s="196"/>
      <c r="J10" s="197" t="str">
        <f>CONCATENATE(K9,," ",L9,"-",D12,"-",F12)</f>
        <v>056 25-:P-VILLA RICA  AP5-3</v>
      </c>
      <c r="K10" s="197"/>
      <c r="L10" s="198"/>
      <c r="Q10" s="80"/>
      <c r="R10" s="80"/>
      <c r="T10" s="133" t="s">
        <v>22</v>
      </c>
      <c r="U10" s="80"/>
      <c r="V10" s="80"/>
      <c r="W10" s="80"/>
      <c r="X10" s="80"/>
      <c r="Y10" s="80"/>
      <c r="Z10" s="80"/>
      <c r="AA10" s="80"/>
      <c r="AB10" s="80"/>
    </row>
    <row r="11" spans="1:28" s="1" customFormat="1" ht="3.95" customHeight="1" thickBot="1">
      <c r="A11" s="11"/>
      <c r="B11" s="199"/>
      <c r="C11" s="199"/>
      <c r="D11" s="199"/>
      <c r="E11" s="199"/>
      <c r="F11" s="199"/>
      <c r="G11" s="199"/>
      <c r="H11" s="199"/>
      <c r="I11" s="199"/>
      <c r="J11" s="199"/>
      <c r="K11" s="199"/>
      <c r="L11" s="85"/>
      <c r="Q11" s="80"/>
      <c r="R11" s="80"/>
      <c r="T11" s="133"/>
      <c r="U11" s="80"/>
      <c r="V11" s="80"/>
      <c r="W11" s="80"/>
      <c r="X11" s="80"/>
      <c r="Y11" s="80"/>
      <c r="Z11" s="80"/>
      <c r="AA11" s="80"/>
      <c r="AB11" s="80"/>
    </row>
    <row r="12" spans="1:28" s="1" customFormat="1" ht="22.5" customHeight="1">
      <c r="A12" s="6"/>
      <c r="B12" s="7" t="s">
        <v>23</v>
      </c>
      <c r="C12" s="12" t="s">
        <v>10</v>
      </c>
      <c r="D12" s="13" t="s">
        <v>117</v>
      </c>
      <c r="E12" s="14" t="s">
        <v>24</v>
      </c>
      <c r="F12" s="200">
        <v>3</v>
      </c>
      <c r="G12" s="200"/>
      <c r="H12" s="201" t="s">
        <v>25</v>
      </c>
      <c r="I12" s="201"/>
      <c r="J12" s="86">
        <v>1.8</v>
      </c>
      <c r="K12" s="87" t="s">
        <v>26</v>
      </c>
      <c r="L12" s="88">
        <v>2</v>
      </c>
      <c r="Q12" s="80"/>
      <c r="R12" s="80"/>
      <c r="T12" s="133"/>
      <c r="U12" s="80"/>
      <c r="V12" s="80"/>
      <c r="W12" s="80"/>
      <c r="X12" s="80"/>
      <c r="Y12" s="80"/>
      <c r="Z12" s="80"/>
      <c r="AA12" s="80"/>
      <c r="AB12" s="80"/>
    </row>
    <row r="13" spans="1:28" s="1" customFormat="1" ht="22.5" customHeight="1">
      <c r="A13" s="5"/>
      <c r="B13" s="9" t="s">
        <v>27</v>
      </c>
      <c r="C13" s="202" t="s">
        <v>118</v>
      </c>
      <c r="D13" s="202"/>
      <c r="E13" s="202"/>
      <c r="F13" s="202"/>
      <c r="G13" s="202"/>
      <c r="H13" s="202"/>
      <c r="I13" s="202"/>
      <c r="J13" s="202"/>
      <c r="K13" s="202"/>
      <c r="L13" s="203"/>
      <c r="O13" s="1">
        <f>-MOD1</f>
        <v>0</v>
      </c>
      <c r="Q13" s="80"/>
      <c r="R13" s="80"/>
      <c r="T13" s="133"/>
      <c r="U13" s="80"/>
      <c r="V13" s="80"/>
      <c r="W13" s="80"/>
      <c r="X13" s="80"/>
      <c r="Y13" s="80"/>
      <c r="Z13" s="80"/>
      <c r="AA13" s="80"/>
      <c r="AB13" s="80"/>
    </row>
    <row r="14" spans="1:28" s="1" customFormat="1" ht="6.95" customHeight="1" thickBot="1">
      <c r="A14" s="11"/>
      <c r="B14" s="15"/>
      <c r="C14" s="16"/>
      <c r="D14" s="16"/>
      <c r="E14" s="16"/>
      <c r="F14" s="16"/>
      <c r="G14" s="16"/>
      <c r="H14" s="16"/>
      <c r="I14" s="16"/>
      <c r="J14" s="16"/>
      <c r="K14" s="16"/>
      <c r="L14" s="89"/>
      <c r="P14" s="80"/>
      <c r="Q14" s="80"/>
      <c r="R14" s="80"/>
      <c r="S14" s="80"/>
      <c r="T14" s="80"/>
      <c r="U14" s="80"/>
      <c r="V14" s="80"/>
      <c r="W14" s="80"/>
      <c r="X14" s="80"/>
      <c r="Y14" s="80"/>
      <c r="Z14" s="80"/>
      <c r="AA14" s="80"/>
      <c r="AB14" s="80"/>
    </row>
    <row r="15" spans="1:28" ht="14.25" customHeight="1" thickBot="1">
      <c r="A15" s="17"/>
      <c r="B15" s="18"/>
      <c r="C15" s="18"/>
      <c r="D15" s="18"/>
      <c r="E15" s="18"/>
      <c r="F15" s="18"/>
      <c r="G15" s="18"/>
      <c r="H15" s="18"/>
      <c r="I15" s="18"/>
      <c r="J15" s="18"/>
      <c r="K15" s="18"/>
      <c r="L15" s="90"/>
    </row>
    <row r="16" spans="1:28" ht="22.5" customHeight="1" thickBot="1">
      <c r="A16" s="204"/>
      <c r="B16" s="205"/>
      <c r="C16" s="205"/>
      <c r="D16" s="205"/>
      <c r="E16" s="205"/>
      <c r="F16" s="205"/>
      <c r="G16" s="205"/>
      <c r="H16" s="205"/>
      <c r="I16" s="205"/>
      <c r="J16" s="205"/>
      <c r="K16" s="205"/>
      <c r="L16" s="206"/>
    </row>
    <row r="17" spans="1:19" ht="22.5" customHeight="1" thickBot="1">
      <c r="A17" s="17"/>
      <c r="B17" s="18"/>
      <c r="C17" s="18"/>
      <c r="D17" s="18"/>
      <c r="E17" s="18"/>
      <c r="F17" s="18"/>
      <c r="G17" s="19"/>
      <c r="H17" s="19"/>
      <c r="I17" s="19"/>
      <c r="J17" s="19"/>
      <c r="K17" s="19"/>
      <c r="L17" s="91"/>
    </row>
    <row r="18" spans="1:19" s="2" customFormat="1" ht="22.5" customHeight="1" thickBot="1">
      <c r="A18" s="207" t="s">
        <v>28</v>
      </c>
      <c r="B18" s="208"/>
      <c r="C18" s="208"/>
      <c r="D18" s="208"/>
      <c r="E18" s="209"/>
      <c r="F18" s="20"/>
      <c r="G18" s="207" t="s">
        <v>28</v>
      </c>
      <c r="H18" s="208"/>
      <c r="I18" s="208"/>
      <c r="J18" s="208"/>
      <c r="K18" s="208"/>
      <c r="L18" s="209"/>
      <c r="O18" s="92"/>
    </row>
    <row r="19" spans="1:19" s="2" customFormat="1" ht="27.75" customHeight="1" thickBot="1">
      <c r="A19" s="210"/>
      <c r="B19" s="211"/>
      <c r="C19" s="211"/>
      <c r="D19" s="22" t="s">
        <v>29</v>
      </c>
      <c r="E19" s="23" t="s">
        <v>30</v>
      </c>
      <c r="F19" s="24"/>
      <c r="G19" s="243" t="s">
        <v>31</v>
      </c>
      <c r="H19" s="244"/>
      <c r="I19" s="212" t="s">
        <v>32</v>
      </c>
      <c r="J19" s="213"/>
      <c r="K19" s="214" t="s">
        <v>33</v>
      </c>
      <c r="L19" s="215"/>
    </row>
    <row r="20" spans="1:19" s="2" customFormat="1" ht="22.5" customHeight="1">
      <c r="A20" s="216" t="s">
        <v>34</v>
      </c>
      <c r="B20" s="217"/>
      <c r="C20" s="25"/>
      <c r="D20" s="26">
        <v>555</v>
      </c>
      <c r="E20" s="27">
        <v>555</v>
      </c>
      <c r="F20" s="28"/>
      <c r="G20" s="245"/>
      <c r="H20" s="246"/>
      <c r="I20" s="93" t="s">
        <v>35</v>
      </c>
      <c r="J20" s="168" t="s">
        <v>36</v>
      </c>
      <c r="K20" s="95" t="s">
        <v>37</v>
      </c>
      <c r="L20" s="150" t="s">
        <v>36</v>
      </c>
      <c r="N20" s="92"/>
    </row>
    <row r="21" spans="1:19" s="2" customFormat="1" ht="22.5" customHeight="1">
      <c r="A21" s="216" t="s">
        <v>38</v>
      </c>
      <c r="B21" s="217"/>
      <c r="C21" s="25" t="s">
        <v>39</v>
      </c>
      <c r="D21" s="160">
        <v>15.5</v>
      </c>
      <c r="E21" s="161">
        <f>D21</f>
        <v>15.5</v>
      </c>
      <c r="F21" s="31"/>
      <c r="G21" s="96" t="s">
        <v>40</v>
      </c>
      <c r="H21" s="32" t="s">
        <v>41</v>
      </c>
      <c r="I21" s="96" t="s">
        <v>42</v>
      </c>
      <c r="J21" s="151" t="s">
        <v>43</v>
      </c>
      <c r="K21" s="96" t="s">
        <v>42</v>
      </c>
      <c r="L21" s="151" t="s">
        <v>43</v>
      </c>
      <c r="N21" s="97"/>
    </row>
    <row r="22" spans="1:19" s="2" customFormat="1" ht="22.5" customHeight="1">
      <c r="A22" s="216" t="s">
        <v>44</v>
      </c>
      <c r="B22" s="217"/>
      <c r="C22" s="25" t="s">
        <v>39</v>
      </c>
      <c r="D22" s="160">
        <v>15.8</v>
      </c>
      <c r="E22" s="161">
        <f>D22+E39</f>
        <v>15.8</v>
      </c>
      <c r="F22" s="31"/>
      <c r="G22" s="145">
        <v>0</v>
      </c>
      <c r="H22" s="33">
        <v>0</v>
      </c>
      <c r="I22" s="144">
        <v>0</v>
      </c>
      <c r="J22" s="152">
        <v>0</v>
      </c>
      <c r="K22" s="144">
        <v>0</v>
      </c>
      <c r="L22" s="152">
        <v>0</v>
      </c>
      <c r="N22" s="97"/>
      <c r="O22" s="2">
        <v>0.121</v>
      </c>
      <c r="S22" s="2">
        <v>2.1000000000000001E-2</v>
      </c>
    </row>
    <row r="23" spans="1:19" s="2" customFormat="1" ht="22.5" customHeight="1">
      <c r="A23" s="216" t="s">
        <v>45</v>
      </c>
      <c r="B23" s="217"/>
      <c r="C23" s="34" t="s">
        <v>46</v>
      </c>
      <c r="D23" s="35">
        <v>10836</v>
      </c>
      <c r="E23" s="36">
        <v>10944</v>
      </c>
      <c r="F23" s="31"/>
      <c r="G23" s="145">
        <v>5.0000000000000001E-3</v>
      </c>
      <c r="H23" s="33">
        <v>0.127</v>
      </c>
      <c r="I23" s="144">
        <v>0.25</v>
      </c>
      <c r="J23" s="153">
        <f t="shared" ref="J23:J34" si="0">((I23/19.32)*10)</f>
        <v>0.12939958592132506</v>
      </c>
      <c r="K23" s="98">
        <v>0.121</v>
      </c>
      <c r="L23" s="153">
        <f t="shared" ref="L23:L34" si="1">((K23/19.32)*10)</f>
        <v>6.2629399585921328E-2</v>
      </c>
      <c r="N23" s="97"/>
      <c r="O23" s="2">
        <v>0.38</v>
      </c>
      <c r="S23" s="2">
        <v>7.5999999999999998E-2</v>
      </c>
    </row>
    <row r="24" spans="1:19" s="2" customFormat="1" ht="22.5" customHeight="1">
      <c r="A24" s="216" t="s">
        <v>47</v>
      </c>
      <c r="B24" s="217"/>
      <c r="C24" s="34" t="s">
        <v>46</v>
      </c>
      <c r="D24" s="167">
        <v>6128</v>
      </c>
      <c r="E24" s="37">
        <f>D24</f>
        <v>6128</v>
      </c>
      <c r="F24" s="38"/>
      <c r="G24" s="145">
        <v>2.5000000000000001E-2</v>
      </c>
      <c r="H24" s="33">
        <v>0.63500000000000001</v>
      </c>
      <c r="I24" s="144">
        <v>0.53300000000000003</v>
      </c>
      <c r="J24" s="153">
        <f t="shared" si="0"/>
        <v>0.27587991718426502</v>
      </c>
      <c r="K24" s="98">
        <v>0.38</v>
      </c>
      <c r="L24" s="153">
        <f t="shared" si="1"/>
        <v>0.19668737060041408</v>
      </c>
      <c r="N24" s="97"/>
      <c r="O24" s="2">
        <v>0.71399999999999997</v>
      </c>
      <c r="S24" s="2">
        <v>0.16</v>
      </c>
    </row>
    <row r="25" spans="1:19" s="2" customFormat="1" ht="22.5" customHeight="1">
      <c r="A25" s="216" t="s">
        <v>48</v>
      </c>
      <c r="B25" s="217"/>
      <c r="C25" s="34" t="s">
        <v>46</v>
      </c>
      <c r="D25" s="39">
        <f>+D23-D24</f>
        <v>4708</v>
      </c>
      <c r="E25" s="40">
        <f>E23-E24</f>
        <v>4816</v>
      </c>
      <c r="F25" s="41"/>
      <c r="G25" s="145">
        <v>0.05</v>
      </c>
      <c r="H25" s="33">
        <v>1.27</v>
      </c>
      <c r="I25" s="144">
        <v>0.86499999999999999</v>
      </c>
      <c r="J25" s="153">
        <f t="shared" si="0"/>
        <v>0.44772256728778465</v>
      </c>
      <c r="K25" s="98">
        <v>0.71399999999999997</v>
      </c>
      <c r="L25" s="153">
        <f t="shared" si="1"/>
        <v>0.36956521739130432</v>
      </c>
      <c r="N25" s="97"/>
      <c r="O25" s="2">
        <v>0.94</v>
      </c>
      <c r="S25" s="2">
        <v>0.27200000000000002</v>
      </c>
    </row>
    <row r="26" spans="1:19" s="2" customFormat="1" ht="22.5" customHeight="1">
      <c r="A26" s="216" t="s">
        <v>49</v>
      </c>
      <c r="B26" s="217"/>
      <c r="C26" s="34" t="s">
        <v>50</v>
      </c>
      <c r="D26" s="39">
        <f>((PI()*(D21*D21))/4)*D22</f>
        <v>2981.332158348544</v>
      </c>
      <c r="E26" s="174">
        <f>((PI()*(E21*E21))/4)*E22</f>
        <v>2981.332158348544</v>
      </c>
      <c r="F26" s="41"/>
      <c r="G26" s="145">
        <v>7.4999999999999997E-2</v>
      </c>
      <c r="H26" s="33">
        <v>1.905</v>
      </c>
      <c r="I26" s="144">
        <v>1.1020000000000001</v>
      </c>
      <c r="J26" s="153">
        <f t="shared" si="0"/>
        <v>0.57039337474120089</v>
      </c>
      <c r="K26" s="98">
        <v>0.94</v>
      </c>
      <c r="L26" s="153">
        <f t="shared" si="1"/>
        <v>0.48654244306418215</v>
      </c>
      <c r="N26" s="97"/>
      <c r="O26" s="2">
        <v>1.0129999999999999</v>
      </c>
      <c r="S26" s="2">
        <v>0.40500000000000003</v>
      </c>
    </row>
    <row r="27" spans="1:19" s="2" customFormat="1" ht="22.5" customHeight="1">
      <c r="A27" s="216" t="s">
        <v>51</v>
      </c>
      <c r="B27" s="217"/>
      <c r="C27" s="34" t="s">
        <v>52</v>
      </c>
      <c r="D27" s="42">
        <f>D25/D26</f>
        <v>1.579159835248922</v>
      </c>
      <c r="E27" s="175">
        <f>E25/E26</f>
        <v>1.6153852520303331</v>
      </c>
      <c r="F27" s="44"/>
      <c r="G27" s="146">
        <v>0.1</v>
      </c>
      <c r="H27" s="45">
        <v>2.54</v>
      </c>
      <c r="I27" s="154">
        <v>1.2989999999999999</v>
      </c>
      <c r="J27" s="155">
        <f t="shared" si="0"/>
        <v>0.67236024844720488</v>
      </c>
      <c r="K27" s="158">
        <v>1.0129999999999999</v>
      </c>
      <c r="L27" s="155">
        <f t="shared" si="1"/>
        <v>0.52432712215320909</v>
      </c>
      <c r="N27" s="97"/>
      <c r="O27" s="2">
        <v>1.0489999999999999</v>
      </c>
      <c r="S27" s="2">
        <v>0.58099999999999996</v>
      </c>
    </row>
    <row r="28" spans="1:19" s="2" customFormat="1" ht="22.5" customHeight="1" thickBot="1">
      <c r="A28" s="218" t="s">
        <v>53</v>
      </c>
      <c r="B28" s="219"/>
      <c r="C28" s="46" t="s">
        <v>52</v>
      </c>
      <c r="D28" s="47">
        <f>D27/(1+D34/100)</f>
        <v>1.1373143001798904</v>
      </c>
      <c r="E28" s="48">
        <f>E27/(1+E34/100)</f>
        <v>1.1106251181335345</v>
      </c>
      <c r="F28" s="49"/>
      <c r="G28" s="145">
        <v>0.125</v>
      </c>
      <c r="H28" s="33">
        <v>3.1749999999999998</v>
      </c>
      <c r="I28" s="98">
        <v>1.5509999999999999</v>
      </c>
      <c r="J28" s="153">
        <f t="shared" si="0"/>
        <v>0.80279503105590055</v>
      </c>
      <c r="K28" s="98">
        <v>1.0489999999999999</v>
      </c>
      <c r="L28" s="153">
        <f t="shared" si="1"/>
        <v>0.54296066252587993</v>
      </c>
      <c r="N28" s="97"/>
      <c r="O28" s="2">
        <v>1.0860000000000001</v>
      </c>
      <c r="S28" s="2">
        <v>0.78</v>
      </c>
    </row>
    <row r="29" spans="1:19" s="2" customFormat="1" ht="22.5" customHeight="1" thickBot="1">
      <c r="A29" s="207" t="s">
        <v>54</v>
      </c>
      <c r="B29" s="208" t="s">
        <v>54</v>
      </c>
      <c r="C29" s="208"/>
      <c r="D29" s="208"/>
      <c r="E29" s="209"/>
      <c r="F29" s="49"/>
      <c r="G29" s="147">
        <v>0.15</v>
      </c>
      <c r="H29" s="33">
        <v>3.81</v>
      </c>
      <c r="I29" s="98">
        <v>1.788</v>
      </c>
      <c r="J29" s="153">
        <f t="shared" si="0"/>
        <v>0.92546583850931674</v>
      </c>
      <c r="K29" s="98">
        <v>1.0860000000000001</v>
      </c>
      <c r="L29" s="153">
        <f>((K29/19.32)*10)</f>
        <v>0.56211180124223603</v>
      </c>
      <c r="N29" s="97"/>
      <c r="O29" s="2">
        <v>1.1160000000000001</v>
      </c>
      <c r="S29" s="2">
        <v>0.98499999999999999</v>
      </c>
    </row>
    <row r="30" spans="1:19" s="2" customFormat="1" ht="22.5" customHeight="1">
      <c r="A30" s="258" t="s">
        <v>55</v>
      </c>
      <c r="B30" s="259"/>
      <c r="C30" s="50"/>
      <c r="D30" s="51">
        <v>645</v>
      </c>
      <c r="E30" s="52">
        <v>202</v>
      </c>
      <c r="F30" s="44"/>
      <c r="G30" s="145">
        <v>0.17499999999999999</v>
      </c>
      <c r="H30" s="33">
        <v>4.4450000000000003</v>
      </c>
      <c r="I30" s="144">
        <v>2.0249999999999999</v>
      </c>
      <c r="J30" s="153">
        <f t="shared" si="0"/>
        <v>1.0481366459627328</v>
      </c>
      <c r="K30" s="98">
        <v>1.1160000000000001</v>
      </c>
      <c r="L30" s="153">
        <f t="shared" si="1"/>
        <v>0.57763975155279512</v>
      </c>
      <c r="N30" s="97"/>
      <c r="O30" s="2">
        <v>1.135</v>
      </c>
      <c r="S30" s="2">
        <v>1.1599999999999999</v>
      </c>
    </row>
    <row r="31" spans="1:19" s="2" customFormat="1" ht="22.5" customHeight="1">
      <c r="A31" s="216" t="s">
        <v>56</v>
      </c>
      <c r="B31" s="217"/>
      <c r="C31" s="25" t="s">
        <v>46</v>
      </c>
      <c r="D31" s="53">
        <v>198.97</v>
      </c>
      <c r="E31" s="54">
        <v>465.24</v>
      </c>
      <c r="F31" s="41"/>
      <c r="G31" s="146">
        <v>0.2</v>
      </c>
      <c r="H31" s="45">
        <v>5.08</v>
      </c>
      <c r="I31" s="154">
        <v>2.2879999999999998</v>
      </c>
      <c r="J31" s="155">
        <f t="shared" si="0"/>
        <v>1.1842650103519667</v>
      </c>
      <c r="K31" s="158">
        <v>1.135</v>
      </c>
      <c r="L31" s="155">
        <f t="shared" si="1"/>
        <v>0.58747412008281574</v>
      </c>
      <c r="N31" s="97"/>
      <c r="O31" s="2">
        <v>1.2509999999999999</v>
      </c>
      <c r="S31" s="2">
        <v>1.2969999999999999</v>
      </c>
    </row>
    <row r="32" spans="1:19" s="2" customFormat="1" ht="22.5" customHeight="1">
      <c r="A32" s="216" t="s">
        <v>57</v>
      </c>
      <c r="B32" s="217"/>
      <c r="C32" s="25" t="s">
        <v>46</v>
      </c>
      <c r="D32" s="53">
        <v>153.57</v>
      </c>
      <c r="E32" s="54">
        <v>339.73</v>
      </c>
      <c r="F32" s="49"/>
      <c r="G32" s="145">
        <v>0.3</v>
      </c>
      <c r="H32" s="33">
        <v>7.62</v>
      </c>
      <c r="I32" s="144">
        <v>2.9049999999999998</v>
      </c>
      <c r="J32" s="153">
        <f t="shared" si="0"/>
        <v>1.5036231884057969</v>
      </c>
      <c r="K32" s="98">
        <v>1.2509999999999999</v>
      </c>
      <c r="L32" s="153">
        <f t="shared" si="1"/>
        <v>0.64751552795031042</v>
      </c>
      <c r="N32" s="97"/>
      <c r="O32" s="2">
        <v>1.345</v>
      </c>
      <c r="S32" s="2">
        <v>1.2529999999999999</v>
      </c>
    </row>
    <row r="33" spans="1:19" s="2" customFormat="1" ht="22.5" customHeight="1">
      <c r="A33" s="216" t="s">
        <v>58</v>
      </c>
      <c r="B33" s="217"/>
      <c r="C33" s="25" t="s">
        <v>46</v>
      </c>
      <c r="D33" s="53">
        <v>36.71</v>
      </c>
      <c r="E33" s="54">
        <v>63.57</v>
      </c>
      <c r="F33" s="49"/>
      <c r="G33" s="145">
        <v>0.4</v>
      </c>
      <c r="H33" s="33">
        <v>10.16</v>
      </c>
      <c r="I33" s="144">
        <v>3.3530000000000002</v>
      </c>
      <c r="J33" s="153">
        <f t="shared" si="0"/>
        <v>1.7355072463768118</v>
      </c>
      <c r="K33" s="98">
        <v>1.345</v>
      </c>
      <c r="L33" s="153">
        <f t="shared" si="1"/>
        <v>0.69616977225672882</v>
      </c>
      <c r="N33" s="97"/>
      <c r="O33" s="2">
        <v>1.4379999999999999</v>
      </c>
      <c r="S33" s="2">
        <v>1.2529999999999999</v>
      </c>
    </row>
    <row r="34" spans="1:19" s="2" customFormat="1" ht="22.5" customHeight="1" thickBot="1">
      <c r="A34" s="218" t="s">
        <v>59</v>
      </c>
      <c r="B34" s="219"/>
      <c r="C34" s="46" t="s">
        <v>60</v>
      </c>
      <c r="D34" s="47">
        <f>((D31-D32)/(D32-D33))*100</f>
        <v>38.849905870272124</v>
      </c>
      <c r="E34" s="48">
        <f>((E31-E32)/(E32-E33))*100</f>
        <v>45.448290845886433</v>
      </c>
      <c r="F34" s="49"/>
      <c r="G34" s="148">
        <v>0.5</v>
      </c>
      <c r="H34" s="149">
        <v>12.7</v>
      </c>
      <c r="I34" s="156">
        <v>3.7250000000000001</v>
      </c>
      <c r="J34" s="157">
        <f t="shared" si="0"/>
        <v>1.9280538302277432</v>
      </c>
      <c r="K34" s="159">
        <v>1.4379999999999999</v>
      </c>
      <c r="L34" s="157">
        <f t="shared" si="1"/>
        <v>0.74430641821946164</v>
      </c>
      <c r="N34" s="97"/>
    </row>
    <row r="35" spans="1:19" s="2" customFormat="1" ht="11.25" customHeight="1" thickBot="1">
      <c r="A35" s="55"/>
      <c r="B35" s="56"/>
      <c r="C35" s="57"/>
      <c r="D35" s="58"/>
      <c r="E35" s="58"/>
      <c r="F35" s="59"/>
      <c r="G35" s="58"/>
      <c r="H35" s="58"/>
      <c r="I35" s="58"/>
      <c r="J35" s="58"/>
      <c r="K35" s="58"/>
      <c r="L35" s="99"/>
      <c r="N35" s="97"/>
    </row>
    <row r="36" spans="1:19" s="2" customFormat="1" ht="22.5" customHeight="1" thickBot="1">
      <c r="A36" s="247" t="s">
        <v>61</v>
      </c>
      <c r="B36" s="248"/>
      <c r="C36" s="248"/>
      <c r="D36" s="248"/>
      <c r="E36" s="249"/>
      <c r="F36" s="60"/>
      <c r="G36" s="60"/>
      <c r="H36" s="207" t="s">
        <v>62</v>
      </c>
      <c r="I36" s="208"/>
      <c r="J36" s="208"/>
      <c r="K36" s="209"/>
      <c r="L36" s="100"/>
    </row>
    <row r="37" spans="1:19" s="2" customFormat="1" ht="22.5" customHeight="1" thickBot="1">
      <c r="A37" s="250" t="s">
        <v>63</v>
      </c>
      <c r="B37" s="251"/>
      <c r="C37" s="61" t="s">
        <v>64</v>
      </c>
      <c r="D37" s="277">
        <v>0.95850000000000002</v>
      </c>
      <c r="E37" s="278"/>
      <c r="F37" s="62"/>
      <c r="G37" s="62"/>
      <c r="H37" s="63" t="s">
        <v>65</v>
      </c>
      <c r="I37" s="101" t="s">
        <v>86</v>
      </c>
      <c r="J37" s="63" t="s">
        <v>66</v>
      </c>
      <c r="K37" s="102" t="s">
        <v>67</v>
      </c>
      <c r="L37" s="99"/>
    </row>
    <row r="38" spans="1:19" s="2" customFormat="1" ht="22.5" customHeight="1" thickBot="1">
      <c r="A38" s="224" t="s">
        <v>68</v>
      </c>
      <c r="B38" s="225"/>
      <c r="C38" s="64" t="s">
        <v>64</v>
      </c>
      <c r="D38" s="279">
        <v>0.98950000000000005</v>
      </c>
      <c r="E38" s="280"/>
      <c r="F38" s="62"/>
      <c r="G38" s="62"/>
      <c r="H38" s="256" t="s">
        <v>69</v>
      </c>
      <c r="I38" s="257"/>
      <c r="J38" s="256" t="s">
        <v>70</v>
      </c>
      <c r="K38" s="257"/>
      <c r="L38" s="99"/>
    </row>
    <row r="39" spans="1:19" s="2" customFormat="1" ht="22.5" customHeight="1" thickBot="1">
      <c r="A39" s="224" t="s">
        <v>71</v>
      </c>
      <c r="B39" s="225"/>
      <c r="C39" s="65" t="s">
        <v>39</v>
      </c>
      <c r="D39" s="226">
        <f>(D38-D37)*2.54</f>
        <v>7.8740000000000074E-2</v>
      </c>
      <c r="E39" s="227"/>
      <c r="F39" s="31"/>
      <c r="G39" s="31"/>
      <c r="H39" s="163" t="s">
        <v>72</v>
      </c>
      <c r="I39" s="164">
        <v>4554</v>
      </c>
      <c r="J39" s="275">
        <v>4</v>
      </c>
      <c r="K39" s="229"/>
      <c r="L39" s="99"/>
    </row>
    <row r="40" spans="1:19" s="2" customFormat="1" ht="22.5" customHeight="1" thickBot="1">
      <c r="A40" s="230" t="s">
        <v>73</v>
      </c>
      <c r="B40" s="231"/>
      <c r="C40" s="67" t="s">
        <v>60</v>
      </c>
      <c r="D40" s="232">
        <f>IF(D39&lt;&gt;"",IF(D22&lt;&gt;"",D39/D22*100,""),"")</f>
        <v>0.49835443037974725</v>
      </c>
      <c r="E40" s="233"/>
      <c r="F40" s="68"/>
      <c r="G40" s="68"/>
      <c r="H40" s="165" t="s">
        <v>33</v>
      </c>
      <c r="I40" s="166">
        <v>4554</v>
      </c>
      <c r="J40" s="276">
        <v>4</v>
      </c>
      <c r="K40" s="235"/>
      <c r="L40" s="99"/>
      <c r="P40" s="105"/>
      <c r="Q40" s="105"/>
      <c r="R40" s="134"/>
    </row>
    <row r="41" spans="1:19" s="2" customFormat="1" ht="33" customHeight="1" thickBot="1">
      <c r="A41" s="70"/>
      <c r="B41" s="58"/>
      <c r="C41" s="58"/>
      <c r="D41" s="58"/>
      <c r="E41" s="58"/>
      <c r="F41" s="71"/>
      <c r="G41" s="58"/>
      <c r="H41" s="70"/>
      <c r="I41" s="58"/>
      <c r="J41" s="107" t="str">
        <f>I19</f>
        <v>ANTES DE INMERSIÓN</v>
      </c>
      <c r="K41" s="107" t="str">
        <f>K19</f>
        <v xml:space="preserve">DESPUÉS DE INMERSIÓN </v>
      </c>
      <c r="L41" s="108"/>
      <c r="M41" s="20"/>
      <c r="P41" s="109"/>
      <c r="Q41" s="135"/>
      <c r="R41" s="136"/>
    </row>
    <row r="42" spans="1:19" s="2" customFormat="1" ht="22.5" customHeight="1">
      <c r="A42" s="70"/>
      <c r="B42" s="58"/>
      <c r="C42" s="58"/>
      <c r="D42" s="58"/>
      <c r="E42" s="58"/>
      <c r="F42" s="58"/>
      <c r="G42" s="58"/>
      <c r="H42" s="21" t="s">
        <v>74</v>
      </c>
      <c r="I42" s="110" t="s">
        <v>60</v>
      </c>
      <c r="J42" s="111">
        <f>(J27/6.9)*100</f>
        <v>9.7443514267710842</v>
      </c>
      <c r="K42" s="112">
        <f>(L27/6.9)*100</f>
        <v>7.5989437993218711</v>
      </c>
      <c r="L42" s="99"/>
      <c r="P42" s="113"/>
      <c r="Q42" s="137"/>
      <c r="R42" s="136"/>
    </row>
    <row r="43" spans="1:19" s="2" customFormat="1" ht="22.5" customHeight="1" thickBot="1">
      <c r="A43" s="70"/>
      <c r="B43" s="73"/>
      <c r="C43" s="58"/>
      <c r="D43" s="58"/>
      <c r="E43" s="58"/>
      <c r="F43" s="58"/>
      <c r="G43" s="58"/>
      <c r="H43" s="74" t="s">
        <v>75</v>
      </c>
      <c r="I43" s="114" t="s">
        <v>60</v>
      </c>
      <c r="J43" s="115">
        <f>(J31/10.3)*100</f>
        <v>11.497718547106473</v>
      </c>
      <c r="K43" s="116">
        <f>(L31/10.3)*100</f>
        <v>5.7036322338137451</v>
      </c>
      <c r="L43" s="99"/>
      <c r="P43" s="117"/>
      <c r="Q43" s="138"/>
      <c r="R43" s="139"/>
    </row>
    <row r="44" spans="1:19" s="2" customFormat="1" ht="22.5" customHeight="1" thickBot="1">
      <c r="A44" s="70"/>
      <c r="B44" s="73"/>
      <c r="C44" s="73"/>
      <c r="D44" s="73"/>
      <c r="E44" s="58"/>
      <c r="F44" s="58"/>
      <c r="G44" s="58"/>
      <c r="H44" s="74" t="s">
        <v>76</v>
      </c>
      <c r="I44" s="114"/>
      <c r="J44" s="118">
        <f>IF(J42&lt;J43,J42,J43)</f>
        <v>9.7443514267710842</v>
      </c>
      <c r="K44" s="119">
        <f>IF(K42&lt;K43,K42,K43)</f>
        <v>5.7036322338137451</v>
      </c>
      <c r="L44" s="120"/>
      <c r="M44" s="121"/>
    </row>
    <row r="45" spans="1:19" s="2" customFormat="1" ht="22.5" customHeight="1">
      <c r="A45" s="70"/>
      <c r="B45" s="58"/>
      <c r="C45" s="58"/>
      <c r="D45" s="59"/>
      <c r="E45" s="59"/>
      <c r="F45" s="59"/>
      <c r="G45" s="58"/>
      <c r="H45" s="4"/>
      <c r="I45" s="122"/>
      <c r="J45" s="122"/>
      <c r="K45" s="122"/>
      <c r="L45" s="99"/>
    </row>
    <row r="46" spans="1:19" s="2" customFormat="1" ht="22.5" customHeight="1">
      <c r="A46" s="70"/>
      <c r="B46" s="58"/>
      <c r="C46" s="58"/>
      <c r="D46" s="59"/>
      <c r="E46" s="59"/>
      <c r="F46" s="59"/>
      <c r="G46" s="58"/>
      <c r="H46" s="222" t="s">
        <v>77</v>
      </c>
      <c r="I46" s="222"/>
      <c r="J46" s="222" t="s">
        <v>78</v>
      </c>
      <c r="K46" s="222"/>
      <c r="L46" s="223"/>
    </row>
    <row r="47" spans="1:19" s="2" customFormat="1" ht="22.5" customHeight="1">
      <c r="A47" s="70"/>
      <c r="B47" s="56"/>
      <c r="C47" s="75"/>
      <c r="D47" s="76"/>
      <c r="E47" s="59"/>
      <c r="F47" s="59"/>
      <c r="G47" s="59"/>
      <c r="H47" s="77"/>
      <c r="I47" s="123"/>
      <c r="J47" s="77"/>
      <c r="K47" s="123"/>
      <c r="L47" s="124"/>
    </row>
    <row r="48" spans="1:19" s="2" customFormat="1" ht="22.5" customHeight="1">
      <c r="A48" s="70"/>
      <c r="B48" s="56"/>
      <c r="C48" s="75"/>
      <c r="D48" s="76"/>
      <c r="E48" s="59"/>
      <c r="F48" s="59"/>
      <c r="G48" s="59"/>
      <c r="H48" s="77"/>
      <c r="I48" s="123"/>
      <c r="J48" s="77"/>
      <c r="K48" s="123"/>
      <c r="L48" s="124"/>
    </row>
    <row r="49" spans="1:15" s="2" customFormat="1" ht="22.5" customHeight="1">
      <c r="A49" s="70"/>
      <c r="B49" s="56"/>
      <c r="C49" s="75"/>
      <c r="D49" s="76"/>
      <c r="E49" s="59"/>
      <c r="F49" s="59"/>
      <c r="G49" s="59"/>
      <c r="H49" s="77"/>
      <c r="I49" s="123"/>
      <c r="J49" s="77"/>
      <c r="K49"/>
      <c r="L49" s="124"/>
    </row>
    <row r="50" spans="1:15" s="2" customFormat="1" ht="22.5" customHeight="1">
      <c r="A50" s="70"/>
      <c r="B50" s="56"/>
      <c r="C50" s="75"/>
      <c r="D50" s="76"/>
      <c r="E50" s="59"/>
      <c r="F50" s="59"/>
      <c r="G50" s="59"/>
      <c r="H50" s="78"/>
      <c r="I50" s="78"/>
      <c r="J50" s="77"/>
      <c r="K50" s="123"/>
      <c r="L50" s="124"/>
    </row>
    <row r="51" spans="1:15" s="2" customFormat="1" ht="22.5" customHeight="1">
      <c r="A51" s="70"/>
      <c r="B51" s="56"/>
      <c r="C51" s="75"/>
      <c r="D51" s="76"/>
      <c r="E51" s="59"/>
      <c r="F51" s="59"/>
      <c r="G51" s="59"/>
      <c r="H51" s="220" t="s">
        <v>79</v>
      </c>
      <c r="I51" s="220"/>
      <c r="J51" s="220" t="s">
        <v>87</v>
      </c>
      <c r="K51" s="220"/>
      <c r="L51" s="221"/>
    </row>
    <row r="52" spans="1:15" s="2" customFormat="1" ht="22.5" customHeight="1">
      <c r="A52" s="70"/>
      <c r="B52" s="56"/>
      <c r="C52" s="75"/>
      <c r="D52" s="76"/>
      <c r="E52" s="59"/>
      <c r="F52" s="59"/>
      <c r="G52" s="59"/>
      <c r="H52" s="222" t="s">
        <v>80</v>
      </c>
      <c r="I52" s="222"/>
      <c r="J52" s="222" t="s">
        <v>81</v>
      </c>
      <c r="K52" s="222"/>
      <c r="L52" s="223"/>
    </row>
    <row r="53" spans="1:15" s="2" customFormat="1" ht="22.5" customHeight="1">
      <c r="A53" s="70"/>
      <c r="B53" s="56"/>
      <c r="C53" s="75"/>
      <c r="D53" s="76"/>
      <c r="E53" s="59"/>
      <c r="F53" s="59"/>
      <c r="G53" s="59"/>
      <c r="H53" s="186"/>
      <c r="I53" s="186"/>
      <c r="J53" s="186"/>
      <c r="K53" s="186"/>
      <c r="L53" s="99"/>
    </row>
    <row r="54" spans="1:15" s="2" customFormat="1" ht="22.5" customHeight="1">
      <c r="A54" s="70"/>
      <c r="B54" s="56"/>
      <c r="C54" s="75"/>
      <c r="D54" s="76"/>
      <c r="E54" s="59"/>
      <c r="F54" s="59"/>
      <c r="G54" s="59"/>
      <c r="H54" s="58"/>
      <c r="I54" s="58"/>
      <c r="J54" s="125"/>
      <c r="K54" s="58"/>
      <c r="L54" s="99"/>
      <c r="M54" s="126"/>
      <c r="N54" s="3"/>
    </row>
    <row r="55" spans="1:15" s="2" customFormat="1" ht="22.5" customHeight="1">
      <c r="A55" s="70"/>
      <c r="B55" s="56"/>
      <c r="C55" s="75"/>
      <c r="D55" s="76"/>
      <c r="E55" s="59"/>
      <c r="F55" s="59"/>
      <c r="G55" s="59"/>
      <c r="H55" s="58"/>
      <c r="I55" s="58"/>
      <c r="J55" s="127"/>
      <c r="K55" s="125"/>
      <c r="L55" s="128"/>
      <c r="M55" s="129"/>
      <c r="N55" s="3"/>
    </row>
    <row r="56" spans="1:15" s="2" customFormat="1" ht="22.5" customHeight="1">
      <c r="A56" s="264" t="s">
        <v>82</v>
      </c>
      <c r="B56" s="265"/>
      <c r="C56" s="265"/>
      <c r="D56" s="265"/>
      <c r="E56" s="265"/>
      <c r="F56" s="265"/>
      <c r="G56" s="265"/>
      <c r="H56" s="265"/>
      <c r="I56" s="265"/>
      <c r="J56" s="265"/>
      <c r="K56" s="265"/>
      <c r="L56" s="266"/>
      <c r="M56" s="130"/>
      <c r="N56" s="3"/>
      <c r="O56" s="3"/>
    </row>
    <row r="57" spans="1:15" s="2" customFormat="1" ht="22.5" customHeight="1">
      <c r="A57" s="261" t="s">
        <v>83</v>
      </c>
      <c r="B57" s="262"/>
      <c r="C57" s="262"/>
      <c r="D57" s="262"/>
      <c r="E57" s="262"/>
      <c r="F57" s="262"/>
      <c r="G57" s="262"/>
      <c r="H57" s="262"/>
      <c r="I57" s="262"/>
      <c r="J57" s="262"/>
      <c r="K57" s="262"/>
      <c r="L57" s="263"/>
      <c r="M57" s="3"/>
      <c r="N57" s="3"/>
      <c r="O57" s="3"/>
    </row>
    <row r="58" spans="1:15" s="2" customFormat="1" ht="22.5" customHeight="1">
      <c r="A58" s="261"/>
      <c r="B58" s="262"/>
      <c r="C58" s="262"/>
      <c r="D58" s="262"/>
      <c r="E58" s="262"/>
      <c r="F58" s="262"/>
      <c r="G58" s="262"/>
      <c r="H58" s="262"/>
      <c r="I58" s="262"/>
      <c r="J58" s="262"/>
      <c r="K58" s="262"/>
      <c r="L58" s="263"/>
      <c r="M58" s="3"/>
      <c r="N58" s="3"/>
      <c r="O58" s="3"/>
    </row>
    <row r="59" spans="1:15" ht="15" thickBot="1">
      <c r="A59" s="267" t="s">
        <v>84</v>
      </c>
      <c r="B59" s="268"/>
      <c r="C59" s="268"/>
      <c r="D59" s="268"/>
      <c r="E59" s="268"/>
      <c r="F59" s="268"/>
      <c r="G59" s="268"/>
      <c r="H59" s="268"/>
      <c r="I59" s="268"/>
      <c r="J59" s="268"/>
      <c r="K59" s="268"/>
      <c r="L59" s="269"/>
    </row>
    <row r="63" spans="1:15">
      <c r="I63" s="79"/>
      <c r="J63" s="79"/>
      <c r="K63" s="79"/>
      <c r="L63" s="79"/>
      <c r="M63" s="79"/>
      <c r="N63" s="79"/>
    </row>
    <row r="64" spans="1:15" ht="15" customHeight="1">
      <c r="E64" s="79"/>
      <c r="F64" s="79"/>
      <c r="G64" s="79"/>
      <c r="H64" s="79"/>
      <c r="I64" s="131"/>
      <c r="J64" s="131"/>
      <c r="K64" s="131"/>
      <c r="L64" s="131"/>
      <c r="M64" s="131"/>
      <c r="N64" s="131"/>
    </row>
    <row r="65" spans="2:18" ht="15" customHeight="1">
      <c r="E65" s="131"/>
      <c r="F65" s="131"/>
      <c r="G65" s="131"/>
      <c r="H65" s="131"/>
      <c r="I65" s="131"/>
      <c r="J65" s="131"/>
      <c r="K65" s="131"/>
      <c r="L65" s="131"/>
      <c r="M65" s="131"/>
      <c r="N65" s="131"/>
    </row>
    <row r="66" spans="2:18" ht="15" customHeight="1">
      <c r="E66" s="131"/>
      <c r="F66" s="131"/>
      <c r="G66" s="131"/>
      <c r="H66" s="131"/>
      <c r="I66" s="131"/>
      <c r="J66" s="131"/>
      <c r="K66" s="131"/>
      <c r="L66" s="131"/>
      <c r="M66" s="131"/>
      <c r="N66" s="131"/>
    </row>
    <row r="67" spans="2:18" ht="30.75" customHeight="1">
      <c r="E67" s="131"/>
      <c r="F67" s="131"/>
      <c r="G67" s="131"/>
      <c r="H67" s="131"/>
      <c r="I67" s="140"/>
      <c r="J67" s="140"/>
      <c r="K67" s="140"/>
      <c r="L67" s="140"/>
      <c r="M67" s="140"/>
      <c r="N67" s="140"/>
    </row>
    <row r="68" spans="2:18" ht="15" customHeight="1">
      <c r="E68" s="140"/>
      <c r="F68" s="140"/>
      <c r="G68" s="140"/>
      <c r="H68" s="140"/>
      <c r="I68" s="140"/>
      <c r="J68" s="140"/>
      <c r="K68" s="140"/>
      <c r="L68" s="140"/>
      <c r="M68" s="140"/>
      <c r="N68" s="140"/>
    </row>
    <row r="69" spans="2:18" ht="15" customHeight="1">
      <c r="E69" s="140"/>
      <c r="F69" s="140"/>
      <c r="G69" s="140"/>
      <c r="H69" s="140"/>
    </row>
    <row r="70" spans="2:18" ht="31.5" customHeight="1">
      <c r="E70" s="270"/>
      <c r="F70" s="270"/>
      <c r="G70" s="270"/>
      <c r="H70" s="270"/>
      <c r="I70" s="270"/>
      <c r="J70" s="270"/>
      <c r="K70" s="270"/>
      <c r="L70" s="270"/>
      <c r="M70" s="270"/>
      <c r="N70" s="270"/>
      <c r="O70" s="270"/>
      <c r="P70" s="270"/>
    </row>
    <row r="71" spans="2:18" ht="24" customHeight="1">
      <c r="B71" s="141"/>
      <c r="C71" s="142"/>
      <c r="D71" s="142"/>
      <c r="E71" s="142"/>
      <c r="F71" s="142"/>
      <c r="G71" s="142"/>
      <c r="H71" s="142"/>
      <c r="I71" s="142"/>
      <c r="J71" s="142"/>
      <c r="K71" s="142"/>
      <c r="L71" s="142"/>
      <c r="M71" s="142"/>
      <c r="N71" s="142"/>
      <c r="O71" s="142"/>
      <c r="P71" s="142"/>
      <c r="Q71" s="142"/>
      <c r="R71" s="142"/>
    </row>
    <row r="72" spans="2:18" ht="15" customHeight="1">
      <c r="B72" s="142"/>
      <c r="C72" s="142"/>
      <c r="D72" s="260"/>
      <c r="E72" s="260"/>
      <c r="F72" s="260"/>
      <c r="G72" s="260"/>
      <c r="H72" s="260"/>
      <c r="I72" s="260"/>
      <c r="J72" s="260"/>
      <c r="K72" s="260"/>
      <c r="L72" s="260"/>
      <c r="M72" s="260"/>
      <c r="N72" s="260"/>
      <c r="O72" s="260"/>
      <c r="P72" s="142"/>
      <c r="Q72" s="142"/>
      <c r="R72" s="142"/>
    </row>
    <row r="73" spans="2:18">
      <c r="D73" s="260"/>
      <c r="E73" s="260"/>
      <c r="F73" s="260"/>
      <c r="G73" s="260"/>
      <c r="H73" s="260"/>
      <c r="I73" s="260"/>
      <c r="J73" s="260"/>
      <c r="K73" s="260"/>
      <c r="L73" s="260"/>
      <c r="M73" s="260"/>
      <c r="N73" s="260"/>
      <c r="O73" s="260"/>
    </row>
  </sheetData>
  <sheetProtection formatCells="0" formatColumns="0" insertColumns="0" insertRows="0" deleteColumns="0" deleteRows="0"/>
  <mergeCells count="74">
    <mergeCell ref="A1:B4"/>
    <mergeCell ref="C1:J1"/>
    <mergeCell ref="K1:L1"/>
    <mergeCell ref="C2:J4"/>
    <mergeCell ref="K2:L2"/>
    <mergeCell ref="K3:L3"/>
    <mergeCell ref="K4:L4"/>
    <mergeCell ref="B5:K5"/>
    <mergeCell ref="C6:G6"/>
    <mergeCell ref="H6:I6"/>
    <mergeCell ref="J6:L6"/>
    <mergeCell ref="C7:G7"/>
    <mergeCell ref="H7:I7"/>
    <mergeCell ref="J7:L7"/>
    <mergeCell ref="A18:E18"/>
    <mergeCell ref="G18:L18"/>
    <mergeCell ref="C8:G8"/>
    <mergeCell ref="H8:I8"/>
    <mergeCell ref="J8:L8"/>
    <mergeCell ref="C9:G9"/>
    <mergeCell ref="H9:I9"/>
    <mergeCell ref="C10:G10"/>
    <mergeCell ref="H10:I10"/>
    <mergeCell ref="J10:L10"/>
    <mergeCell ref="B11:K11"/>
    <mergeCell ref="F12:G12"/>
    <mergeCell ref="H12:I12"/>
    <mergeCell ref="C13:L13"/>
    <mergeCell ref="A16:L16"/>
    <mergeCell ref="A27:B27"/>
    <mergeCell ref="A19:C19"/>
    <mergeCell ref="G19:H20"/>
    <mergeCell ref="I19:J19"/>
    <mergeCell ref="K19:L19"/>
    <mergeCell ref="A20:B20"/>
    <mergeCell ref="A21:B21"/>
    <mergeCell ref="A22:B22"/>
    <mergeCell ref="A23:B23"/>
    <mergeCell ref="A24:B24"/>
    <mergeCell ref="A25:B25"/>
    <mergeCell ref="A26:B26"/>
    <mergeCell ref="A38:B38"/>
    <mergeCell ref="D38:E38"/>
    <mergeCell ref="H38:I38"/>
    <mergeCell ref="J38:K38"/>
    <mergeCell ref="A28:B28"/>
    <mergeCell ref="A29:E29"/>
    <mergeCell ref="A30:B30"/>
    <mergeCell ref="A31:B31"/>
    <mergeCell ref="A32:B32"/>
    <mergeCell ref="A33:B33"/>
    <mergeCell ref="A34:B34"/>
    <mergeCell ref="A36:E36"/>
    <mergeCell ref="H36:K36"/>
    <mergeCell ref="A37:B37"/>
    <mergeCell ref="D37:E37"/>
    <mergeCell ref="A39:B39"/>
    <mergeCell ref="D39:E39"/>
    <mergeCell ref="J39:K39"/>
    <mergeCell ref="A40:B40"/>
    <mergeCell ref="D40:E40"/>
    <mergeCell ref="J40:K40"/>
    <mergeCell ref="D72:O73"/>
    <mergeCell ref="H46:I46"/>
    <mergeCell ref="J46:L46"/>
    <mergeCell ref="H51:I51"/>
    <mergeCell ref="J51:L51"/>
    <mergeCell ref="H52:I52"/>
    <mergeCell ref="J52:L52"/>
    <mergeCell ref="H53:K53"/>
    <mergeCell ref="A56:L56"/>
    <mergeCell ref="A57:L58"/>
    <mergeCell ref="A59:L59"/>
    <mergeCell ref="E70:P70"/>
  </mergeCells>
  <conditionalFormatting sqref="C6:G10">
    <cfRule type="containsBlanks" dxfId="99" priority="10">
      <formula>LEN(TRIM(C6))=0</formula>
    </cfRule>
  </conditionalFormatting>
  <conditionalFormatting sqref="C13:L13">
    <cfRule type="containsBlanks" dxfId="98" priority="9">
      <formula>LEN(TRIM(C13))=0</formula>
    </cfRule>
  </conditionalFormatting>
  <conditionalFormatting sqref="D20:D24">
    <cfRule type="containsBlanks" dxfId="97" priority="4">
      <formula>LEN(TRIM(D20))=0</formula>
    </cfRule>
  </conditionalFormatting>
  <conditionalFormatting sqref="D37:D38">
    <cfRule type="containsBlanks" dxfId="96" priority="3">
      <formula>LEN(TRIM(D37))=0</formula>
    </cfRule>
  </conditionalFormatting>
  <conditionalFormatting sqref="D30:E33">
    <cfRule type="containsBlanks" dxfId="95" priority="1">
      <formula>LEN(TRIM(D30))=0</formula>
    </cfRule>
  </conditionalFormatting>
  <conditionalFormatting sqref="E23">
    <cfRule type="containsBlanks" dxfId="94" priority="5">
      <formula>LEN(TRIM(E23))=0</formula>
    </cfRule>
  </conditionalFormatting>
  <conditionalFormatting sqref="F12:G12">
    <cfRule type="containsBlanks" dxfId="93" priority="8">
      <formula>LEN(TRIM(F12))=0</formula>
    </cfRule>
  </conditionalFormatting>
  <conditionalFormatting sqref="I22:I34">
    <cfRule type="containsBlanks" dxfId="92" priority="7">
      <formula>LEN(TRIM(I22))=0</formula>
    </cfRule>
  </conditionalFormatting>
  <conditionalFormatting sqref="I37">
    <cfRule type="containsBlanks" dxfId="91" priority="2">
      <formula>LEN(TRIM(I37))=0</formula>
    </cfRule>
  </conditionalFormatting>
  <conditionalFormatting sqref="K22:K34">
    <cfRule type="containsBlanks" dxfId="90" priority="6">
      <formula>LEN(TRIM(K22))=0</formula>
    </cfRule>
  </conditionalFormatting>
  <dataValidations count="2">
    <dataValidation type="list" allowBlank="1" showInputMessage="1" showErrorMessage="1" sqref="I37" xr:uid="{00000000-0002-0000-0D00-000000000000}">
      <formula1>"5 kN, 50 kN"</formula1>
    </dataValidation>
    <dataValidation type="list" allowBlank="1" showInputMessage="1" showErrorMessage="1" sqref="C12" xr:uid="{00000000-0002-0000-0D00-000001000000}">
      <formula1>$T$6:$T$13</formula1>
    </dataValidation>
  </dataValidations>
  <printOptions horizontalCentered="1" verticalCentered="1"/>
  <pageMargins left="0.31496062992126" right="0.31496062992126" top="0.15748031496063" bottom="0.55118110236220497" header="0" footer="0.118110236220472"/>
  <pageSetup scale="42" fitToWidth="0" fitToHeight="0" orientation="landscape" r:id="rId1"/>
  <headerFooter>
    <oddFooter>&amp;C&amp;"Arial,Normal"&amp;10GEODELTA S.A.S. Calle 68 B bis No 70 C 95, Móvil: 318 7902368 Bogotá DC - Colombia
e-mail: laboratoriogeodelta@gmail.com</oddFooter>
  </headerFooter>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C83BAE-A1B0-47AA-8DF8-9A369B4B577E}">
  <sheetPr>
    <tabColor rgb="FFFFC000"/>
  </sheetPr>
  <dimension ref="A1:AB73"/>
  <sheetViews>
    <sheetView showGridLines="0" view="pageBreakPreview" topLeftCell="A20" zoomScale="96" zoomScaleNormal="50" zoomScaleSheetLayoutView="96" zoomScalePageLayoutView="50" workbookViewId="0">
      <selection activeCell="J15" sqref="J15"/>
    </sheetView>
  </sheetViews>
  <sheetFormatPr baseColWidth="10" defaultColWidth="11" defaultRowHeight="14.25"/>
  <cols>
    <col min="1" max="1" width="10.5703125" style="3" customWidth="1"/>
    <col min="2" max="2" width="35.42578125" style="3" customWidth="1"/>
    <col min="3" max="3" width="20.85546875" style="3" customWidth="1"/>
    <col min="4" max="5" width="26.7109375" style="3" customWidth="1"/>
    <col min="6" max="6" width="3.7109375" style="3" customWidth="1"/>
    <col min="7" max="7" width="29.140625" style="3" customWidth="1"/>
    <col min="8" max="8" width="27.140625" style="3" customWidth="1"/>
    <col min="9" max="10" width="24.28515625" style="3" customWidth="1"/>
    <col min="11" max="12" width="22.42578125" style="3" customWidth="1"/>
    <col min="13" max="13" width="1.85546875" style="3" customWidth="1"/>
    <col min="14" max="16" width="12.85546875" style="3" customWidth="1"/>
    <col min="17" max="17" width="6.5703125" style="3" customWidth="1"/>
    <col min="18" max="18" width="6.28515625" style="3" customWidth="1"/>
    <col min="19" max="184" width="11" style="3"/>
    <col min="185" max="185" width="0.7109375" style="3" customWidth="1"/>
    <col min="186" max="186" width="6.5703125" style="3" customWidth="1"/>
    <col min="187" max="187" width="13.5703125" style="3" customWidth="1"/>
    <col min="188" max="188" width="13.42578125" style="3" customWidth="1"/>
    <col min="189" max="190" width="12.5703125" style="3" customWidth="1"/>
    <col min="191" max="191" width="14.85546875" style="3" customWidth="1"/>
    <col min="192" max="192" width="20.7109375" style="3" customWidth="1"/>
    <col min="193" max="193" width="12.5703125" style="3" customWidth="1"/>
    <col min="194" max="194" width="13" style="3" customWidth="1"/>
    <col min="195" max="195" width="16" style="3" customWidth="1"/>
    <col min="196" max="196" width="6.42578125" style="3" customWidth="1"/>
    <col min="197" max="197" width="16" style="3" customWidth="1"/>
    <col min="198" max="198" width="2.85546875" style="3" customWidth="1"/>
    <col min="199" max="199" width="0.85546875" style="3" customWidth="1"/>
    <col min="200" max="200" width="11" style="3"/>
    <col min="201" max="201" width="15.42578125" style="3" customWidth="1"/>
    <col min="202" max="204" width="14.85546875" style="3" customWidth="1"/>
    <col min="205" max="205" width="0.7109375" style="3" customWidth="1"/>
    <col min="206" max="206" width="11" style="3"/>
    <col min="207" max="207" width="15.7109375" style="3" customWidth="1"/>
    <col min="208" max="209" width="14.85546875" style="3" customWidth="1"/>
    <col min="210" max="210" width="3.28515625" style="3" customWidth="1"/>
    <col min="211" max="211" width="20.140625" style="3" customWidth="1"/>
    <col min="212" max="212" width="3.28515625" style="3" customWidth="1"/>
    <col min="213" max="217" width="11" style="3"/>
    <col min="218" max="230" width="4.7109375" style="3" customWidth="1"/>
    <col min="231" max="440" width="11" style="3"/>
    <col min="441" max="441" width="0.7109375" style="3" customWidth="1"/>
    <col min="442" max="442" width="6.5703125" style="3" customWidth="1"/>
    <col min="443" max="443" width="13.5703125" style="3" customWidth="1"/>
    <col min="444" max="444" width="13.42578125" style="3" customWidth="1"/>
    <col min="445" max="446" width="12.5703125" style="3" customWidth="1"/>
    <col min="447" max="447" width="14.85546875" style="3" customWidth="1"/>
    <col min="448" max="448" width="20.7109375" style="3" customWidth="1"/>
    <col min="449" max="449" width="12.5703125" style="3" customWidth="1"/>
    <col min="450" max="450" width="13" style="3" customWidth="1"/>
    <col min="451" max="451" width="16" style="3" customWidth="1"/>
    <col min="452" max="452" width="6.42578125" style="3" customWidth="1"/>
    <col min="453" max="453" width="16" style="3" customWidth="1"/>
    <col min="454" max="454" width="2.85546875" style="3" customWidth="1"/>
    <col min="455" max="455" width="0.85546875" style="3" customWidth="1"/>
    <col min="456" max="456" width="11" style="3"/>
    <col min="457" max="457" width="15.42578125" style="3" customWidth="1"/>
    <col min="458" max="460" width="14.85546875" style="3" customWidth="1"/>
    <col min="461" max="461" width="0.7109375" style="3" customWidth="1"/>
    <col min="462" max="462" width="11" style="3"/>
    <col min="463" max="463" width="15.7109375" style="3" customWidth="1"/>
    <col min="464" max="465" width="14.85546875" style="3" customWidth="1"/>
    <col min="466" max="466" width="3.28515625" style="3" customWidth="1"/>
    <col min="467" max="467" width="20.140625" style="3" customWidth="1"/>
    <col min="468" max="468" width="3.28515625" style="3" customWidth="1"/>
    <col min="469" max="473" width="11" style="3"/>
    <col min="474" max="486" width="4.7109375" style="3" customWidth="1"/>
    <col min="487" max="696" width="11" style="3"/>
    <col min="697" max="697" width="0.7109375" style="3" customWidth="1"/>
    <col min="698" max="698" width="6.5703125" style="3" customWidth="1"/>
    <col min="699" max="699" width="13.5703125" style="3" customWidth="1"/>
    <col min="700" max="700" width="13.42578125" style="3" customWidth="1"/>
    <col min="701" max="702" width="12.5703125" style="3" customWidth="1"/>
    <col min="703" max="703" width="14.85546875" style="3" customWidth="1"/>
    <col min="704" max="704" width="20.7109375" style="3" customWidth="1"/>
    <col min="705" max="705" width="12.5703125" style="3" customWidth="1"/>
    <col min="706" max="706" width="13" style="3" customWidth="1"/>
    <col min="707" max="707" width="16" style="3" customWidth="1"/>
    <col min="708" max="708" width="6.42578125" style="3" customWidth="1"/>
    <col min="709" max="709" width="16" style="3" customWidth="1"/>
    <col min="710" max="710" width="2.85546875" style="3" customWidth="1"/>
    <col min="711" max="711" width="0.85546875" style="3" customWidth="1"/>
    <col min="712" max="712" width="11" style="3"/>
    <col min="713" max="713" width="15.42578125" style="3" customWidth="1"/>
    <col min="714" max="716" width="14.85546875" style="3" customWidth="1"/>
    <col min="717" max="717" width="0.7109375" style="3" customWidth="1"/>
    <col min="718" max="718" width="11" style="3"/>
    <col min="719" max="719" width="15.7109375" style="3" customWidth="1"/>
    <col min="720" max="721" width="14.85546875" style="3" customWidth="1"/>
    <col min="722" max="722" width="3.28515625" style="3" customWidth="1"/>
    <col min="723" max="723" width="20.140625" style="3" customWidth="1"/>
    <col min="724" max="724" width="3.28515625" style="3" customWidth="1"/>
    <col min="725" max="729" width="11" style="3"/>
    <col min="730" max="742" width="4.7109375" style="3" customWidth="1"/>
    <col min="743" max="952" width="11" style="3"/>
    <col min="953" max="953" width="0.7109375" style="3" customWidth="1"/>
    <col min="954" max="954" width="6.5703125" style="3" customWidth="1"/>
    <col min="955" max="955" width="13.5703125" style="3" customWidth="1"/>
    <col min="956" max="956" width="13.42578125" style="3" customWidth="1"/>
    <col min="957" max="958" width="12.5703125" style="3" customWidth="1"/>
    <col min="959" max="959" width="14.85546875" style="3" customWidth="1"/>
    <col min="960" max="960" width="20.7109375" style="3" customWidth="1"/>
    <col min="961" max="961" width="12.5703125" style="3" customWidth="1"/>
    <col min="962" max="962" width="13" style="3" customWidth="1"/>
    <col min="963" max="963" width="16" style="3" customWidth="1"/>
    <col min="964" max="964" width="6.42578125" style="3" customWidth="1"/>
    <col min="965" max="965" width="16" style="3" customWidth="1"/>
    <col min="966" max="966" width="2.85546875" style="3" customWidth="1"/>
    <col min="967" max="967" width="0.85546875" style="3" customWidth="1"/>
    <col min="968" max="968" width="11" style="3"/>
    <col min="969" max="969" width="15.42578125" style="3" customWidth="1"/>
    <col min="970" max="972" width="14.85546875" style="3" customWidth="1"/>
    <col min="973" max="973" width="0.7109375" style="3" customWidth="1"/>
    <col min="974" max="974" width="11" style="3"/>
    <col min="975" max="975" width="15.7109375" style="3" customWidth="1"/>
    <col min="976" max="977" width="14.85546875" style="3" customWidth="1"/>
    <col min="978" max="978" width="3.28515625" style="3" customWidth="1"/>
    <col min="979" max="979" width="20.140625" style="3" customWidth="1"/>
    <col min="980" max="980" width="3.28515625" style="3" customWidth="1"/>
    <col min="981" max="985" width="11" style="3"/>
    <col min="986" max="998" width="4.7109375" style="3" customWidth="1"/>
    <col min="999" max="1208" width="11" style="3"/>
    <col min="1209" max="1209" width="0.7109375" style="3" customWidth="1"/>
    <col min="1210" max="1210" width="6.5703125" style="3" customWidth="1"/>
    <col min="1211" max="1211" width="13.5703125" style="3" customWidth="1"/>
    <col min="1212" max="1212" width="13.42578125" style="3" customWidth="1"/>
    <col min="1213" max="1214" width="12.5703125" style="3" customWidth="1"/>
    <col min="1215" max="1215" width="14.85546875" style="3" customWidth="1"/>
    <col min="1216" max="1216" width="20.7109375" style="3" customWidth="1"/>
    <col min="1217" max="1217" width="12.5703125" style="3" customWidth="1"/>
    <col min="1218" max="1218" width="13" style="3" customWidth="1"/>
    <col min="1219" max="1219" width="16" style="3" customWidth="1"/>
    <col min="1220" max="1220" width="6.42578125" style="3" customWidth="1"/>
    <col min="1221" max="1221" width="16" style="3" customWidth="1"/>
    <col min="1222" max="1222" width="2.85546875" style="3" customWidth="1"/>
    <col min="1223" max="1223" width="0.85546875" style="3" customWidth="1"/>
    <col min="1224" max="1224" width="11" style="3"/>
    <col min="1225" max="1225" width="15.42578125" style="3" customWidth="1"/>
    <col min="1226" max="1228" width="14.85546875" style="3" customWidth="1"/>
    <col min="1229" max="1229" width="0.7109375" style="3" customWidth="1"/>
    <col min="1230" max="1230" width="11" style="3"/>
    <col min="1231" max="1231" width="15.7109375" style="3" customWidth="1"/>
    <col min="1232" max="1233" width="14.85546875" style="3" customWidth="1"/>
    <col min="1234" max="1234" width="3.28515625" style="3" customWidth="1"/>
    <col min="1235" max="1235" width="20.140625" style="3" customWidth="1"/>
    <col min="1236" max="1236" width="3.28515625" style="3" customWidth="1"/>
    <col min="1237" max="1241" width="11" style="3"/>
    <col min="1242" max="1254" width="4.7109375" style="3" customWidth="1"/>
    <col min="1255" max="1464" width="11" style="3"/>
    <col min="1465" max="1465" width="0.7109375" style="3" customWidth="1"/>
    <col min="1466" max="1466" width="6.5703125" style="3" customWidth="1"/>
    <col min="1467" max="1467" width="13.5703125" style="3" customWidth="1"/>
    <col min="1468" max="1468" width="13.42578125" style="3" customWidth="1"/>
    <col min="1469" max="1470" width="12.5703125" style="3" customWidth="1"/>
    <col min="1471" max="1471" width="14.85546875" style="3" customWidth="1"/>
    <col min="1472" max="1472" width="20.7109375" style="3" customWidth="1"/>
    <col min="1473" max="1473" width="12.5703125" style="3" customWidth="1"/>
    <col min="1474" max="1474" width="13" style="3" customWidth="1"/>
    <col min="1475" max="1475" width="16" style="3" customWidth="1"/>
    <col min="1476" max="1476" width="6.42578125" style="3" customWidth="1"/>
    <col min="1477" max="1477" width="16" style="3" customWidth="1"/>
    <col min="1478" max="1478" width="2.85546875" style="3" customWidth="1"/>
    <col min="1479" max="1479" width="0.85546875" style="3" customWidth="1"/>
    <col min="1480" max="1480" width="11" style="3"/>
    <col min="1481" max="1481" width="15.42578125" style="3" customWidth="1"/>
    <col min="1482" max="1484" width="14.85546875" style="3" customWidth="1"/>
    <col min="1485" max="1485" width="0.7109375" style="3" customWidth="1"/>
    <col min="1486" max="1486" width="11" style="3"/>
    <col min="1487" max="1487" width="15.7109375" style="3" customWidth="1"/>
    <col min="1488" max="1489" width="14.85546875" style="3" customWidth="1"/>
    <col min="1490" max="1490" width="3.28515625" style="3" customWidth="1"/>
    <col min="1491" max="1491" width="20.140625" style="3" customWidth="1"/>
    <col min="1492" max="1492" width="3.28515625" style="3" customWidth="1"/>
    <col min="1493" max="1497" width="11" style="3"/>
    <col min="1498" max="1510" width="4.7109375" style="3" customWidth="1"/>
    <col min="1511" max="1720" width="11" style="3"/>
    <col min="1721" max="1721" width="0.7109375" style="3" customWidth="1"/>
    <col min="1722" max="1722" width="6.5703125" style="3" customWidth="1"/>
    <col min="1723" max="1723" width="13.5703125" style="3" customWidth="1"/>
    <col min="1724" max="1724" width="13.42578125" style="3" customWidth="1"/>
    <col min="1725" max="1726" width="12.5703125" style="3" customWidth="1"/>
    <col min="1727" max="1727" width="14.85546875" style="3" customWidth="1"/>
    <col min="1728" max="1728" width="20.7109375" style="3" customWidth="1"/>
    <col min="1729" max="1729" width="12.5703125" style="3" customWidth="1"/>
    <col min="1730" max="1730" width="13" style="3" customWidth="1"/>
    <col min="1731" max="1731" width="16" style="3" customWidth="1"/>
    <col min="1732" max="1732" width="6.42578125" style="3" customWidth="1"/>
    <col min="1733" max="1733" width="16" style="3" customWidth="1"/>
    <col min="1734" max="1734" width="2.85546875" style="3" customWidth="1"/>
    <col min="1735" max="1735" width="0.85546875" style="3" customWidth="1"/>
    <col min="1736" max="1736" width="11" style="3"/>
    <col min="1737" max="1737" width="15.42578125" style="3" customWidth="1"/>
    <col min="1738" max="1740" width="14.85546875" style="3" customWidth="1"/>
    <col min="1741" max="1741" width="0.7109375" style="3" customWidth="1"/>
    <col min="1742" max="1742" width="11" style="3"/>
    <col min="1743" max="1743" width="15.7109375" style="3" customWidth="1"/>
    <col min="1744" max="1745" width="14.85546875" style="3" customWidth="1"/>
    <col min="1746" max="1746" width="3.28515625" style="3" customWidth="1"/>
    <col min="1747" max="1747" width="20.140625" style="3" customWidth="1"/>
    <col min="1748" max="1748" width="3.28515625" style="3" customWidth="1"/>
    <col min="1749" max="1753" width="11" style="3"/>
    <col min="1754" max="1766" width="4.7109375" style="3" customWidth="1"/>
    <col min="1767" max="1976" width="11" style="3"/>
    <col min="1977" max="1977" width="0.7109375" style="3" customWidth="1"/>
    <col min="1978" max="1978" width="6.5703125" style="3" customWidth="1"/>
    <col min="1979" max="1979" width="13.5703125" style="3" customWidth="1"/>
    <col min="1980" max="1980" width="13.42578125" style="3" customWidth="1"/>
    <col min="1981" max="1982" width="12.5703125" style="3" customWidth="1"/>
    <col min="1983" max="1983" width="14.85546875" style="3" customWidth="1"/>
    <col min="1984" max="1984" width="20.7109375" style="3" customWidth="1"/>
    <col min="1985" max="1985" width="12.5703125" style="3" customWidth="1"/>
    <col min="1986" max="1986" width="13" style="3" customWidth="1"/>
    <col min="1987" max="1987" width="16" style="3" customWidth="1"/>
    <col min="1988" max="1988" width="6.42578125" style="3" customWidth="1"/>
    <col min="1989" max="1989" width="16" style="3" customWidth="1"/>
    <col min="1990" max="1990" width="2.85546875" style="3" customWidth="1"/>
    <col min="1991" max="1991" width="0.85546875" style="3" customWidth="1"/>
    <col min="1992" max="1992" width="11" style="3"/>
    <col min="1993" max="1993" width="15.42578125" style="3" customWidth="1"/>
    <col min="1994" max="1996" width="14.85546875" style="3" customWidth="1"/>
    <col min="1997" max="1997" width="0.7109375" style="3" customWidth="1"/>
    <col min="1998" max="1998" width="11" style="3"/>
    <col min="1999" max="1999" width="15.7109375" style="3" customWidth="1"/>
    <col min="2000" max="2001" width="14.85546875" style="3" customWidth="1"/>
    <col min="2002" max="2002" width="3.28515625" style="3" customWidth="1"/>
    <col min="2003" max="2003" width="20.140625" style="3" customWidth="1"/>
    <col min="2004" max="2004" width="3.28515625" style="3" customWidth="1"/>
    <col min="2005" max="2009" width="11" style="3"/>
    <col min="2010" max="2022" width="4.7109375" style="3" customWidth="1"/>
    <col min="2023" max="2232" width="11" style="3"/>
    <col min="2233" max="2233" width="0.7109375" style="3" customWidth="1"/>
    <col min="2234" max="2234" width="6.5703125" style="3" customWidth="1"/>
    <col min="2235" max="2235" width="13.5703125" style="3" customWidth="1"/>
    <col min="2236" max="2236" width="13.42578125" style="3" customWidth="1"/>
    <col min="2237" max="2238" width="12.5703125" style="3" customWidth="1"/>
    <col min="2239" max="2239" width="14.85546875" style="3" customWidth="1"/>
    <col min="2240" max="2240" width="20.7109375" style="3" customWidth="1"/>
    <col min="2241" max="2241" width="12.5703125" style="3" customWidth="1"/>
    <col min="2242" max="2242" width="13" style="3" customWidth="1"/>
    <col min="2243" max="2243" width="16" style="3" customWidth="1"/>
    <col min="2244" max="2244" width="6.42578125" style="3" customWidth="1"/>
    <col min="2245" max="2245" width="16" style="3" customWidth="1"/>
    <col min="2246" max="2246" width="2.85546875" style="3" customWidth="1"/>
    <col min="2247" max="2247" width="0.85546875" style="3" customWidth="1"/>
    <col min="2248" max="2248" width="11" style="3"/>
    <col min="2249" max="2249" width="15.42578125" style="3" customWidth="1"/>
    <col min="2250" max="2252" width="14.85546875" style="3" customWidth="1"/>
    <col min="2253" max="2253" width="0.7109375" style="3" customWidth="1"/>
    <col min="2254" max="2254" width="11" style="3"/>
    <col min="2255" max="2255" width="15.7109375" style="3" customWidth="1"/>
    <col min="2256" max="2257" width="14.85546875" style="3" customWidth="1"/>
    <col min="2258" max="2258" width="3.28515625" style="3" customWidth="1"/>
    <col min="2259" max="2259" width="20.140625" style="3" customWidth="1"/>
    <col min="2260" max="2260" width="3.28515625" style="3" customWidth="1"/>
    <col min="2261" max="2265" width="11" style="3"/>
    <col min="2266" max="2278" width="4.7109375" style="3" customWidth="1"/>
    <col min="2279" max="2488" width="11" style="3"/>
    <col min="2489" max="2489" width="0.7109375" style="3" customWidth="1"/>
    <col min="2490" max="2490" width="6.5703125" style="3" customWidth="1"/>
    <col min="2491" max="2491" width="13.5703125" style="3" customWidth="1"/>
    <col min="2492" max="2492" width="13.42578125" style="3" customWidth="1"/>
    <col min="2493" max="2494" width="12.5703125" style="3" customWidth="1"/>
    <col min="2495" max="2495" width="14.85546875" style="3" customWidth="1"/>
    <col min="2496" max="2496" width="20.7109375" style="3" customWidth="1"/>
    <col min="2497" max="2497" width="12.5703125" style="3" customWidth="1"/>
    <col min="2498" max="2498" width="13" style="3" customWidth="1"/>
    <col min="2499" max="2499" width="16" style="3" customWidth="1"/>
    <col min="2500" max="2500" width="6.42578125" style="3" customWidth="1"/>
    <col min="2501" max="2501" width="16" style="3" customWidth="1"/>
    <col min="2502" max="2502" width="2.85546875" style="3" customWidth="1"/>
    <col min="2503" max="2503" width="0.85546875" style="3" customWidth="1"/>
    <col min="2504" max="2504" width="11" style="3"/>
    <col min="2505" max="2505" width="15.42578125" style="3" customWidth="1"/>
    <col min="2506" max="2508" width="14.85546875" style="3" customWidth="1"/>
    <col min="2509" max="2509" width="0.7109375" style="3" customWidth="1"/>
    <col min="2510" max="2510" width="11" style="3"/>
    <col min="2511" max="2511" width="15.7109375" style="3" customWidth="1"/>
    <col min="2512" max="2513" width="14.85546875" style="3" customWidth="1"/>
    <col min="2514" max="2514" width="3.28515625" style="3" customWidth="1"/>
    <col min="2515" max="2515" width="20.140625" style="3" customWidth="1"/>
    <col min="2516" max="2516" width="3.28515625" style="3" customWidth="1"/>
    <col min="2517" max="2521" width="11" style="3"/>
    <col min="2522" max="2534" width="4.7109375" style="3" customWidth="1"/>
    <col min="2535" max="2744" width="11" style="3"/>
    <col min="2745" max="2745" width="0.7109375" style="3" customWidth="1"/>
    <col min="2746" max="2746" width="6.5703125" style="3" customWidth="1"/>
    <col min="2747" max="2747" width="13.5703125" style="3" customWidth="1"/>
    <col min="2748" max="2748" width="13.42578125" style="3" customWidth="1"/>
    <col min="2749" max="2750" width="12.5703125" style="3" customWidth="1"/>
    <col min="2751" max="2751" width="14.85546875" style="3" customWidth="1"/>
    <col min="2752" max="2752" width="20.7109375" style="3" customWidth="1"/>
    <col min="2753" max="2753" width="12.5703125" style="3" customWidth="1"/>
    <col min="2754" max="2754" width="13" style="3" customWidth="1"/>
    <col min="2755" max="2755" width="16" style="3" customWidth="1"/>
    <col min="2756" max="2756" width="6.42578125" style="3" customWidth="1"/>
    <col min="2757" max="2757" width="16" style="3" customWidth="1"/>
    <col min="2758" max="2758" width="2.85546875" style="3" customWidth="1"/>
    <col min="2759" max="2759" width="0.85546875" style="3" customWidth="1"/>
    <col min="2760" max="2760" width="11" style="3"/>
    <col min="2761" max="2761" width="15.42578125" style="3" customWidth="1"/>
    <col min="2762" max="2764" width="14.85546875" style="3" customWidth="1"/>
    <col min="2765" max="2765" width="0.7109375" style="3" customWidth="1"/>
    <col min="2766" max="2766" width="11" style="3"/>
    <col min="2767" max="2767" width="15.7109375" style="3" customWidth="1"/>
    <col min="2768" max="2769" width="14.85546875" style="3" customWidth="1"/>
    <col min="2770" max="2770" width="3.28515625" style="3" customWidth="1"/>
    <col min="2771" max="2771" width="20.140625" style="3" customWidth="1"/>
    <col min="2772" max="2772" width="3.28515625" style="3" customWidth="1"/>
    <col min="2773" max="2777" width="11" style="3"/>
    <col min="2778" max="2790" width="4.7109375" style="3" customWidth="1"/>
    <col min="2791" max="3000" width="11" style="3"/>
    <col min="3001" max="3001" width="0.7109375" style="3" customWidth="1"/>
    <col min="3002" max="3002" width="6.5703125" style="3" customWidth="1"/>
    <col min="3003" max="3003" width="13.5703125" style="3" customWidth="1"/>
    <col min="3004" max="3004" width="13.42578125" style="3" customWidth="1"/>
    <col min="3005" max="3006" width="12.5703125" style="3" customWidth="1"/>
    <col min="3007" max="3007" width="14.85546875" style="3" customWidth="1"/>
    <col min="3008" max="3008" width="20.7109375" style="3" customWidth="1"/>
    <col min="3009" max="3009" width="12.5703125" style="3" customWidth="1"/>
    <col min="3010" max="3010" width="13" style="3" customWidth="1"/>
    <col min="3011" max="3011" width="16" style="3" customWidth="1"/>
    <col min="3012" max="3012" width="6.42578125" style="3" customWidth="1"/>
    <col min="3013" max="3013" width="16" style="3" customWidth="1"/>
    <col min="3014" max="3014" width="2.85546875" style="3" customWidth="1"/>
    <col min="3015" max="3015" width="0.85546875" style="3" customWidth="1"/>
    <col min="3016" max="3016" width="11" style="3"/>
    <col min="3017" max="3017" width="15.42578125" style="3" customWidth="1"/>
    <col min="3018" max="3020" width="14.85546875" style="3" customWidth="1"/>
    <col min="3021" max="3021" width="0.7109375" style="3" customWidth="1"/>
    <col min="3022" max="3022" width="11" style="3"/>
    <col min="3023" max="3023" width="15.7109375" style="3" customWidth="1"/>
    <col min="3024" max="3025" width="14.85546875" style="3" customWidth="1"/>
    <col min="3026" max="3026" width="3.28515625" style="3" customWidth="1"/>
    <col min="3027" max="3027" width="20.140625" style="3" customWidth="1"/>
    <col min="3028" max="3028" width="3.28515625" style="3" customWidth="1"/>
    <col min="3029" max="3033" width="11" style="3"/>
    <col min="3034" max="3046" width="4.7109375" style="3" customWidth="1"/>
    <col min="3047" max="3256" width="11" style="3"/>
    <col min="3257" max="3257" width="0.7109375" style="3" customWidth="1"/>
    <col min="3258" max="3258" width="6.5703125" style="3" customWidth="1"/>
    <col min="3259" max="3259" width="13.5703125" style="3" customWidth="1"/>
    <col min="3260" max="3260" width="13.42578125" style="3" customWidth="1"/>
    <col min="3261" max="3262" width="12.5703125" style="3" customWidth="1"/>
    <col min="3263" max="3263" width="14.85546875" style="3" customWidth="1"/>
    <col min="3264" max="3264" width="20.7109375" style="3" customWidth="1"/>
    <col min="3265" max="3265" width="12.5703125" style="3" customWidth="1"/>
    <col min="3266" max="3266" width="13" style="3" customWidth="1"/>
    <col min="3267" max="3267" width="16" style="3" customWidth="1"/>
    <col min="3268" max="3268" width="6.42578125" style="3" customWidth="1"/>
    <col min="3269" max="3269" width="16" style="3" customWidth="1"/>
    <col min="3270" max="3270" width="2.85546875" style="3" customWidth="1"/>
    <col min="3271" max="3271" width="0.85546875" style="3" customWidth="1"/>
    <col min="3272" max="3272" width="11" style="3"/>
    <col min="3273" max="3273" width="15.42578125" style="3" customWidth="1"/>
    <col min="3274" max="3276" width="14.85546875" style="3" customWidth="1"/>
    <col min="3277" max="3277" width="0.7109375" style="3" customWidth="1"/>
    <col min="3278" max="3278" width="11" style="3"/>
    <col min="3279" max="3279" width="15.7109375" style="3" customWidth="1"/>
    <col min="3280" max="3281" width="14.85546875" style="3" customWidth="1"/>
    <col min="3282" max="3282" width="3.28515625" style="3" customWidth="1"/>
    <col min="3283" max="3283" width="20.140625" style="3" customWidth="1"/>
    <col min="3284" max="3284" width="3.28515625" style="3" customWidth="1"/>
    <col min="3285" max="3289" width="11" style="3"/>
    <col min="3290" max="3302" width="4.7109375" style="3" customWidth="1"/>
    <col min="3303" max="3512" width="11" style="3"/>
    <col min="3513" max="3513" width="0.7109375" style="3" customWidth="1"/>
    <col min="3514" max="3514" width="6.5703125" style="3" customWidth="1"/>
    <col min="3515" max="3515" width="13.5703125" style="3" customWidth="1"/>
    <col min="3516" max="3516" width="13.42578125" style="3" customWidth="1"/>
    <col min="3517" max="3518" width="12.5703125" style="3" customWidth="1"/>
    <col min="3519" max="3519" width="14.85546875" style="3" customWidth="1"/>
    <col min="3520" max="3520" width="20.7109375" style="3" customWidth="1"/>
    <col min="3521" max="3521" width="12.5703125" style="3" customWidth="1"/>
    <col min="3522" max="3522" width="13" style="3" customWidth="1"/>
    <col min="3523" max="3523" width="16" style="3" customWidth="1"/>
    <col min="3524" max="3524" width="6.42578125" style="3" customWidth="1"/>
    <col min="3525" max="3525" width="16" style="3" customWidth="1"/>
    <col min="3526" max="3526" width="2.85546875" style="3" customWidth="1"/>
    <col min="3527" max="3527" width="0.85546875" style="3" customWidth="1"/>
    <col min="3528" max="3528" width="11" style="3"/>
    <col min="3529" max="3529" width="15.42578125" style="3" customWidth="1"/>
    <col min="3530" max="3532" width="14.85546875" style="3" customWidth="1"/>
    <col min="3533" max="3533" width="0.7109375" style="3" customWidth="1"/>
    <col min="3534" max="3534" width="11" style="3"/>
    <col min="3535" max="3535" width="15.7109375" style="3" customWidth="1"/>
    <col min="3536" max="3537" width="14.85546875" style="3" customWidth="1"/>
    <col min="3538" max="3538" width="3.28515625" style="3" customWidth="1"/>
    <col min="3539" max="3539" width="20.140625" style="3" customWidth="1"/>
    <col min="3540" max="3540" width="3.28515625" style="3" customWidth="1"/>
    <col min="3541" max="3545" width="11" style="3"/>
    <col min="3546" max="3558" width="4.7109375" style="3" customWidth="1"/>
    <col min="3559" max="3768" width="11" style="3"/>
    <col min="3769" max="3769" width="0.7109375" style="3" customWidth="1"/>
    <col min="3770" max="3770" width="6.5703125" style="3" customWidth="1"/>
    <col min="3771" max="3771" width="13.5703125" style="3" customWidth="1"/>
    <col min="3772" max="3772" width="13.42578125" style="3" customWidth="1"/>
    <col min="3773" max="3774" width="12.5703125" style="3" customWidth="1"/>
    <col min="3775" max="3775" width="14.85546875" style="3" customWidth="1"/>
    <col min="3776" max="3776" width="20.7109375" style="3" customWidth="1"/>
    <col min="3777" max="3777" width="12.5703125" style="3" customWidth="1"/>
    <col min="3778" max="3778" width="13" style="3" customWidth="1"/>
    <col min="3779" max="3779" width="16" style="3" customWidth="1"/>
    <col min="3780" max="3780" width="6.42578125" style="3" customWidth="1"/>
    <col min="3781" max="3781" width="16" style="3" customWidth="1"/>
    <col min="3782" max="3782" width="2.85546875" style="3" customWidth="1"/>
    <col min="3783" max="3783" width="0.85546875" style="3" customWidth="1"/>
    <col min="3784" max="3784" width="11" style="3"/>
    <col min="3785" max="3785" width="15.42578125" style="3" customWidth="1"/>
    <col min="3786" max="3788" width="14.85546875" style="3" customWidth="1"/>
    <col min="3789" max="3789" width="0.7109375" style="3" customWidth="1"/>
    <col min="3790" max="3790" width="11" style="3"/>
    <col min="3791" max="3791" width="15.7109375" style="3" customWidth="1"/>
    <col min="3792" max="3793" width="14.85546875" style="3" customWidth="1"/>
    <col min="3794" max="3794" width="3.28515625" style="3" customWidth="1"/>
    <col min="3795" max="3795" width="20.140625" style="3" customWidth="1"/>
    <col min="3796" max="3796" width="3.28515625" style="3" customWidth="1"/>
    <col min="3797" max="3801" width="11" style="3"/>
    <col min="3802" max="3814" width="4.7109375" style="3" customWidth="1"/>
    <col min="3815" max="4024" width="11" style="3"/>
    <col min="4025" max="4025" width="0.7109375" style="3" customWidth="1"/>
    <col min="4026" max="4026" width="6.5703125" style="3" customWidth="1"/>
    <col min="4027" max="4027" width="13.5703125" style="3" customWidth="1"/>
    <col min="4028" max="4028" width="13.42578125" style="3" customWidth="1"/>
    <col min="4029" max="4030" width="12.5703125" style="3" customWidth="1"/>
    <col min="4031" max="4031" width="14.85546875" style="3" customWidth="1"/>
    <col min="4032" max="4032" width="20.7109375" style="3" customWidth="1"/>
    <col min="4033" max="4033" width="12.5703125" style="3" customWidth="1"/>
    <col min="4034" max="4034" width="13" style="3" customWidth="1"/>
    <col min="4035" max="4035" width="16" style="3" customWidth="1"/>
    <col min="4036" max="4036" width="6.42578125" style="3" customWidth="1"/>
    <col min="4037" max="4037" width="16" style="3" customWidth="1"/>
    <col min="4038" max="4038" width="2.85546875" style="3" customWidth="1"/>
    <col min="4039" max="4039" width="0.85546875" style="3" customWidth="1"/>
    <col min="4040" max="4040" width="11" style="3"/>
    <col min="4041" max="4041" width="15.42578125" style="3" customWidth="1"/>
    <col min="4042" max="4044" width="14.85546875" style="3" customWidth="1"/>
    <col min="4045" max="4045" width="0.7109375" style="3" customWidth="1"/>
    <col min="4046" max="4046" width="11" style="3"/>
    <col min="4047" max="4047" width="15.7109375" style="3" customWidth="1"/>
    <col min="4048" max="4049" width="14.85546875" style="3" customWidth="1"/>
    <col min="4050" max="4050" width="3.28515625" style="3" customWidth="1"/>
    <col min="4051" max="4051" width="20.140625" style="3" customWidth="1"/>
    <col min="4052" max="4052" width="3.28515625" style="3" customWidth="1"/>
    <col min="4053" max="4057" width="11" style="3"/>
    <col min="4058" max="4070" width="4.7109375" style="3" customWidth="1"/>
    <col min="4071" max="4280" width="11" style="3"/>
    <col min="4281" max="4281" width="0.7109375" style="3" customWidth="1"/>
    <col min="4282" max="4282" width="6.5703125" style="3" customWidth="1"/>
    <col min="4283" max="4283" width="13.5703125" style="3" customWidth="1"/>
    <col min="4284" max="4284" width="13.42578125" style="3" customWidth="1"/>
    <col min="4285" max="4286" width="12.5703125" style="3" customWidth="1"/>
    <col min="4287" max="4287" width="14.85546875" style="3" customWidth="1"/>
    <col min="4288" max="4288" width="20.7109375" style="3" customWidth="1"/>
    <col min="4289" max="4289" width="12.5703125" style="3" customWidth="1"/>
    <col min="4290" max="4290" width="13" style="3" customWidth="1"/>
    <col min="4291" max="4291" width="16" style="3" customWidth="1"/>
    <col min="4292" max="4292" width="6.42578125" style="3" customWidth="1"/>
    <col min="4293" max="4293" width="16" style="3" customWidth="1"/>
    <col min="4294" max="4294" width="2.85546875" style="3" customWidth="1"/>
    <col min="4295" max="4295" width="0.85546875" style="3" customWidth="1"/>
    <col min="4296" max="4296" width="11" style="3"/>
    <col min="4297" max="4297" width="15.42578125" style="3" customWidth="1"/>
    <col min="4298" max="4300" width="14.85546875" style="3" customWidth="1"/>
    <col min="4301" max="4301" width="0.7109375" style="3" customWidth="1"/>
    <col min="4302" max="4302" width="11" style="3"/>
    <col min="4303" max="4303" width="15.7109375" style="3" customWidth="1"/>
    <col min="4304" max="4305" width="14.85546875" style="3" customWidth="1"/>
    <col min="4306" max="4306" width="3.28515625" style="3" customWidth="1"/>
    <col min="4307" max="4307" width="20.140625" style="3" customWidth="1"/>
    <col min="4308" max="4308" width="3.28515625" style="3" customWidth="1"/>
    <col min="4309" max="4313" width="11" style="3"/>
    <col min="4314" max="4326" width="4.7109375" style="3" customWidth="1"/>
    <col min="4327" max="4536" width="11" style="3"/>
    <col min="4537" max="4537" width="0.7109375" style="3" customWidth="1"/>
    <col min="4538" max="4538" width="6.5703125" style="3" customWidth="1"/>
    <col min="4539" max="4539" width="13.5703125" style="3" customWidth="1"/>
    <col min="4540" max="4540" width="13.42578125" style="3" customWidth="1"/>
    <col min="4541" max="4542" width="12.5703125" style="3" customWidth="1"/>
    <col min="4543" max="4543" width="14.85546875" style="3" customWidth="1"/>
    <col min="4544" max="4544" width="20.7109375" style="3" customWidth="1"/>
    <col min="4545" max="4545" width="12.5703125" style="3" customWidth="1"/>
    <col min="4546" max="4546" width="13" style="3" customWidth="1"/>
    <col min="4547" max="4547" width="16" style="3" customWidth="1"/>
    <col min="4548" max="4548" width="6.42578125" style="3" customWidth="1"/>
    <col min="4549" max="4549" width="16" style="3" customWidth="1"/>
    <col min="4550" max="4550" width="2.85546875" style="3" customWidth="1"/>
    <col min="4551" max="4551" width="0.85546875" style="3" customWidth="1"/>
    <col min="4552" max="4552" width="11" style="3"/>
    <col min="4553" max="4553" width="15.42578125" style="3" customWidth="1"/>
    <col min="4554" max="4556" width="14.85546875" style="3" customWidth="1"/>
    <col min="4557" max="4557" width="0.7109375" style="3" customWidth="1"/>
    <col min="4558" max="4558" width="11" style="3"/>
    <col min="4559" max="4559" width="15.7109375" style="3" customWidth="1"/>
    <col min="4560" max="4561" width="14.85546875" style="3" customWidth="1"/>
    <col min="4562" max="4562" width="3.28515625" style="3" customWidth="1"/>
    <col min="4563" max="4563" width="20.140625" style="3" customWidth="1"/>
    <col min="4564" max="4564" width="3.28515625" style="3" customWidth="1"/>
    <col min="4565" max="4569" width="11" style="3"/>
    <col min="4570" max="4582" width="4.7109375" style="3" customWidth="1"/>
    <col min="4583" max="4792" width="11" style="3"/>
    <col min="4793" max="4793" width="0.7109375" style="3" customWidth="1"/>
    <col min="4794" max="4794" width="6.5703125" style="3" customWidth="1"/>
    <col min="4795" max="4795" width="13.5703125" style="3" customWidth="1"/>
    <col min="4796" max="4796" width="13.42578125" style="3" customWidth="1"/>
    <col min="4797" max="4798" width="12.5703125" style="3" customWidth="1"/>
    <col min="4799" max="4799" width="14.85546875" style="3" customWidth="1"/>
    <col min="4800" max="4800" width="20.7109375" style="3" customWidth="1"/>
    <col min="4801" max="4801" width="12.5703125" style="3" customWidth="1"/>
    <col min="4802" max="4802" width="13" style="3" customWidth="1"/>
    <col min="4803" max="4803" width="16" style="3" customWidth="1"/>
    <col min="4804" max="4804" width="6.42578125" style="3" customWidth="1"/>
    <col min="4805" max="4805" width="16" style="3" customWidth="1"/>
    <col min="4806" max="4806" width="2.85546875" style="3" customWidth="1"/>
    <col min="4807" max="4807" width="0.85546875" style="3" customWidth="1"/>
    <col min="4808" max="4808" width="11" style="3"/>
    <col min="4809" max="4809" width="15.42578125" style="3" customWidth="1"/>
    <col min="4810" max="4812" width="14.85546875" style="3" customWidth="1"/>
    <col min="4813" max="4813" width="0.7109375" style="3" customWidth="1"/>
    <col min="4814" max="4814" width="11" style="3"/>
    <col min="4815" max="4815" width="15.7109375" style="3" customWidth="1"/>
    <col min="4816" max="4817" width="14.85546875" style="3" customWidth="1"/>
    <col min="4818" max="4818" width="3.28515625" style="3" customWidth="1"/>
    <col min="4819" max="4819" width="20.140625" style="3" customWidth="1"/>
    <col min="4820" max="4820" width="3.28515625" style="3" customWidth="1"/>
    <col min="4821" max="4825" width="11" style="3"/>
    <col min="4826" max="4838" width="4.7109375" style="3" customWidth="1"/>
    <col min="4839" max="5048" width="11" style="3"/>
    <col min="5049" max="5049" width="0.7109375" style="3" customWidth="1"/>
    <col min="5050" max="5050" width="6.5703125" style="3" customWidth="1"/>
    <col min="5051" max="5051" width="13.5703125" style="3" customWidth="1"/>
    <col min="5052" max="5052" width="13.42578125" style="3" customWidth="1"/>
    <col min="5053" max="5054" width="12.5703125" style="3" customWidth="1"/>
    <col min="5055" max="5055" width="14.85546875" style="3" customWidth="1"/>
    <col min="5056" max="5056" width="20.7109375" style="3" customWidth="1"/>
    <col min="5057" max="5057" width="12.5703125" style="3" customWidth="1"/>
    <col min="5058" max="5058" width="13" style="3" customWidth="1"/>
    <col min="5059" max="5059" width="16" style="3" customWidth="1"/>
    <col min="5060" max="5060" width="6.42578125" style="3" customWidth="1"/>
    <col min="5061" max="5061" width="16" style="3" customWidth="1"/>
    <col min="5062" max="5062" width="2.85546875" style="3" customWidth="1"/>
    <col min="5063" max="5063" width="0.85546875" style="3" customWidth="1"/>
    <col min="5064" max="5064" width="11" style="3"/>
    <col min="5065" max="5065" width="15.42578125" style="3" customWidth="1"/>
    <col min="5066" max="5068" width="14.85546875" style="3" customWidth="1"/>
    <col min="5069" max="5069" width="0.7109375" style="3" customWidth="1"/>
    <col min="5070" max="5070" width="11" style="3"/>
    <col min="5071" max="5071" width="15.7109375" style="3" customWidth="1"/>
    <col min="5072" max="5073" width="14.85546875" style="3" customWidth="1"/>
    <col min="5074" max="5074" width="3.28515625" style="3" customWidth="1"/>
    <col min="5075" max="5075" width="20.140625" style="3" customWidth="1"/>
    <col min="5076" max="5076" width="3.28515625" style="3" customWidth="1"/>
    <col min="5077" max="5081" width="11" style="3"/>
    <col min="5082" max="5094" width="4.7109375" style="3" customWidth="1"/>
    <col min="5095" max="5304" width="11" style="3"/>
    <col min="5305" max="5305" width="0.7109375" style="3" customWidth="1"/>
    <col min="5306" max="5306" width="6.5703125" style="3" customWidth="1"/>
    <col min="5307" max="5307" width="13.5703125" style="3" customWidth="1"/>
    <col min="5308" max="5308" width="13.42578125" style="3" customWidth="1"/>
    <col min="5309" max="5310" width="12.5703125" style="3" customWidth="1"/>
    <col min="5311" max="5311" width="14.85546875" style="3" customWidth="1"/>
    <col min="5312" max="5312" width="20.7109375" style="3" customWidth="1"/>
    <col min="5313" max="5313" width="12.5703125" style="3" customWidth="1"/>
    <col min="5314" max="5314" width="13" style="3" customWidth="1"/>
    <col min="5315" max="5315" width="16" style="3" customWidth="1"/>
    <col min="5316" max="5316" width="6.42578125" style="3" customWidth="1"/>
    <col min="5317" max="5317" width="16" style="3" customWidth="1"/>
    <col min="5318" max="5318" width="2.85546875" style="3" customWidth="1"/>
    <col min="5319" max="5319" width="0.85546875" style="3" customWidth="1"/>
    <col min="5320" max="5320" width="11" style="3"/>
    <col min="5321" max="5321" width="15.42578125" style="3" customWidth="1"/>
    <col min="5322" max="5324" width="14.85546875" style="3" customWidth="1"/>
    <col min="5325" max="5325" width="0.7109375" style="3" customWidth="1"/>
    <col min="5326" max="5326" width="11" style="3"/>
    <col min="5327" max="5327" width="15.7109375" style="3" customWidth="1"/>
    <col min="5328" max="5329" width="14.85546875" style="3" customWidth="1"/>
    <col min="5330" max="5330" width="3.28515625" style="3" customWidth="1"/>
    <col min="5331" max="5331" width="20.140625" style="3" customWidth="1"/>
    <col min="5332" max="5332" width="3.28515625" style="3" customWidth="1"/>
    <col min="5333" max="5337" width="11" style="3"/>
    <col min="5338" max="5350" width="4.7109375" style="3" customWidth="1"/>
    <col min="5351" max="5560" width="11" style="3"/>
    <col min="5561" max="5561" width="0.7109375" style="3" customWidth="1"/>
    <col min="5562" max="5562" width="6.5703125" style="3" customWidth="1"/>
    <col min="5563" max="5563" width="13.5703125" style="3" customWidth="1"/>
    <col min="5564" max="5564" width="13.42578125" style="3" customWidth="1"/>
    <col min="5565" max="5566" width="12.5703125" style="3" customWidth="1"/>
    <col min="5567" max="5567" width="14.85546875" style="3" customWidth="1"/>
    <col min="5568" max="5568" width="20.7109375" style="3" customWidth="1"/>
    <col min="5569" max="5569" width="12.5703125" style="3" customWidth="1"/>
    <col min="5570" max="5570" width="13" style="3" customWidth="1"/>
    <col min="5571" max="5571" width="16" style="3" customWidth="1"/>
    <col min="5572" max="5572" width="6.42578125" style="3" customWidth="1"/>
    <col min="5573" max="5573" width="16" style="3" customWidth="1"/>
    <col min="5574" max="5574" width="2.85546875" style="3" customWidth="1"/>
    <col min="5575" max="5575" width="0.85546875" style="3" customWidth="1"/>
    <col min="5576" max="5576" width="11" style="3"/>
    <col min="5577" max="5577" width="15.42578125" style="3" customWidth="1"/>
    <col min="5578" max="5580" width="14.85546875" style="3" customWidth="1"/>
    <col min="5581" max="5581" width="0.7109375" style="3" customWidth="1"/>
    <col min="5582" max="5582" width="11" style="3"/>
    <col min="5583" max="5583" width="15.7109375" style="3" customWidth="1"/>
    <col min="5584" max="5585" width="14.85546875" style="3" customWidth="1"/>
    <col min="5586" max="5586" width="3.28515625" style="3" customWidth="1"/>
    <col min="5587" max="5587" width="20.140625" style="3" customWidth="1"/>
    <col min="5588" max="5588" width="3.28515625" style="3" customWidth="1"/>
    <col min="5589" max="5593" width="11" style="3"/>
    <col min="5594" max="5606" width="4.7109375" style="3" customWidth="1"/>
    <col min="5607" max="5816" width="11" style="3"/>
    <col min="5817" max="5817" width="0.7109375" style="3" customWidth="1"/>
    <col min="5818" max="5818" width="6.5703125" style="3" customWidth="1"/>
    <col min="5819" max="5819" width="13.5703125" style="3" customWidth="1"/>
    <col min="5820" max="5820" width="13.42578125" style="3" customWidth="1"/>
    <col min="5821" max="5822" width="12.5703125" style="3" customWidth="1"/>
    <col min="5823" max="5823" width="14.85546875" style="3" customWidth="1"/>
    <col min="5824" max="5824" width="20.7109375" style="3" customWidth="1"/>
    <col min="5825" max="5825" width="12.5703125" style="3" customWidth="1"/>
    <col min="5826" max="5826" width="13" style="3" customWidth="1"/>
    <col min="5827" max="5827" width="16" style="3" customWidth="1"/>
    <col min="5828" max="5828" width="6.42578125" style="3" customWidth="1"/>
    <col min="5829" max="5829" width="16" style="3" customWidth="1"/>
    <col min="5830" max="5830" width="2.85546875" style="3" customWidth="1"/>
    <col min="5831" max="5831" width="0.85546875" style="3" customWidth="1"/>
    <col min="5832" max="5832" width="11" style="3"/>
    <col min="5833" max="5833" width="15.42578125" style="3" customWidth="1"/>
    <col min="5834" max="5836" width="14.85546875" style="3" customWidth="1"/>
    <col min="5837" max="5837" width="0.7109375" style="3" customWidth="1"/>
    <col min="5838" max="5838" width="11" style="3"/>
    <col min="5839" max="5839" width="15.7109375" style="3" customWidth="1"/>
    <col min="5840" max="5841" width="14.85546875" style="3" customWidth="1"/>
    <col min="5842" max="5842" width="3.28515625" style="3" customWidth="1"/>
    <col min="5843" max="5843" width="20.140625" style="3" customWidth="1"/>
    <col min="5844" max="5844" width="3.28515625" style="3" customWidth="1"/>
    <col min="5845" max="5849" width="11" style="3"/>
    <col min="5850" max="5862" width="4.7109375" style="3" customWidth="1"/>
    <col min="5863" max="6072" width="11" style="3"/>
    <col min="6073" max="6073" width="0.7109375" style="3" customWidth="1"/>
    <col min="6074" max="6074" width="6.5703125" style="3" customWidth="1"/>
    <col min="6075" max="6075" width="13.5703125" style="3" customWidth="1"/>
    <col min="6076" max="6076" width="13.42578125" style="3" customWidth="1"/>
    <col min="6077" max="6078" width="12.5703125" style="3" customWidth="1"/>
    <col min="6079" max="6079" width="14.85546875" style="3" customWidth="1"/>
    <col min="6080" max="6080" width="20.7109375" style="3" customWidth="1"/>
    <col min="6081" max="6081" width="12.5703125" style="3" customWidth="1"/>
    <col min="6082" max="6082" width="13" style="3" customWidth="1"/>
    <col min="6083" max="6083" width="16" style="3" customWidth="1"/>
    <col min="6084" max="6084" width="6.42578125" style="3" customWidth="1"/>
    <col min="6085" max="6085" width="16" style="3" customWidth="1"/>
    <col min="6086" max="6086" width="2.85546875" style="3" customWidth="1"/>
    <col min="6087" max="6087" width="0.85546875" style="3" customWidth="1"/>
    <col min="6088" max="6088" width="11" style="3"/>
    <col min="6089" max="6089" width="15.42578125" style="3" customWidth="1"/>
    <col min="6090" max="6092" width="14.85546875" style="3" customWidth="1"/>
    <col min="6093" max="6093" width="0.7109375" style="3" customWidth="1"/>
    <col min="6094" max="6094" width="11" style="3"/>
    <col min="6095" max="6095" width="15.7109375" style="3" customWidth="1"/>
    <col min="6096" max="6097" width="14.85546875" style="3" customWidth="1"/>
    <col min="6098" max="6098" width="3.28515625" style="3" customWidth="1"/>
    <col min="6099" max="6099" width="20.140625" style="3" customWidth="1"/>
    <col min="6100" max="6100" width="3.28515625" style="3" customWidth="1"/>
    <col min="6101" max="6105" width="11" style="3"/>
    <col min="6106" max="6118" width="4.7109375" style="3" customWidth="1"/>
    <col min="6119" max="6328" width="11" style="3"/>
    <col min="6329" max="6329" width="0.7109375" style="3" customWidth="1"/>
    <col min="6330" max="6330" width="6.5703125" style="3" customWidth="1"/>
    <col min="6331" max="6331" width="13.5703125" style="3" customWidth="1"/>
    <col min="6332" max="6332" width="13.42578125" style="3" customWidth="1"/>
    <col min="6333" max="6334" width="12.5703125" style="3" customWidth="1"/>
    <col min="6335" max="6335" width="14.85546875" style="3" customWidth="1"/>
    <col min="6336" max="6336" width="20.7109375" style="3" customWidth="1"/>
    <col min="6337" max="6337" width="12.5703125" style="3" customWidth="1"/>
    <col min="6338" max="6338" width="13" style="3" customWidth="1"/>
    <col min="6339" max="6339" width="16" style="3" customWidth="1"/>
    <col min="6340" max="6340" width="6.42578125" style="3" customWidth="1"/>
    <col min="6341" max="6341" width="16" style="3" customWidth="1"/>
    <col min="6342" max="6342" width="2.85546875" style="3" customWidth="1"/>
    <col min="6343" max="6343" width="0.85546875" style="3" customWidth="1"/>
    <col min="6344" max="6344" width="11" style="3"/>
    <col min="6345" max="6345" width="15.42578125" style="3" customWidth="1"/>
    <col min="6346" max="6348" width="14.85546875" style="3" customWidth="1"/>
    <col min="6349" max="6349" width="0.7109375" style="3" customWidth="1"/>
    <col min="6350" max="6350" width="11" style="3"/>
    <col min="6351" max="6351" width="15.7109375" style="3" customWidth="1"/>
    <col min="6352" max="6353" width="14.85546875" style="3" customWidth="1"/>
    <col min="6354" max="6354" width="3.28515625" style="3" customWidth="1"/>
    <col min="6355" max="6355" width="20.140625" style="3" customWidth="1"/>
    <col min="6356" max="6356" width="3.28515625" style="3" customWidth="1"/>
    <col min="6357" max="6361" width="11" style="3"/>
    <col min="6362" max="6374" width="4.7109375" style="3" customWidth="1"/>
    <col min="6375" max="6584" width="11" style="3"/>
    <col min="6585" max="6585" width="0.7109375" style="3" customWidth="1"/>
    <col min="6586" max="6586" width="6.5703125" style="3" customWidth="1"/>
    <col min="6587" max="6587" width="13.5703125" style="3" customWidth="1"/>
    <col min="6588" max="6588" width="13.42578125" style="3" customWidth="1"/>
    <col min="6589" max="6590" width="12.5703125" style="3" customWidth="1"/>
    <col min="6591" max="6591" width="14.85546875" style="3" customWidth="1"/>
    <col min="6592" max="6592" width="20.7109375" style="3" customWidth="1"/>
    <col min="6593" max="6593" width="12.5703125" style="3" customWidth="1"/>
    <col min="6594" max="6594" width="13" style="3" customWidth="1"/>
    <col min="6595" max="6595" width="16" style="3" customWidth="1"/>
    <col min="6596" max="6596" width="6.42578125" style="3" customWidth="1"/>
    <col min="6597" max="6597" width="16" style="3" customWidth="1"/>
    <col min="6598" max="6598" width="2.85546875" style="3" customWidth="1"/>
    <col min="6599" max="6599" width="0.85546875" style="3" customWidth="1"/>
    <col min="6600" max="6600" width="11" style="3"/>
    <col min="6601" max="6601" width="15.42578125" style="3" customWidth="1"/>
    <col min="6602" max="6604" width="14.85546875" style="3" customWidth="1"/>
    <col min="6605" max="6605" width="0.7109375" style="3" customWidth="1"/>
    <col min="6606" max="6606" width="11" style="3"/>
    <col min="6607" max="6607" width="15.7109375" style="3" customWidth="1"/>
    <col min="6608" max="6609" width="14.85546875" style="3" customWidth="1"/>
    <col min="6610" max="6610" width="3.28515625" style="3" customWidth="1"/>
    <col min="6611" max="6611" width="20.140625" style="3" customWidth="1"/>
    <col min="6612" max="6612" width="3.28515625" style="3" customWidth="1"/>
    <col min="6613" max="6617" width="11" style="3"/>
    <col min="6618" max="6630" width="4.7109375" style="3" customWidth="1"/>
    <col min="6631" max="6840" width="11" style="3"/>
    <col min="6841" max="6841" width="0.7109375" style="3" customWidth="1"/>
    <col min="6842" max="6842" width="6.5703125" style="3" customWidth="1"/>
    <col min="6843" max="6843" width="13.5703125" style="3" customWidth="1"/>
    <col min="6844" max="6844" width="13.42578125" style="3" customWidth="1"/>
    <col min="6845" max="6846" width="12.5703125" style="3" customWidth="1"/>
    <col min="6847" max="6847" width="14.85546875" style="3" customWidth="1"/>
    <col min="6848" max="6848" width="20.7109375" style="3" customWidth="1"/>
    <col min="6849" max="6849" width="12.5703125" style="3" customWidth="1"/>
    <col min="6850" max="6850" width="13" style="3" customWidth="1"/>
    <col min="6851" max="6851" width="16" style="3" customWidth="1"/>
    <col min="6852" max="6852" width="6.42578125" style="3" customWidth="1"/>
    <col min="6853" max="6853" width="16" style="3" customWidth="1"/>
    <col min="6854" max="6854" width="2.85546875" style="3" customWidth="1"/>
    <col min="6855" max="6855" width="0.85546875" style="3" customWidth="1"/>
    <col min="6856" max="6856" width="11" style="3"/>
    <col min="6857" max="6857" width="15.42578125" style="3" customWidth="1"/>
    <col min="6858" max="6860" width="14.85546875" style="3" customWidth="1"/>
    <col min="6861" max="6861" width="0.7109375" style="3" customWidth="1"/>
    <col min="6862" max="6862" width="11" style="3"/>
    <col min="6863" max="6863" width="15.7109375" style="3" customWidth="1"/>
    <col min="6864" max="6865" width="14.85546875" style="3" customWidth="1"/>
    <col min="6866" max="6866" width="3.28515625" style="3" customWidth="1"/>
    <col min="6867" max="6867" width="20.140625" style="3" customWidth="1"/>
    <col min="6868" max="6868" width="3.28515625" style="3" customWidth="1"/>
    <col min="6869" max="6873" width="11" style="3"/>
    <col min="6874" max="6886" width="4.7109375" style="3" customWidth="1"/>
    <col min="6887" max="7096" width="11" style="3"/>
    <col min="7097" max="7097" width="0.7109375" style="3" customWidth="1"/>
    <col min="7098" max="7098" width="6.5703125" style="3" customWidth="1"/>
    <col min="7099" max="7099" width="13.5703125" style="3" customWidth="1"/>
    <col min="7100" max="7100" width="13.42578125" style="3" customWidth="1"/>
    <col min="7101" max="7102" width="12.5703125" style="3" customWidth="1"/>
    <col min="7103" max="7103" width="14.85546875" style="3" customWidth="1"/>
    <col min="7104" max="7104" width="20.7109375" style="3" customWidth="1"/>
    <col min="7105" max="7105" width="12.5703125" style="3" customWidth="1"/>
    <col min="7106" max="7106" width="13" style="3" customWidth="1"/>
    <col min="7107" max="7107" width="16" style="3" customWidth="1"/>
    <col min="7108" max="7108" width="6.42578125" style="3" customWidth="1"/>
    <col min="7109" max="7109" width="16" style="3" customWidth="1"/>
    <col min="7110" max="7110" width="2.85546875" style="3" customWidth="1"/>
    <col min="7111" max="7111" width="0.85546875" style="3" customWidth="1"/>
    <col min="7112" max="7112" width="11" style="3"/>
    <col min="7113" max="7113" width="15.42578125" style="3" customWidth="1"/>
    <col min="7114" max="7116" width="14.85546875" style="3" customWidth="1"/>
    <col min="7117" max="7117" width="0.7109375" style="3" customWidth="1"/>
    <col min="7118" max="7118" width="11" style="3"/>
    <col min="7119" max="7119" width="15.7109375" style="3" customWidth="1"/>
    <col min="7120" max="7121" width="14.85546875" style="3" customWidth="1"/>
    <col min="7122" max="7122" width="3.28515625" style="3" customWidth="1"/>
    <col min="7123" max="7123" width="20.140625" style="3" customWidth="1"/>
    <col min="7124" max="7124" width="3.28515625" style="3" customWidth="1"/>
    <col min="7125" max="7129" width="11" style="3"/>
    <col min="7130" max="7142" width="4.7109375" style="3" customWidth="1"/>
    <col min="7143" max="7352" width="11" style="3"/>
    <col min="7353" max="7353" width="0.7109375" style="3" customWidth="1"/>
    <col min="7354" max="7354" width="6.5703125" style="3" customWidth="1"/>
    <col min="7355" max="7355" width="13.5703125" style="3" customWidth="1"/>
    <col min="7356" max="7356" width="13.42578125" style="3" customWidth="1"/>
    <col min="7357" max="7358" width="12.5703125" style="3" customWidth="1"/>
    <col min="7359" max="7359" width="14.85546875" style="3" customWidth="1"/>
    <col min="7360" max="7360" width="20.7109375" style="3" customWidth="1"/>
    <col min="7361" max="7361" width="12.5703125" style="3" customWidth="1"/>
    <col min="7362" max="7362" width="13" style="3" customWidth="1"/>
    <col min="7363" max="7363" width="16" style="3" customWidth="1"/>
    <col min="7364" max="7364" width="6.42578125" style="3" customWidth="1"/>
    <col min="7365" max="7365" width="16" style="3" customWidth="1"/>
    <col min="7366" max="7366" width="2.85546875" style="3" customWidth="1"/>
    <col min="7367" max="7367" width="0.85546875" style="3" customWidth="1"/>
    <col min="7368" max="7368" width="11" style="3"/>
    <col min="7369" max="7369" width="15.42578125" style="3" customWidth="1"/>
    <col min="7370" max="7372" width="14.85546875" style="3" customWidth="1"/>
    <col min="7373" max="7373" width="0.7109375" style="3" customWidth="1"/>
    <col min="7374" max="7374" width="11" style="3"/>
    <col min="7375" max="7375" width="15.7109375" style="3" customWidth="1"/>
    <col min="7376" max="7377" width="14.85546875" style="3" customWidth="1"/>
    <col min="7378" max="7378" width="3.28515625" style="3" customWidth="1"/>
    <col min="7379" max="7379" width="20.140625" style="3" customWidth="1"/>
    <col min="7380" max="7380" width="3.28515625" style="3" customWidth="1"/>
    <col min="7381" max="7385" width="11" style="3"/>
    <col min="7386" max="7398" width="4.7109375" style="3" customWidth="1"/>
    <col min="7399" max="7608" width="11" style="3"/>
    <col min="7609" max="7609" width="0.7109375" style="3" customWidth="1"/>
    <col min="7610" max="7610" width="6.5703125" style="3" customWidth="1"/>
    <col min="7611" max="7611" width="13.5703125" style="3" customWidth="1"/>
    <col min="7612" max="7612" width="13.42578125" style="3" customWidth="1"/>
    <col min="7613" max="7614" width="12.5703125" style="3" customWidth="1"/>
    <col min="7615" max="7615" width="14.85546875" style="3" customWidth="1"/>
    <col min="7616" max="7616" width="20.7109375" style="3" customWidth="1"/>
    <col min="7617" max="7617" width="12.5703125" style="3" customWidth="1"/>
    <col min="7618" max="7618" width="13" style="3" customWidth="1"/>
    <col min="7619" max="7619" width="16" style="3" customWidth="1"/>
    <col min="7620" max="7620" width="6.42578125" style="3" customWidth="1"/>
    <col min="7621" max="7621" width="16" style="3" customWidth="1"/>
    <col min="7622" max="7622" width="2.85546875" style="3" customWidth="1"/>
    <col min="7623" max="7623" width="0.85546875" style="3" customWidth="1"/>
    <col min="7624" max="7624" width="11" style="3"/>
    <col min="7625" max="7625" width="15.42578125" style="3" customWidth="1"/>
    <col min="7626" max="7628" width="14.85546875" style="3" customWidth="1"/>
    <col min="7629" max="7629" width="0.7109375" style="3" customWidth="1"/>
    <col min="7630" max="7630" width="11" style="3"/>
    <col min="7631" max="7631" width="15.7109375" style="3" customWidth="1"/>
    <col min="7632" max="7633" width="14.85546875" style="3" customWidth="1"/>
    <col min="7634" max="7634" width="3.28515625" style="3" customWidth="1"/>
    <col min="7635" max="7635" width="20.140625" style="3" customWidth="1"/>
    <col min="7636" max="7636" width="3.28515625" style="3" customWidth="1"/>
    <col min="7637" max="7641" width="11" style="3"/>
    <col min="7642" max="7654" width="4.7109375" style="3" customWidth="1"/>
    <col min="7655" max="7864" width="11" style="3"/>
    <col min="7865" max="7865" width="0.7109375" style="3" customWidth="1"/>
    <col min="7866" max="7866" width="6.5703125" style="3" customWidth="1"/>
    <col min="7867" max="7867" width="13.5703125" style="3" customWidth="1"/>
    <col min="7868" max="7868" width="13.42578125" style="3" customWidth="1"/>
    <col min="7869" max="7870" width="12.5703125" style="3" customWidth="1"/>
    <col min="7871" max="7871" width="14.85546875" style="3" customWidth="1"/>
    <col min="7872" max="7872" width="20.7109375" style="3" customWidth="1"/>
    <col min="7873" max="7873" width="12.5703125" style="3" customWidth="1"/>
    <col min="7874" max="7874" width="13" style="3" customWidth="1"/>
    <col min="7875" max="7875" width="16" style="3" customWidth="1"/>
    <col min="7876" max="7876" width="6.42578125" style="3" customWidth="1"/>
    <col min="7877" max="7877" width="16" style="3" customWidth="1"/>
    <col min="7878" max="7878" width="2.85546875" style="3" customWidth="1"/>
    <col min="7879" max="7879" width="0.85546875" style="3" customWidth="1"/>
    <col min="7880" max="7880" width="11" style="3"/>
    <col min="7881" max="7881" width="15.42578125" style="3" customWidth="1"/>
    <col min="7882" max="7884" width="14.85546875" style="3" customWidth="1"/>
    <col min="7885" max="7885" width="0.7109375" style="3" customWidth="1"/>
    <col min="7886" max="7886" width="11" style="3"/>
    <col min="7887" max="7887" width="15.7109375" style="3" customWidth="1"/>
    <col min="7888" max="7889" width="14.85546875" style="3" customWidth="1"/>
    <col min="7890" max="7890" width="3.28515625" style="3" customWidth="1"/>
    <col min="7891" max="7891" width="20.140625" style="3" customWidth="1"/>
    <col min="7892" max="7892" width="3.28515625" style="3" customWidth="1"/>
    <col min="7893" max="7897" width="11" style="3"/>
    <col min="7898" max="7910" width="4.7109375" style="3" customWidth="1"/>
    <col min="7911" max="8120" width="11" style="3"/>
    <col min="8121" max="8121" width="0.7109375" style="3" customWidth="1"/>
    <col min="8122" max="8122" width="6.5703125" style="3" customWidth="1"/>
    <col min="8123" max="8123" width="13.5703125" style="3" customWidth="1"/>
    <col min="8124" max="8124" width="13.42578125" style="3" customWidth="1"/>
    <col min="8125" max="8126" width="12.5703125" style="3" customWidth="1"/>
    <col min="8127" max="8127" width="14.85546875" style="3" customWidth="1"/>
    <col min="8128" max="8128" width="20.7109375" style="3" customWidth="1"/>
    <col min="8129" max="8129" width="12.5703125" style="3" customWidth="1"/>
    <col min="8130" max="8130" width="13" style="3" customWidth="1"/>
    <col min="8131" max="8131" width="16" style="3" customWidth="1"/>
    <col min="8132" max="8132" width="6.42578125" style="3" customWidth="1"/>
    <col min="8133" max="8133" width="16" style="3" customWidth="1"/>
    <col min="8134" max="8134" width="2.85546875" style="3" customWidth="1"/>
    <col min="8135" max="8135" width="0.85546875" style="3" customWidth="1"/>
    <col min="8136" max="8136" width="11" style="3"/>
    <col min="8137" max="8137" width="15.42578125" style="3" customWidth="1"/>
    <col min="8138" max="8140" width="14.85546875" style="3" customWidth="1"/>
    <col min="8141" max="8141" width="0.7109375" style="3" customWidth="1"/>
    <col min="8142" max="8142" width="11" style="3"/>
    <col min="8143" max="8143" width="15.7109375" style="3" customWidth="1"/>
    <col min="8144" max="8145" width="14.85546875" style="3" customWidth="1"/>
    <col min="8146" max="8146" width="3.28515625" style="3" customWidth="1"/>
    <col min="8147" max="8147" width="20.140625" style="3" customWidth="1"/>
    <col min="8148" max="8148" width="3.28515625" style="3" customWidth="1"/>
    <col min="8149" max="8153" width="11" style="3"/>
    <col min="8154" max="8166" width="4.7109375" style="3" customWidth="1"/>
    <col min="8167" max="8376" width="11" style="3"/>
    <col min="8377" max="8377" width="0.7109375" style="3" customWidth="1"/>
    <col min="8378" max="8378" width="6.5703125" style="3" customWidth="1"/>
    <col min="8379" max="8379" width="13.5703125" style="3" customWidth="1"/>
    <col min="8380" max="8380" width="13.42578125" style="3" customWidth="1"/>
    <col min="8381" max="8382" width="12.5703125" style="3" customWidth="1"/>
    <col min="8383" max="8383" width="14.85546875" style="3" customWidth="1"/>
    <col min="8384" max="8384" width="20.7109375" style="3" customWidth="1"/>
    <col min="8385" max="8385" width="12.5703125" style="3" customWidth="1"/>
    <col min="8386" max="8386" width="13" style="3" customWidth="1"/>
    <col min="8387" max="8387" width="16" style="3" customWidth="1"/>
    <col min="8388" max="8388" width="6.42578125" style="3" customWidth="1"/>
    <col min="8389" max="8389" width="16" style="3" customWidth="1"/>
    <col min="8390" max="8390" width="2.85546875" style="3" customWidth="1"/>
    <col min="8391" max="8391" width="0.85546875" style="3" customWidth="1"/>
    <col min="8392" max="8392" width="11" style="3"/>
    <col min="8393" max="8393" width="15.42578125" style="3" customWidth="1"/>
    <col min="8394" max="8396" width="14.85546875" style="3" customWidth="1"/>
    <col min="8397" max="8397" width="0.7109375" style="3" customWidth="1"/>
    <col min="8398" max="8398" width="11" style="3"/>
    <col min="8399" max="8399" width="15.7109375" style="3" customWidth="1"/>
    <col min="8400" max="8401" width="14.85546875" style="3" customWidth="1"/>
    <col min="8402" max="8402" width="3.28515625" style="3" customWidth="1"/>
    <col min="8403" max="8403" width="20.140625" style="3" customWidth="1"/>
    <col min="8404" max="8404" width="3.28515625" style="3" customWidth="1"/>
    <col min="8405" max="8409" width="11" style="3"/>
    <col min="8410" max="8422" width="4.7109375" style="3" customWidth="1"/>
    <col min="8423" max="8632" width="11" style="3"/>
    <col min="8633" max="8633" width="0.7109375" style="3" customWidth="1"/>
    <col min="8634" max="8634" width="6.5703125" style="3" customWidth="1"/>
    <col min="8635" max="8635" width="13.5703125" style="3" customWidth="1"/>
    <col min="8636" max="8636" width="13.42578125" style="3" customWidth="1"/>
    <col min="8637" max="8638" width="12.5703125" style="3" customWidth="1"/>
    <col min="8639" max="8639" width="14.85546875" style="3" customWidth="1"/>
    <col min="8640" max="8640" width="20.7109375" style="3" customWidth="1"/>
    <col min="8641" max="8641" width="12.5703125" style="3" customWidth="1"/>
    <col min="8642" max="8642" width="13" style="3" customWidth="1"/>
    <col min="8643" max="8643" width="16" style="3" customWidth="1"/>
    <col min="8644" max="8644" width="6.42578125" style="3" customWidth="1"/>
    <col min="8645" max="8645" width="16" style="3" customWidth="1"/>
    <col min="8646" max="8646" width="2.85546875" style="3" customWidth="1"/>
    <col min="8647" max="8647" width="0.85546875" style="3" customWidth="1"/>
    <col min="8648" max="8648" width="11" style="3"/>
    <col min="8649" max="8649" width="15.42578125" style="3" customWidth="1"/>
    <col min="8650" max="8652" width="14.85546875" style="3" customWidth="1"/>
    <col min="8653" max="8653" width="0.7109375" style="3" customWidth="1"/>
    <col min="8654" max="8654" width="11" style="3"/>
    <col min="8655" max="8655" width="15.7109375" style="3" customWidth="1"/>
    <col min="8656" max="8657" width="14.85546875" style="3" customWidth="1"/>
    <col min="8658" max="8658" width="3.28515625" style="3" customWidth="1"/>
    <col min="8659" max="8659" width="20.140625" style="3" customWidth="1"/>
    <col min="8660" max="8660" width="3.28515625" style="3" customWidth="1"/>
    <col min="8661" max="8665" width="11" style="3"/>
    <col min="8666" max="8678" width="4.7109375" style="3" customWidth="1"/>
    <col min="8679" max="8888" width="11" style="3"/>
    <col min="8889" max="8889" width="0.7109375" style="3" customWidth="1"/>
    <col min="8890" max="8890" width="6.5703125" style="3" customWidth="1"/>
    <col min="8891" max="8891" width="13.5703125" style="3" customWidth="1"/>
    <col min="8892" max="8892" width="13.42578125" style="3" customWidth="1"/>
    <col min="8893" max="8894" width="12.5703125" style="3" customWidth="1"/>
    <col min="8895" max="8895" width="14.85546875" style="3" customWidth="1"/>
    <col min="8896" max="8896" width="20.7109375" style="3" customWidth="1"/>
    <col min="8897" max="8897" width="12.5703125" style="3" customWidth="1"/>
    <col min="8898" max="8898" width="13" style="3" customWidth="1"/>
    <col min="8899" max="8899" width="16" style="3" customWidth="1"/>
    <col min="8900" max="8900" width="6.42578125" style="3" customWidth="1"/>
    <col min="8901" max="8901" width="16" style="3" customWidth="1"/>
    <col min="8902" max="8902" width="2.85546875" style="3" customWidth="1"/>
    <col min="8903" max="8903" width="0.85546875" style="3" customWidth="1"/>
    <col min="8904" max="8904" width="11" style="3"/>
    <col min="8905" max="8905" width="15.42578125" style="3" customWidth="1"/>
    <col min="8906" max="8908" width="14.85546875" style="3" customWidth="1"/>
    <col min="8909" max="8909" width="0.7109375" style="3" customWidth="1"/>
    <col min="8910" max="8910" width="11" style="3"/>
    <col min="8911" max="8911" width="15.7109375" style="3" customWidth="1"/>
    <col min="8912" max="8913" width="14.85546875" style="3" customWidth="1"/>
    <col min="8914" max="8914" width="3.28515625" style="3" customWidth="1"/>
    <col min="8915" max="8915" width="20.140625" style="3" customWidth="1"/>
    <col min="8916" max="8916" width="3.28515625" style="3" customWidth="1"/>
    <col min="8917" max="8921" width="11" style="3"/>
    <col min="8922" max="8934" width="4.7109375" style="3" customWidth="1"/>
    <col min="8935" max="9144" width="11" style="3"/>
    <col min="9145" max="9145" width="0.7109375" style="3" customWidth="1"/>
    <col min="9146" max="9146" width="6.5703125" style="3" customWidth="1"/>
    <col min="9147" max="9147" width="13.5703125" style="3" customWidth="1"/>
    <col min="9148" max="9148" width="13.42578125" style="3" customWidth="1"/>
    <col min="9149" max="9150" width="12.5703125" style="3" customWidth="1"/>
    <col min="9151" max="9151" width="14.85546875" style="3" customWidth="1"/>
    <col min="9152" max="9152" width="20.7109375" style="3" customWidth="1"/>
    <col min="9153" max="9153" width="12.5703125" style="3" customWidth="1"/>
    <col min="9154" max="9154" width="13" style="3" customWidth="1"/>
    <col min="9155" max="9155" width="16" style="3" customWidth="1"/>
    <col min="9156" max="9156" width="6.42578125" style="3" customWidth="1"/>
    <col min="9157" max="9157" width="16" style="3" customWidth="1"/>
    <col min="9158" max="9158" width="2.85546875" style="3" customWidth="1"/>
    <col min="9159" max="9159" width="0.85546875" style="3" customWidth="1"/>
    <col min="9160" max="9160" width="11" style="3"/>
    <col min="9161" max="9161" width="15.42578125" style="3" customWidth="1"/>
    <col min="9162" max="9164" width="14.85546875" style="3" customWidth="1"/>
    <col min="9165" max="9165" width="0.7109375" style="3" customWidth="1"/>
    <col min="9166" max="9166" width="11" style="3"/>
    <col min="9167" max="9167" width="15.7109375" style="3" customWidth="1"/>
    <col min="9168" max="9169" width="14.85546875" style="3" customWidth="1"/>
    <col min="9170" max="9170" width="3.28515625" style="3" customWidth="1"/>
    <col min="9171" max="9171" width="20.140625" style="3" customWidth="1"/>
    <col min="9172" max="9172" width="3.28515625" style="3" customWidth="1"/>
    <col min="9173" max="9177" width="11" style="3"/>
    <col min="9178" max="9190" width="4.7109375" style="3" customWidth="1"/>
    <col min="9191" max="9400" width="11" style="3"/>
    <col min="9401" max="9401" width="0.7109375" style="3" customWidth="1"/>
    <col min="9402" max="9402" width="6.5703125" style="3" customWidth="1"/>
    <col min="9403" max="9403" width="13.5703125" style="3" customWidth="1"/>
    <col min="9404" max="9404" width="13.42578125" style="3" customWidth="1"/>
    <col min="9405" max="9406" width="12.5703125" style="3" customWidth="1"/>
    <col min="9407" max="9407" width="14.85546875" style="3" customWidth="1"/>
    <col min="9408" max="9408" width="20.7109375" style="3" customWidth="1"/>
    <col min="9409" max="9409" width="12.5703125" style="3" customWidth="1"/>
    <col min="9410" max="9410" width="13" style="3" customWidth="1"/>
    <col min="9411" max="9411" width="16" style="3" customWidth="1"/>
    <col min="9412" max="9412" width="6.42578125" style="3" customWidth="1"/>
    <col min="9413" max="9413" width="16" style="3" customWidth="1"/>
    <col min="9414" max="9414" width="2.85546875" style="3" customWidth="1"/>
    <col min="9415" max="9415" width="0.85546875" style="3" customWidth="1"/>
    <col min="9416" max="9416" width="11" style="3"/>
    <col min="9417" max="9417" width="15.42578125" style="3" customWidth="1"/>
    <col min="9418" max="9420" width="14.85546875" style="3" customWidth="1"/>
    <col min="9421" max="9421" width="0.7109375" style="3" customWidth="1"/>
    <col min="9422" max="9422" width="11" style="3"/>
    <col min="9423" max="9423" width="15.7109375" style="3" customWidth="1"/>
    <col min="9424" max="9425" width="14.85546875" style="3" customWidth="1"/>
    <col min="9426" max="9426" width="3.28515625" style="3" customWidth="1"/>
    <col min="9427" max="9427" width="20.140625" style="3" customWidth="1"/>
    <col min="9428" max="9428" width="3.28515625" style="3" customWidth="1"/>
    <col min="9429" max="9433" width="11" style="3"/>
    <col min="9434" max="9446" width="4.7109375" style="3" customWidth="1"/>
    <col min="9447" max="9656" width="11" style="3"/>
    <col min="9657" max="9657" width="0.7109375" style="3" customWidth="1"/>
    <col min="9658" max="9658" width="6.5703125" style="3" customWidth="1"/>
    <col min="9659" max="9659" width="13.5703125" style="3" customWidth="1"/>
    <col min="9660" max="9660" width="13.42578125" style="3" customWidth="1"/>
    <col min="9661" max="9662" width="12.5703125" style="3" customWidth="1"/>
    <col min="9663" max="9663" width="14.85546875" style="3" customWidth="1"/>
    <col min="9664" max="9664" width="20.7109375" style="3" customWidth="1"/>
    <col min="9665" max="9665" width="12.5703125" style="3" customWidth="1"/>
    <col min="9666" max="9666" width="13" style="3" customWidth="1"/>
    <col min="9667" max="9667" width="16" style="3" customWidth="1"/>
    <col min="9668" max="9668" width="6.42578125" style="3" customWidth="1"/>
    <col min="9669" max="9669" width="16" style="3" customWidth="1"/>
    <col min="9670" max="9670" width="2.85546875" style="3" customWidth="1"/>
    <col min="9671" max="9671" width="0.85546875" style="3" customWidth="1"/>
    <col min="9672" max="9672" width="11" style="3"/>
    <col min="9673" max="9673" width="15.42578125" style="3" customWidth="1"/>
    <col min="9674" max="9676" width="14.85546875" style="3" customWidth="1"/>
    <col min="9677" max="9677" width="0.7109375" style="3" customWidth="1"/>
    <col min="9678" max="9678" width="11" style="3"/>
    <col min="9679" max="9679" width="15.7109375" style="3" customWidth="1"/>
    <col min="9680" max="9681" width="14.85546875" style="3" customWidth="1"/>
    <col min="9682" max="9682" width="3.28515625" style="3" customWidth="1"/>
    <col min="9683" max="9683" width="20.140625" style="3" customWidth="1"/>
    <col min="9684" max="9684" width="3.28515625" style="3" customWidth="1"/>
    <col min="9685" max="9689" width="11" style="3"/>
    <col min="9690" max="9702" width="4.7109375" style="3" customWidth="1"/>
    <col min="9703" max="9912" width="11" style="3"/>
    <col min="9913" max="9913" width="0.7109375" style="3" customWidth="1"/>
    <col min="9914" max="9914" width="6.5703125" style="3" customWidth="1"/>
    <col min="9915" max="9915" width="13.5703125" style="3" customWidth="1"/>
    <col min="9916" max="9916" width="13.42578125" style="3" customWidth="1"/>
    <col min="9917" max="9918" width="12.5703125" style="3" customWidth="1"/>
    <col min="9919" max="9919" width="14.85546875" style="3" customWidth="1"/>
    <col min="9920" max="9920" width="20.7109375" style="3" customWidth="1"/>
    <col min="9921" max="9921" width="12.5703125" style="3" customWidth="1"/>
    <col min="9922" max="9922" width="13" style="3" customWidth="1"/>
    <col min="9923" max="9923" width="16" style="3" customWidth="1"/>
    <col min="9924" max="9924" width="6.42578125" style="3" customWidth="1"/>
    <col min="9925" max="9925" width="16" style="3" customWidth="1"/>
    <col min="9926" max="9926" width="2.85546875" style="3" customWidth="1"/>
    <col min="9927" max="9927" width="0.85546875" style="3" customWidth="1"/>
    <col min="9928" max="9928" width="11" style="3"/>
    <col min="9929" max="9929" width="15.42578125" style="3" customWidth="1"/>
    <col min="9930" max="9932" width="14.85546875" style="3" customWidth="1"/>
    <col min="9933" max="9933" width="0.7109375" style="3" customWidth="1"/>
    <col min="9934" max="9934" width="11" style="3"/>
    <col min="9935" max="9935" width="15.7109375" style="3" customWidth="1"/>
    <col min="9936" max="9937" width="14.85546875" style="3" customWidth="1"/>
    <col min="9938" max="9938" width="3.28515625" style="3" customWidth="1"/>
    <col min="9939" max="9939" width="20.140625" style="3" customWidth="1"/>
    <col min="9940" max="9940" width="3.28515625" style="3" customWidth="1"/>
    <col min="9941" max="9945" width="11" style="3"/>
    <col min="9946" max="9958" width="4.7109375" style="3" customWidth="1"/>
    <col min="9959" max="10168" width="11" style="3"/>
    <col min="10169" max="10169" width="0.7109375" style="3" customWidth="1"/>
    <col min="10170" max="10170" width="6.5703125" style="3" customWidth="1"/>
    <col min="10171" max="10171" width="13.5703125" style="3" customWidth="1"/>
    <col min="10172" max="10172" width="13.42578125" style="3" customWidth="1"/>
    <col min="10173" max="10174" width="12.5703125" style="3" customWidth="1"/>
    <col min="10175" max="10175" width="14.85546875" style="3" customWidth="1"/>
    <col min="10176" max="10176" width="20.7109375" style="3" customWidth="1"/>
    <col min="10177" max="10177" width="12.5703125" style="3" customWidth="1"/>
    <col min="10178" max="10178" width="13" style="3" customWidth="1"/>
    <col min="10179" max="10179" width="16" style="3" customWidth="1"/>
    <col min="10180" max="10180" width="6.42578125" style="3" customWidth="1"/>
    <col min="10181" max="10181" width="16" style="3" customWidth="1"/>
    <col min="10182" max="10182" width="2.85546875" style="3" customWidth="1"/>
    <col min="10183" max="10183" width="0.85546875" style="3" customWidth="1"/>
    <col min="10184" max="10184" width="11" style="3"/>
    <col min="10185" max="10185" width="15.42578125" style="3" customWidth="1"/>
    <col min="10186" max="10188" width="14.85546875" style="3" customWidth="1"/>
    <col min="10189" max="10189" width="0.7109375" style="3" customWidth="1"/>
    <col min="10190" max="10190" width="11" style="3"/>
    <col min="10191" max="10191" width="15.7109375" style="3" customWidth="1"/>
    <col min="10192" max="10193" width="14.85546875" style="3" customWidth="1"/>
    <col min="10194" max="10194" width="3.28515625" style="3" customWidth="1"/>
    <col min="10195" max="10195" width="20.140625" style="3" customWidth="1"/>
    <col min="10196" max="10196" width="3.28515625" style="3" customWidth="1"/>
    <col min="10197" max="10201" width="11" style="3"/>
    <col min="10202" max="10214" width="4.7109375" style="3" customWidth="1"/>
    <col min="10215" max="10424" width="11" style="3"/>
    <col min="10425" max="10425" width="0.7109375" style="3" customWidth="1"/>
    <col min="10426" max="10426" width="6.5703125" style="3" customWidth="1"/>
    <col min="10427" max="10427" width="13.5703125" style="3" customWidth="1"/>
    <col min="10428" max="10428" width="13.42578125" style="3" customWidth="1"/>
    <col min="10429" max="10430" width="12.5703125" style="3" customWidth="1"/>
    <col min="10431" max="10431" width="14.85546875" style="3" customWidth="1"/>
    <col min="10432" max="10432" width="20.7109375" style="3" customWidth="1"/>
    <col min="10433" max="10433" width="12.5703125" style="3" customWidth="1"/>
    <col min="10434" max="10434" width="13" style="3" customWidth="1"/>
    <col min="10435" max="10435" width="16" style="3" customWidth="1"/>
    <col min="10436" max="10436" width="6.42578125" style="3" customWidth="1"/>
    <col min="10437" max="10437" width="16" style="3" customWidth="1"/>
    <col min="10438" max="10438" width="2.85546875" style="3" customWidth="1"/>
    <col min="10439" max="10439" width="0.85546875" style="3" customWidth="1"/>
    <col min="10440" max="10440" width="11" style="3"/>
    <col min="10441" max="10441" width="15.42578125" style="3" customWidth="1"/>
    <col min="10442" max="10444" width="14.85546875" style="3" customWidth="1"/>
    <col min="10445" max="10445" width="0.7109375" style="3" customWidth="1"/>
    <col min="10446" max="10446" width="11" style="3"/>
    <col min="10447" max="10447" width="15.7109375" style="3" customWidth="1"/>
    <col min="10448" max="10449" width="14.85546875" style="3" customWidth="1"/>
    <col min="10450" max="10450" width="3.28515625" style="3" customWidth="1"/>
    <col min="10451" max="10451" width="20.140625" style="3" customWidth="1"/>
    <col min="10452" max="10452" width="3.28515625" style="3" customWidth="1"/>
    <col min="10453" max="10457" width="11" style="3"/>
    <col min="10458" max="10470" width="4.7109375" style="3" customWidth="1"/>
    <col min="10471" max="10680" width="11" style="3"/>
    <col min="10681" max="10681" width="0.7109375" style="3" customWidth="1"/>
    <col min="10682" max="10682" width="6.5703125" style="3" customWidth="1"/>
    <col min="10683" max="10683" width="13.5703125" style="3" customWidth="1"/>
    <col min="10684" max="10684" width="13.42578125" style="3" customWidth="1"/>
    <col min="10685" max="10686" width="12.5703125" style="3" customWidth="1"/>
    <col min="10687" max="10687" width="14.85546875" style="3" customWidth="1"/>
    <col min="10688" max="10688" width="20.7109375" style="3" customWidth="1"/>
    <col min="10689" max="10689" width="12.5703125" style="3" customWidth="1"/>
    <col min="10690" max="10690" width="13" style="3" customWidth="1"/>
    <col min="10691" max="10691" width="16" style="3" customWidth="1"/>
    <col min="10692" max="10692" width="6.42578125" style="3" customWidth="1"/>
    <col min="10693" max="10693" width="16" style="3" customWidth="1"/>
    <col min="10694" max="10694" width="2.85546875" style="3" customWidth="1"/>
    <col min="10695" max="10695" width="0.85546875" style="3" customWidth="1"/>
    <col min="10696" max="10696" width="11" style="3"/>
    <col min="10697" max="10697" width="15.42578125" style="3" customWidth="1"/>
    <col min="10698" max="10700" width="14.85546875" style="3" customWidth="1"/>
    <col min="10701" max="10701" width="0.7109375" style="3" customWidth="1"/>
    <col min="10702" max="10702" width="11" style="3"/>
    <col min="10703" max="10703" width="15.7109375" style="3" customWidth="1"/>
    <col min="10704" max="10705" width="14.85546875" style="3" customWidth="1"/>
    <col min="10706" max="10706" width="3.28515625" style="3" customWidth="1"/>
    <col min="10707" max="10707" width="20.140625" style="3" customWidth="1"/>
    <col min="10708" max="10708" width="3.28515625" style="3" customWidth="1"/>
    <col min="10709" max="10713" width="11" style="3"/>
    <col min="10714" max="10726" width="4.7109375" style="3" customWidth="1"/>
    <col min="10727" max="10936" width="11" style="3"/>
    <col min="10937" max="10937" width="0.7109375" style="3" customWidth="1"/>
    <col min="10938" max="10938" width="6.5703125" style="3" customWidth="1"/>
    <col min="10939" max="10939" width="13.5703125" style="3" customWidth="1"/>
    <col min="10940" max="10940" width="13.42578125" style="3" customWidth="1"/>
    <col min="10941" max="10942" width="12.5703125" style="3" customWidth="1"/>
    <col min="10943" max="10943" width="14.85546875" style="3" customWidth="1"/>
    <col min="10944" max="10944" width="20.7109375" style="3" customWidth="1"/>
    <col min="10945" max="10945" width="12.5703125" style="3" customWidth="1"/>
    <col min="10946" max="10946" width="13" style="3" customWidth="1"/>
    <col min="10947" max="10947" width="16" style="3" customWidth="1"/>
    <col min="10948" max="10948" width="6.42578125" style="3" customWidth="1"/>
    <col min="10949" max="10949" width="16" style="3" customWidth="1"/>
    <col min="10950" max="10950" width="2.85546875" style="3" customWidth="1"/>
    <col min="10951" max="10951" width="0.85546875" style="3" customWidth="1"/>
    <col min="10952" max="10952" width="11" style="3"/>
    <col min="10953" max="10953" width="15.42578125" style="3" customWidth="1"/>
    <col min="10954" max="10956" width="14.85546875" style="3" customWidth="1"/>
    <col min="10957" max="10957" width="0.7109375" style="3" customWidth="1"/>
    <col min="10958" max="10958" width="11" style="3"/>
    <col min="10959" max="10959" width="15.7109375" style="3" customWidth="1"/>
    <col min="10960" max="10961" width="14.85546875" style="3" customWidth="1"/>
    <col min="10962" max="10962" width="3.28515625" style="3" customWidth="1"/>
    <col min="10963" max="10963" width="20.140625" style="3" customWidth="1"/>
    <col min="10964" max="10964" width="3.28515625" style="3" customWidth="1"/>
    <col min="10965" max="10969" width="11" style="3"/>
    <col min="10970" max="10982" width="4.7109375" style="3" customWidth="1"/>
    <col min="10983" max="11192" width="11" style="3"/>
    <col min="11193" max="11193" width="0.7109375" style="3" customWidth="1"/>
    <col min="11194" max="11194" width="6.5703125" style="3" customWidth="1"/>
    <col min="11195" max="11195" width="13.5703125" style="3" customWidth="1"/>
    <col min="11196" max="11196" width="13.42578125" style="3" customWidth="1"/>
    <col min="11197" max="11198" width="12.5703125" style="3" customWidth="1"/>
    <col min="11199" max="11199" width="14.85546875" style="3" customWidth="1"/>
    <col min="11200" max="11200" width="20.7109375" style="3" customWidth="1"/>
    <col min="11201" max="11201" width="12.5703125" style="3" customWidth="1"/>
    <col min="11202" max="11202" width="13" style="3" customWidth="1"/>
    <col min="11203" max="11203" width="16" style="3" customWidth="1"/>
    <col min="11204" max="11204" width="6.42578125" style="3" customWidth="1"/>
    <col min="11205" max="11205" width="16" style="3" customWidth="1"/>
    <col min="11206" max="11206" width="2.85546875" style="3" customWidth="1"/>
    <col min="11207" max="11207" width="0.85546875" style="3" customWidth="1"/>
    <col min="11208" max="11208" width="11" style="3"/>
    <col min="11209" max="11209" width="15.42578125" style="3" customWidth="1"/>
    <col min="11210" max="11212" width="14.85546875" style="3" customWidth="1"/>
    <col min="11213" max="11213" width="0.7109375" style="3" customWidth="1"/>
    <col min="11214" max="11214" width="11" style="3"/>
    <col min="11215" max="11215" width="15.7109375" style="3" customWidth="1"/>
    <col min="11216" max="11217" width="14.85546875" style="3" customWidth="1"/>
    <col min="11218" max="11218" width="3.28515625" style="3" customWidth="1"/>
    <col min="11219" max="11219" width="20.140625" style="3" customWidth="1"/>
    <col min="11220" max="11220" width="3.28515625" style="3" customWidth="1"/>
    <col min="11221" max="11225" width="11" style="3"/>
    <col min="11226" max="11238" width="4.7109375" style="3" customWidth="1"/>
    <col min="11239" max="11448" width="11" style="3"/>
    <col min="11449" max="11449" width="0.7109375" style="3" customWidth="1"/>
    <col min="11450" max="11450" width="6.5703125" style="3" customWidth="1"/>
    <col min="11451" max="11451" width="13.5703125" style="3" customWidth="1"/>
    <col min="11452" max="11452" width="13.42578125" style="3" customWidth="1"/>
    <col min="11453" max="11454" width="12.5703125" style="3" customWidth="1"/>
    <col min="11455" max="11455" width="14.85546875" style="3" customWidth="1"/>
    <col min="11456" max="11456" width="20.7109375" style="3" customWidth="1"/>
    <col min="11457" max="11457" width="12.5703125" style="3" customWidth="1"/>
    <col min="11458" max="11458" width="13" style="3" customWidth="1"/>
    <col min="11459" max="11459" width="16" style="3" customWidth="1"/>
    <col min="11460" max="11460" width="6.42578125" style="3" customWidth="1"/>
    <col min="11461" max="11461" width="16" style="3" customWidth="1"/>
    <col min="11462" max="11462" width="2.85546875" style="3" customWidth="1"/>
    <col min="11463" max="11463" width="0.85546875" style="3" customWidth="1"/>
    <col min="11464" max="11464" width="11" style="3"/>
    <col min="11465" max="11465" width="15.42578125" style="3" customWidth="1"/>
    <col min="11466" max="11468" width="14.85546875" style="3" customWidth="1"/>
    <col min="11469" max="11469" width="0.7109375" style="3" customWidth="1"/>
    <col min="11470" max="11470" width="11" style="3"/>
    <col min="11471" max="11471" width="15.7109375" style="3" customWidth="1"/>
    <col min="11472" max="11473" width="14.85546875" style="3" customWidth="1"/>
    <col min="11474" max="11474" width="3.28515625" style="3" customWidth="1"/>
    <col min="11475" max="11475" width="20.140625" style="3" customWidth="1"/>
    <col min="11476" max="11476" width="3.28515625" style="3" customWidth="1"/>
    <col min="11477" max="11481" width="11" style="3"/>
    <col min="11482" max="11494" width="4.7109375" style="3" customWidth="1"/>
    <col min="11495" max="11704" width="11" style="3"/>
    <col min="11705" max="11705" width="0.7109375" style="3" customWidth="1"/>
    <col min="11706" max="11706" width="6.5703125" style="3" customWidth="1"/>
    <col min="11707" max="11707" width="13.5703125" style="3" customWidth="1"/>
    <col min="11708" max="11708" width="13.42578125" style="3" customWidth="1"/>
    <col min="11709" max="11710" width="12.5703125" style="3" customWidth="1"/>
    <col min="11711" max="11711" width="14.85546875" style="3" customWidth="1"/>
    <col min="11712" max="11712" width="20.7109375" style="3" customWidth="1"/>
    <col min="11713" max="11713" width="12.5703125" style="3" customWidth="1"/>
    <col min="11714" max="11714" width="13" style="3" customWidth="1"/>
    <col min="11715" max="11715" width="16" style="3" customWidth="1"/>
    <col min="11716" max="11716" width="6.42578125" style="3" customWidth="1"/>
    <col min="11717" max="11717" width="16" style="3" customWidth="1"/>
    <col min="11718" max="11718" width="2.85546875" style="3" customWidth="1"/>
    <col min="11719" max="11719" width="0.85546875" style="3" customWidth="1"/>
    <col min="11720" max="11720" width="11" style="3"/>
    <col min="11721" max="11721" width="15.42578125" style="3" customWidth="1"/>
    <col min="11722" max="11724" width="14.85546875" style="3" customWidth="1"/>
    <col min="11725" max="11725" width="0.7109375" style="3" customWidth="1"/>
    <col min="11726" max="11726" width="11" style="3"/>
    <col min="11727" max="11727" width="15.7109375" style="3" customWidth="1"/>
    <col min="11728" max="11729" width="14.85546875" style="3" customWidth="1"/>
    <col min="11730" max="11730" width="3.28515625" style="3" customWidth="1"/>
    <col min="11731" max="11731" width="20.140625" style="3" customWidth="1"/>
    <col min="11732" max="11732" width="3.28515625" style="3" customWidth="1"/>
    <col min="11733" max="11737" width="11" style="3"/>
    <col min="11738" max="11750" width="4.7109375" style="3" customWidth="1"/>
    <col min="11751" max="11960" width="11" style="3"/>
    <col min="11961" max="11961" width="0.7109375" style="3" customWidth="1"/>
    <col min="11962" max="11962" width="6.5703125" style="3" customWidth="1"/>
    <col min="11963" max="11963" width="13.5703125" style="3" customWidth="1"/>
    <col min="11964" max="11964" width="13.42578125" style="3" customWidth="1"/>
    <col min="11965" max="11966" width="12.5703125" style="3" customWidth="1"/>
    <col min="11967" max="11967" width="14.85546875" style="3" customWidth="1"/>
    <col min="11968" max="11968" width="20.7109375" style="3" customWidth="1"/>
    <col min="11969" max="11969" width="12.5703125" style="3" customWidth="1"/>
    <col min="11970" max="11970" width="13" style="3" customWidth="1"/>
    <col min="11971" max="11971" width="16" style="3" customWidth="1"/>
    <col min="11972" max="11972" width="6.42578125" style="3" customWidth="1"/>
    <col min="11973" max="11973" width="16" style="3" customWidth="1"/>
    <col min="11974" max="11974" width="2.85546875" style="3" customWidth="1"/>
    <col min="11975" max="11975" width="0.85546875" style="3" customWidth="1"/>
    <col min="11976" max="11976" width="11" style="3"/>
    <col min="11977" max="11977" width="15.42578125" style="3" customWidth="1"/>
    <col min="11978" max="11980" width="14.85546875" style="3" customWidth="1"/>
    <col min="11981" max="11981" width="0.7109375" style="3" customWidth="1"/>
    <col min="11982" max="11982" width="11" style="3"/>
    <col min="11983" max="11983" width="15.7109375" style="3" customWidth="1"/>
    <col min="11984" max="11985" width="14.85546875" style="3" customWidth="1"/>
    <col min="11986" max="11986" width="3.28515625" style="3" customWidth="1"/>
    <col min="11987" max="11987" width="20.140625" style="3" customWidth="1"/>
    <col min="11988" max="11988" width="3.28515625" style="3" customWidth="1"/>
    <col min="11989" max="11993" width="11" style="3"/>
    <col min="11994" max="12006" width="4.7109375" style="3" customWidth="1"/>
    <col min="12007" max="12216" width="11" style="3"/>
    <col min="12217" max="12217" width="0.7109375" style="3" customWidth="1"/>
    <col min="12218" max="12218" width="6.5703125" style="3" customWidth="1"/>
    <col min="12219" max="12219" width="13.5703125" style="3" customWidth="1"/>
    <col min="12220" max="12220" width="13.42578125" style="3" customWidth="1"/>
    <col min="12221" max="12222" width="12.5703125" style="3" customWidth="1"/>
    <col min="12223" max="12223" width="14.85546875" style="3" customWidth="1"/>
    <col min="12224" max="12224" width="20.7109375" style="3" customWidth="1"/>
    <col min="12225" max="12225" width="12.5703125" style="3" customWidth="1"/>
    <col min="12226" max="12226" width="13" style="3" customWidth="1"/>
    <col min="12227" max="12227" width="16" style="3" customWidth="1"/>
    <col min="12228" max="12228" width="6.42578125" style="3" customWidth="1"/>
    <col min="12229" max="12229" width="16" style="3" customWidth="1"/>
    <col min="12230" max="12230" width="2.85546875" style="3" customWidth="1"/>
    <col min="12231" max="12231" width="0.85546875" style="3" customWidth="1"/>
    <col min="12232" max="12232" width="11" style="3"/>
    <col min="12233" max="12233" width="15.42578125" style="3" customWidth="1"/>
    <col min="12234" max="12236" width="14.85546875" style="3" customWidth="1"/>
    <col min="12237" max="12237" width="0.7109375" style="3" customWidth="1"/>
    <col min="12238" max="12238" width="11" style="3"/>
    <col min="12239" max="12239" width="15.7109375" style="3" customWidth="1"/>
    <col min="12240" max="12241" width="14.85546875" style="3" customWidth="1"/>
    <col min="12242" max="12242" width="3.28515625" style="3" customWidth="1"/>
    <col min="12243" max="12243" width="20.140625" style="3" customWidth="1"/>
    <col min="12244" max="12244" width="3.28515625" style="3" customWidth="1"/>
    <col min="12245" max="12249" width="11" style="3"/>
    <col min="12250" max="12262" width="4.7109375" style="3" customWidth="1"/>
    <col min="12263" max="12472" width="11" style="3"/>
    <col min="12473" max="12473" width="0.7109375" style="3" customWidth="1"/>
    <col min="12474" max="12474" width="6.5703125" style="3" customWidth="1"/>
    <col min="12475" max="12475" width="13.5703125" style="3" customWidth="1"/>
    <col min="12476" max="12476" width="13.42578125" style="3" customWidth="1"/>
    <col min="12477" max="12478" width="12.5703125" style="3" customWidth="1"/>
    <col min="12479" max="12479" width="14.85546875" style="3" customWidth="1"/>
    <col min="12480" max="12480" width="20.7109375" style="3" customWidth="1"/>
    <col min="12481" max="12481" width="12.5703125" style="3" customWidth="1"/>
    <col min="12482" max="12482" width="13" style="3" customWidth="1"/>
    <col min="12483" max="12483" width="16" style="3" customWidth="1"/>
    <col min="12484" max="12484" width="6.42578125" style="3" customWidth="1"/>
    <col min="12485" max="12485" width="16" style="3" customWidth="1"/>
    <col min="12486" max="12486" width="2.85546875" style="3" customWidth="1"/>
    <col min="12487" max="12487" width="0.85546875" style="3" customWidth="1"/>
    <col min="12488" max="12488" width="11" style="3"/>
    <col min="12489" max="12489" width="15.42578125" style="3" customWidth="1"/>
    <col min="12490" max="12492" width="14.85546875" style="3" customWidth="1"/>
    <col min="12493" max="12493" width="0.7109375" style="3" customWidth="1"/>
    <col min="12494" max="12494" width="11" style="3"/>
    <col min="12495" max="12495" width="15.7109375" style="3" customWidth="1"/>
    <col min="12496" max="12497" width="14.85546875" style="3" customWidth="1"/>
    <col min="12498" max="12498" width="3.28515625" style="3" customWidth="1"/>
    <col min="12499" max="12499" width="20.140625" style="3" customWidth="1"/>
    <col min="12500" max="12500" width="3.28515625" style="3" customWidth="1"/>
    <col min="12501" max="12505" width="11" style="3"/>
    <col min="12506" max="12518" width="4.7109375" style="3" customWidth="1"/>
    <col min="12519" max="12728" width="11" style="3"/>
    <col min="12729" max="12729" width="0.7109375" style="3" customWidth="1"/>
    <col min="12730" max="12730" width="6.5703125" style="3" customWidth="1"/>
    <col min="12731" max="12731" width="13.5703125" style="3" customWidth="1"/>
    <col min="12732" max="12732" width="13.42578125" style="3" customWidth="1"/>
    <col min="12733" max="12734" width="12.5703125" style="3" customWidth="1"/>
    <col min="12735" max="12735" width="14.85546875" style="3" customWidth="1"/>
    <col min="12736" max="12736" width="20.7109375" style="3" customWidth="1"/>
    <col min="12737" max="12737" width="12.5703125" style="3" customWidth="1"/>
    <col min="12738" max="12738" width="13" style="3" customWidth="1"/>
    <col min="12739" max="12739" width="16" style="3" customWidth="1"/>
    <col min="12740" max="12740" width="6.42578125" style="3" customWidth="1"/>
    <col min="12741" max="12741" width="16" style="3" customWidth="1"/>
    <col min="12742" max="12742" width="2.85546875" style="3" customWidth="1"/>
    <col min="12743" max="12743" width="0.85546875" style="3" customWidth="1"/>
    <col min="12744" max="12744" width="11" style="3"/>
    <col min="12745" max="12745" width="15.42578125" style="3" customWidth="1"/>
    <col min="12746" max="12748" width="14.85546875" style="3" customWidth="1"/>
    <col min="12749" max="12749" width="0.7109375" style="3" customWidth="1"/>
    <col min="12750" max="12750" width="11" style="3"/>
    <col min="12751" max="12751" width="15.7109375" style="3" customWidth="1"/>
    <col min="12752" max="12753" width="14.85546875" style="3" customWidth="1"/>
    <col min="12754" max="12754" width="3.28515625" style="3" customWidth="1"/>
    <col min="12755" max="12755" width="20.140625" style="3" customWidth="1"/>
    <col min="12756" max="12756" width="3.28515625" style="3" customWidth="1"/>
    <col min="12757" max="12761" width="11" style="3"/>
    <col min="12762" max="12774" width="4.7109375" style="3" customWidth="1"/>
    <col min="12775" max="12984" width="11" style="3"/>
    <col min="12985" max="12985" width="0.7109375" style="3" customWidth="1"/>
    <col min="12986" max="12986" width="6.5703125" style="3" customWidth="1"/>
    <col min="12987" max="12987" width="13.5703125" style="3" customWidth="1"/>
    <col min="12988" max="12988" width="13.42578125" style="3" customWidth="1"/>
    <col min="12989" max="12990" width="12.5703125" style="3" customWidth="1"/>
    <col min="12991" max="12991" width="14.85546875" style="3" customWidth="1"/>
    <col min="12992" max="12992" width="20.7109375" style="3" customWidth="1"/>
    <col min="12993" max="12993" width="12.5703125" style="3" customWidth="1"/>
    <col min="12994" max="12994" width="13" style="3" customWidth="1"/>
    <col min="12995" max="12995" width="16" style="3" customWidth="1"/>
    <col min="12996" max="12996" width="6.42578125" style="3" customWidth="1"/>
    <col min="12997" max="12997" width="16" style="3" customWidth="1"/>
    <col min="12998" max="12998" width="2.85546875" style="3" customWidth="1"/>
    <col min="12999" max="12999" width="0.85546875" style="3" customWidth="1"/>
    <col min="13000" max="13000" width="11" style="3"/>
    <col min="13001" max="13001" width="15.42578125" style="3" customWidth="1"/>
    <col min="13002" max="13004" width="14.85546875" style="3" customWidth="1"/>
    <col min="13005" max="13005" width="0.7109375" style="3" customWidth="1"/>
    <col min="13006" max="13006" width="11" style="3"/>
    <col min="13007" max="13007" width="15.7109375" style="3" customWidth="1"/>
    <col min="13008" max="13009" width="14.85546875" style="3" customWidth="1"/>
    <col min="13010" max="13010" width="3.28515625" style="3" customWidth="1"/>
    <col min="13011" max="13011" width="20.140625" style="3" customWidth="1"/>
    <col min="13012" max="13012" width="3.28515625" style="3" customWidth="1"/>
    <col min="13013" max="13017" width="11" style="3"/>
    <col min="13018" max="13030" width="4.7109375" style="3" customWidth="1"/>
    <col min="13031" max="13240" width="11" style="3"/>
    <col min="13241" max="13241" width="0.7109375" style="3" customWidth="1"/>
    <col min="13242" max="13242" width="6.5703125" style="3" customWidth="1"/>
    <col min="13243" max="13243" width="13.5703125" style="3" customWidth="1"/>
    <col min="13244" max="13244" width="13.42578125" style="3" customWidth="1"/>
    <col min="13245" max="13246" width="12.5703125" style="3" customWidth="1"/>
    <col min="13247" max="13247" width="14.85546875" style="3" customWidth="1"/>
    <col min="13248" max="13248" width="20.7109375" style="3" customWidth="1"/>
    <col min="13249" max="13249" width="12.5703125" style="3" customWidth="1"/>
    <col min="13250" max="13250" width="13" style="3" customWidth="1"/>
    <col min="13251" max="13251" width="16" style="3" customWidth="1"/>
    <col min="13252" max="13252" width="6.42578125" style="3" customWidth="1"/>
    <col min="13253" max="13253" width="16" style="3" customWidth="1"/>
    <col min="13254" max="13254" width="2.85546875" style="3" customWidth="1"/>
    <col min="13255" max="13255" width="0.85546875" style="3" customWidth="1"/>
    <col min="13256" max="13256" width="11" style="3"/>
    <col min="13257" max="13257" width="15.42578125" style="3" customWidth="1"/>
    <col min="13258" max="13260" width="14.85546875" style="3" customWidth="1"/>
    <col min="13261" max="13261" width="0.7109375" style="3" customWidth="1"/>
    <col min="13262" max="13262" width="11" style="3"/>
    <col min="13263" max="13263" width="15.7109375" style="3" customWidth="1"/>
    <col min="13264" max="13265" width="14.85546875" style="3" customWidth="1"/>
    <col min="13266" max="13266" width="3.28515625" style="3" customWidth="1"/>
    <col min="13267" max="13267" width="20.140625" style="3" customWidth="1"/>
    <col min="13268" max="13268" width="3.28515625" style="3" customWidth="1"/>
    <col min="13269" max="13273" width="11" style="3"/>
    <col min="13274" max="13286" width="4.7109375" style="3" customWidth="1"/>
    <col min="13287" max="13496" width="11" style="3"/>
    <col min="13497" max="13497" width="0.7109375" style="3" customWidth="1"/>
    <col min="13498" max="13498" width="6.5703125" style="3" customWidth="1"/>
    <col min="13499" max="13499" width="13.5703125" style="3" customWidth="1"/>
    <col min="13500" max="13500" width="13.42578125" style="3" customWidth="1"/>
    <col min="13501" max="13502" width="12.5703125" style="3" customWidth="1"/>
    <col min="13503" max="13503" width="14.85546875" style="3" customWidth="1"/>
    <col min="13504" max="13504" width="20.7109375" style="3" customWidth="1"/>
    <col min="13505" max="13505" width="12.5703125" style="3" customWidth="1"/>
    <col min="13506" max="13506" width="13" style="3" customWidth="1"/>
    <col min="13507" max="13507" width="16" style="3" customWidth="1"/>
    <col min="13508" max="13508" width="6.42578125" style="3" customWidth="1"/>
    <col min="13509" max="13509" width="16" style="3" customWidth="1"/>
    <col min="13510" max="13510" width="2.85546875" style="3" customWidth="1"/>
    <col min="13511" max="13511" width="0.85546875" style="3" customWidth="1"/>
    <col min="13512" max="13512" width="11" style="3"/>
    <col min="13513" max="13513" width="15.42578125" style="3" customWidth="1"/>
    <col min="13514" max="13516" width="14.85546875" style="3" customWidth="1"/>
    <col min="13517" max="13517" width="0.7109375" style="3" customWidth="1"/>
    <col min="13518" max="13518" width="11" style="3"/>
    <col min="13519" max="13519" width="15.7109375" style="3" customWidth="1"/>
    <col min="13520" max="13521" width="14.85546875" style="3" customWidth="1"/>
    <col min="13522" max="13522" width="3.28515625" style="3" customWidth="1"/>
    <col min="13523" max="13523" width="20.140625" style="3" customWidth="1"/>
    <col min="13524" max="13524" width="3.28515625" style="3" customWidth="1"/>
    <col min="13525" max="13529" width="11" style="3"/>
    <col min="13530" max="13542" width="4.7109375" style="3" customWidth="1"/>
    <col min="13543" max="13752" width="11" style="3"/>
    <col min="13753" max="13753" width="0.7109375" style="3" customWidth="1"/>
    <col min="13754" max="13754" width="6.5703125" style="3" customWidth="1"/>
    <col min="13755" max="13755" width="13.5703125" style="3" customWidth="1"/>
    <col min="13756" max="13756" width="13.42578125" style="3" customWidth="1"/>
    <col min="13757" max="13758" width="12.5703125" style="3" customWidth="1"/>
    <col min="13759" max="13759" width="14.85546875" style="3" customWidth="1"/>
    <col min="13760" max="13760" width="20.7109375" style="3" customWidth="1"/>
    <col min="13761" max="13761" width="12.5703125" style="3" customWidth="1"/>
    <col min="13762" max="13762" width="13" style="3" customWidth="1"/>
    <col min="13763" max="13763" width="16" style="3" customWidth="1"/>
    <col min="13764" max="13764" width="6.42578125" style="3" customWidth="1"/>
    <col min="13765" max="13765" width="16" style="3" customWidth="1"/>
    <col min="13766" max="13766" width="2.85546875" style="3" customWidth="1"/>
    <col min="13767" max="13767" width="0.85546875" style="3" customWidth="1"/>
    <col min="13768" max="13768" width="11" style="3"/>
    <col min="13769" max="13769" width="15.42578125" style="3" customWidth="1"/>
    <col min="13770" max="13772" width="14.85546875" style="3" customWidth="1"/>
    <col min="13773" max="13773" width="0.7109375" style="3" customWidth="1"/>
    <col min="13774" max="13774" width="11" style="3"/>
    <col min="13775" max="13775" width="15.7109375" style="3" customWidth="1"/>
    <col min="13776" max="13777" width="14.85546875" style="3" customWidth="1"/>
    <col min="13778" max="13778" width="3.28515625" style="3" customWidth="1"/>
    <col min="13779" max="13779" width="20.140625" style="3" customWidth="1"/>
    <col min="13780" max="13780" width="3.28515625" style="3" customWidth="1"/>
    <col min="13781" max="13785" width="11" style="3"/>
    <col min="13786" max="13798" width="4.7109375" style="3" customWidth="1"/>
    <col min="13799" max="14008" width="11" style="3"/>
    <col min="14009" max="14009" width="0.7109375" style="3" customWidth="1"/>
    <col min="14010" max="14010" width="6.5703125" style="3" customWidth="1"/>
    <col min="14011" max="14011" width="13.5703125" style="3" customWidth="1"/>
    <col min="14012" max="14012" width="13.42578125" style="3" customWidth="1"/>
    <col min="14013" max="14014" width="12.5703125" style="3" customWidth="1"/>
    <col min="14015" max="14015" width="14.85546875" style="3" customWidth="1"/>
    <col min="14016" max="14016" width="20.7109375" style="3" customWidth="1"/>
    <col min="14017" max="14017" width="12.5703125" style="3" customWidth="1"/>
    <col min="14018" max="14018" width="13" style="3" customWidth="1"/>
    <col min="14019" max="14019" width="16" style="3" customWidth="1"/>
    <col min="14020" max="14020" width="6.42578125" style="3" customWidth="1"/>
    <col min="14021" max="14021" width="16" style="3" customWidth="1"/>
    <col min="14022" max="14022" width="2.85546875" style="3" customWidth="1"/>
    <col min="14023" max="14023" width="0.85546875" style="3" customWidth="1"/>
    <col min="14024" max="14024" width="11" style="3"/>
    <col min="14025" max="14025" width="15.42578125" style="3" customWidth="1"/>
    <col min="14026" max="14028" width="14.85546875" style="3" customWidth="1"/>
    <col min="14029" max="14029" width="0.7109375" style="3" customWidth="1"/>
    <col min="14030" max="14030" width="11" style="3"/>
    <col min="14031" max="14031" width="15.7109375" style="3" customWidth="1"/>
    <col min="14032" max="14033" width="14.85546875" style="3" customWidth="1"/>
    <col min="14034" max="14034" width="3.28515625" style="3" customWidth="1"/>
    <col min="14035" max="14035" width="20.140625" style="3" customWidth="1"/>
    <col min="14036" max="14036" width="3.28515625" style="3" customWidth="1"/>
    <col min="14037" max="14041" width="11" style="3"/>
    <col min="14042" max="14054" width="4.7109375" style="3" customWidth="1"/>
    <col min="14055" max="14264" width="11" style="3"/>
    <col min="14265" max="14265" width="0.7109375" style="3" customWidth="1"/>
    <col min="14266" max="14266" width="6.5703125" style="3" customWidth="1"/>
    <col min="14267" max="14267" width="13.5703125" style="3" customWidth="1"/>
    <col min="14268" max="14268" width="13.42578125" style="3" customWidth="1"/>
    <col min="14269" max="14270" width="12.5703125" style="3" customWidth="1"/>
    <col min="14271" max="14271" width="14.85546875" style="3" customWidth="1"/>
    <col min="14272" max="14272" width="20.7109375" style="3" customWidth="1"/>
    <col min="14273" max="14273" width="12.5703125" style="3" customWidth="1"/>
    <col min="14274" max="14274" width="13" style="3" customWidth="1"/>
    <col min="14275" max="14275" width="16" style="3" customWidth="1"/>
    <col min="14276" max="14276" width="6.42578125" style="3" customWidth="1"/>
    <col min="14277" max="14277" width="16" style="3" customWidth="1"/>
    <col min="14278" max="14278" width="2.85546875" style="3" customWidth="1"/>
    <col min="14279" max="14279" width="0.85546875" style="3" customWidth="1"/>
    <col min="14280" max="14280" width="11" style="3"/>
    <col min="14281" max="14281" width="15.42578125" style="3" customWidth="1"/>
    <col min="14282" max="14284" width="14.85546875" style="3" customWidth="1"/>
    <col min="14285" max="14285" width="0.7109375" style="3" customWidth="1"/>
    <col min="14286" max="14286" width="11" style="3"/>
    <col min="14287" max="14287" width="15.7109375" style="3" customWidth="1"/>
    <col min="14288" max="14289" width="14.85546875" style="3" customWidth="1"/>
    <col min="14290" max="14290" width="3.28515625" style="3" customWidth="1"/>
    <col min="14291" max="14291" width="20.140625" style="3" customWidth="1"/>
    <col min="14292" max="14292" width="3.28515625" style="3" customWidth="1"/>
    <col min="14293" max="14297" width="11" style="3"/>
    <col min="14298" max="14310" width="4.7109375" style="3" customWidth="1"/>
    <col min="14311" max="14520" width="11" style="3"/>
    <col min="14521" max="14521" width="0.7109375" style="3" customWidth="1"/>
    <col min="14522" max="14522" width="6.5703125" style="3" customWidth="1"/>
    <col min="14523" max="14523" width="13.5703125" style="3" customWidth="1"/>
    <col min="14524" max="14524" width="13.42578125" style="3" customWidth="1"/>
    <col min="14525" max="14526" width="12.5703125" style="3" customWidth="1"/>
    <col min="14527" max="14527" width="14.85546875" style="3" customWidth="1"/>
    <col min="14528" max="14528" width="20.7109375" style="3" customWidth="1"/>
    <col min="14529" max="14529" width="12.5703125" style="3" customWidth="1"/>
    <col min="14530" max="14530" width="13" style="3" customWidth="1"/>
    <col min="14531" max="14531" width="16" style="3" customWidth="1"/>
    <col min="14532" max="14532" width="6.42578125" style="3" customWidth="1"/>
    <col min="14533" max="14533" width="16" style="3" customWidth="1"/>
    <col min="14534" max="14534" width="2.85546875" style="3" customWidth="1"/>
    <col min="14535" max="14535" width="0.85546875" style="3" customWidth="1"/>
    <col min="14536" max="14536" width="11" style="3"/>
    <col min="14537" max="14537" width="15.42578125" style="3" customWidth="1"/>
    <col min="14538" max="14540" width="14.85546875" style="3" customWidth="1"/>
    <col min="14541" max="14541" width="0.7109375" style="3" customWidth="1"/>
    <col min="14542" max="14542" width="11" style="3"/>
    <col min="14543" max="14543" width="15.7109375" style="3" customWidth="1"/>
    <col min="14544" max="14545" width="14.85546875" style="3" customWidth="1"/>
    <col min="14546" max="14546" width="3.28515625" style="3" customWidth="1"/>
    <col min="14547" max="14547" width="20.140625" style="3" customWidth="1"/>
    <col min="14548" max="14548" width="3.28515625" style="3" customWidth="1"/>
    <col min="14549" max="14553" width="11" style="3"/>
    <col min="14554" max="14566" width="4.7109375" style="3" customWidth="1"/>
    <col min="14567" max="14776" width="11" style="3"/>
    <col min="14777" max="14777" width="0.7109375" style="3" customWidth="1"/>
    <col min="14778" max="14778" width="6.5703125" style="3" customWidth="1"/>
    <col min="14779" max="14779" width="13.5703125" style="3" customWidth="1"/>
    <col min="14780" max="14780" width="13.42578125" style="3" customWidth="1"/>
    <col min="14781" max="14782" width="12.5703125" style="3" customWidth="1"/>
    <col min="14783" max="14783" width="14.85546875" style="3" customWidth="1"/>
    <col min="14784" max="14784" width="20.7109375" style="3" customWidth="1"/>
    <col min="14785" max="14785" width="12.5703125" style="3" customWidth="1"/>
    <col min="14786" max="14786" width="13" style="3" customWidth="1"/>
    <col min="14787" max="14787" width="16" style="3" customWidth="1"/>
    <col min="14788" max="14788" width="6.42578125" style="3" customWidth="1"/>
    <col min="14789" max="14789" width="16" style="3" customWidth="1"/>
    <col min="14790" max="14790" width="2.85546875" style="3" customWidth="1"/>
    <col min="14791" max="14791" width="0.85546875" style="3" customWidth="1"/>
    <col min="14792" max="14792" width="11" style="3"/>
    <col min="14793" max="14793" width="15.42578125" style="3" customWidth="1"/>
    <col min="14794" max="14796" width="14.85546875" style="3" customWidth="1"/>
    <col min="14797" max="14797" width="0.7109375" style="3" customWidth="1"/>
    <col min="14798" max="14798" width="11" style="3"/>
    <col min="14799" max="14799" width="15.7109375" style="3" customWidth="1"/>
    <col min="14800" max="14801" width="14.85546875" style="3" customWidth="1"/>
    <col min="14802" max="14802" width="3.28515625" style="3" customWidth="1"/>
    <col min="14803" max="14803" width="20.140625" style="3" customWidth="1"/>
    <col min="14804" max="14804" width="3.28515625" style="3" customWidth="1"/>
    <col min="14805" max="14809" width="11" style="3"/>
    <col min="14810" max="14822" width="4.7109375" style="3" customWidth="1"/>
    <col min="14823" max="15032" width="11" style="3"/>
    <col min="15033" max="15033" width="0.7109375" style="3" customWidth="1"/>
    <col min="15034" max="15034" width="6.5703125" style="3" customWidth="1"/>
    <col min="15035" max="15035" width="13.5703125" style="3" customWidth="1"/>
    <col min="15036" max="15036" width="13.42578125" style="3" customWidth="1"/>
    <col min="15037" max="15038" width="12.5703125" style="3" customWidth="1"/>
    <col min="15039" max="15039" width="14.85546875" style="3" customWidth="1"/>
    <col min="15040" max="15040" width="20.7109375" style="3" customWidth="1"/>
    <col min="15041" max="15041" width="12.5703125" style="3" customWidth="1"/>
    <col min="15042" max="15042" width="13" style="3" customWidth="1"/>
    <col min="15043" max="15043" width="16" style="3" customWidth="1"/>
    <col min="15044" max="15044" width="6.42578125" style="3" customWidth="1"/>
    <col min="15045" max="15045" width="16" style="3" customWidth="1"/>
    <col min="15046" max="15046" width="2.85546875" style="3" customWidth="1"/>
    <col min="15047" max="15047" width="0.85546875" style="3" customWidth="1"/>
    <col min="15048" max="15048" width="11" style="3"/>
    <col min="15049" max="15049" width="15.42578125" style="3" customWidth="1"/>
    <col min="15050" max="15052" width="14.85546875" style="3" customWidth="1"/>
    <col min="15053" max="15053" width="0.7109375" style="3" customWidth="1"/>
    <col min="15054" max="15054" width="11" style="3"/>
    <col min="15055" max="15055" width="15.7109375" style="3" customWidth="1"/>
    <col min="15056" max="15057" width="14.85546875" style="3" customWidth="1"/>
    <col min="15058" max="15058" width="3.28515625" style="3" customWidth="1"/>
    <col min="15059" max="15059" width="20.140625" style="3" customWidth="1"/>
    <col min="15060" max="15060" width="3.28515625" style="3" customWidth="1"/>
    <col min="15061" max="15065" width="11" style="3"/>
    <col min="15066" max="15078" width="4.7109375" style="3" customWidth="1"/>
    <col min="15079" max="15288" width="11" style="3"/>
    <col min="15289" max="15289" width="0.7109375" style="3" customWidth="1"/>
    <col min="15290" max="15290" width="6.5703125" style="3" customWidth="1"/>
    <col min="15291" max="15291" width="13.5703125" style="3" customWidth="1"/>
    <col min="15292" max="15292" width="13.42578125" style="3" customWidth="1"/>
    <col min="15293" max="15294" width="12.5703125" style="3" customWidth="1"/>
    <col min="15295" max="15295" width="14.85546875" style="3" customWidth="1"/>
    <col min="15296" max="15296" width="20.7109375" style="3" customWidth="1"/>
    <col min="15297" max="15297" width="12.5703125" style="3" customWidth="1"/>
    <col min="15298" max="15298" width="13" style="3" customWidth="1"/>
    <col min="15299" max="15299" width="16" style="3" customWidth="1"/>
    <col min="15300" max="15300" width="6.42578125" style="3" customWidth="1"/>
    <col min="15301" max="15301" width="16" style="3" customWidth="1"/>
    <col min="15302" max="15302" width="2.85546875" style="3" customWidth="1"/>
    <col min="15303" max="15303" width="0.85546875" style="3" customWidth="1"/>
    <col min="15304" max="15304" width="11" style="3"/>
    <col min="15305" max="15305" width="15.42578125" style="3" customWidth="1"/>
    <col min="15306" max="15308" width="14.85546875" style="3" customWidth="1"/>
    <col min="15309" max="15309" width="0.7109375" style="3" customWidth="1"/>
    <col min="15310" max="15310" width="11" style="3"/>
    <col min="15311" max="15311" width="15.7109375" style="3" customWidth="1"/>
    <col min="15312" max="15313" width="14.85546875" style="3" customWidth="1"/>
    <col min="15314" max="15314" width="3.28515625" style="3" customWidth="1"/>
    <col min="15315" max="15315" width="20.140625" style="3" customWidth="1"/>
    <col min="15316" max="15316" width="3.28515625" style="3" customWidth="1"/>
    <col min="15317" max="15321" width="11" style="3"/>
    <col min="15322" max="15334" width="4.7109375" style="3" customWidth="1"/>
    <col min="15335" max="15544" width="11" style="3"/>
    <col min="15545" max="15545" width="0.7109375" style="3" customWidth="1"/>
    <col min="15546" max="15546" width="6.5703125" style="3" customWidth="1"/>
    <col min="15547" max="15547" width="13.5703125" style="3" customWidth="1"/>
    <col min="15548" max="15548" width="13.42578125" style="3" customWidth="1"/>
    <col min="15549" max="15550" width="12.5703125" style="3" customWidth="1"/>
    <col min="15551" max="15551" width="14.85546875" style="3" customWidth="1"/>
    <col min="15552" max="15552" width="20.7109375" style="3" customWidth="1"/>
    <col min="15553" max="15553" width="12.5703125" style="3" customWidth="1"/>
    <col min="15554" max="15554" width="13" style="3" customWidth="1"/>
    <col min="15555" max="15555" width="16" style="3" customWidth="1"/>
    <col min="15556" max="15556" width="6.42578125" style="3" customWidth="1"/>
    <col min="15557" max="15557" width="16" style="3" customWidth="1"/>
    <col min="15558" max="15558" width="2.85546875" style="3" customWidth="1"/>
    <col min="15559" max="15559" width="0.85546875" style="3" customWidth="1"/>
    <col min="15560" max="15560" width="11" style="3"/>
    <col min="15561" max="15561" width="15.42578125" style="3" customWidth="1"/>
    <col min="15562" max="15564" width="14.85546875" style="3" customWidth="1"/>
    <col min="15565" max="15565" width="0.7109375" style="3" customWidth="1"/>
    <col min="15566" max="15566" width="11" style="3"/>
    <col min="15567" max="15567" width="15.7109375" style="3" customWidth="1"/>
    <col min="15568" max="15569" width="14.85546875" style="3" customWidth="1"/>
    <col min="15570" max="15570" width="3.28515625" style="3" customWidth="1"/>
    <col min="15571" max="15571" width="20.140625" style="3" customWidth="1"/>
    <col min="15572" max="15572" width="3.28515625" style="3" customWidth="1"/>
    <col min="15573" max="15577" width="11" style="3"/>
    <col min="15578" max="15590" width="4.7109375" style="3" customWidth="1"/>
    <col min="15591" max="15800" width="11" style="3"/>
    <col min="15801" max="15801" width="0.7109375" style="3" customWidth="1"/>
    <col min="15802" max="15802" width="6.5703125" style="3" customWidth="1"/>
    <col min="15803" max="15803" width="13.5703125" style="3" customWidth="1"/>
    <col min="15804" max="15804" width="13.42578125" style="3" customWidth="1"/>
    <col min="15805" max="15806" width="12.5703125" style="3" customWidth="1"/>
    <col min="15807" max="15807" width="14.85546875" style="3" customWidth="1"/>
    <col min="15808" max="15808" width="20.7109375" style="3" customWidth="1"/>
    <col min="15809" max="15809" width="12.5703125" style="3" customWidth="1"/>
    <col min="15810" max="15810" width="13" style="3" customWidth="1"/>
    <col min="15811" max="15811" width="16" style="3" customWidth="1"/>
    <col min="15812" max="15812" width="6.42578125" style="3" customWidth="1"/>
    <col min="15813" max="15813" width="16" style="3" customWidth="1"/>
    <col min="15814" max="15814" width="2.85546875" style="3" customWidth="1"/>
    <col min="15815" max="15815" width="0.85546875" style="3" customWidth="1"/>
    <col min="15816" max="15816" width="11" style="3"/>
    <col min="15817" max="15817" width="15.42578125" style="3" customWidth="1"/>
    <col min="15818" max="15820" width="14.85546875" style="3" customWidth="1"/>
    <col min="15821" max="15821" width="0.7109375" style="3" customWidth="1"/>
    <col min="15822" max="15822" width="11" style="3"/>
    <col min="15823" max="15823" width="15.7109375" style="3" customWidth="1"/>
    <col min="15824" max="15825" width="14.85546875" style="3" customWidth="1"/>
    <col min="15826" max="15826" width="3.28515625" style="3" customWidth="1"/>
    <col min="15827" max="15827" width="20.140625" style="3" customWidth="1"/>
    <col min="15828" max="15828" width="3.28515625" style="3" customWidth="1"/>
    <col min="15829" max="15833" width="11" style="3"/>
    <col min="15834" max="15846" width="4.7109375" style="3" customWidth="1"/>
    <col min="15847" max="16056" width="11" style="3"/>
    <col min="16057" max="16057" width="0.7109375" style="3" customWidth="1"/>
    <col min="16058" max="16058" width="6.5703125" style="3" customWidth="1"/>
    <col min="16059" max="16059" width="13.5703125" style="3" customWidth="1"/>
    <col min="16060" max="16060" width="13.42578125" style="3" customWidth="1"/>
    <col min="16061" max="16062" width="12.5703125" style="3" customWidth="1"/>
    <col min="16063" max="16063" width="14.85546875" style="3" customWidth="1"/>
    <col min="16064" max="16064" width="20.7109375" style="3" customWidth="1"/>
    <col min="16065" max="16065" width="12.5703125" style="3" customWidth="1"/>
    <col min="16066" max="16066" width="13" style="3" customWidth="1"/>
    <col min="16067" max="16067" width="16" style="3" customWidth="1"/>
    <col min="16068" max="16068" width="6.42578125" style="3" customWidth="1"/>
    <col min="16069" max="16069" width="16" style="3" customWidth="1"/>
    <col min="16070" max="16070" width="2.85546875" style="3" customWidth="1"/>
    <col min="16071" max="16071" width="0.85546875" style="3" customWidth="1"/>
    <col min="16072" max="16072" width="11" style="3"/>
    <col min="16073" max="16073" width="15.42578125" style="3" customWidth="1"/>
    <col min="16074" max="16076" width="14.85546875" style="3" customWidth="1"/>
    <col min="16077" max="16077" width="0.7109375" style="3" customWidth="1"/>
    <col min="16078" max="16078" width="11" style="3"/>
    <col min="16079" max="16079" width="15.7109375" style="3" customWidth="1"/>
    <col min="16080" max="16081" width="14.85546875" style="3" customWidth="1"/>
    <col min="16082" max="16082" width="3.28515625" style="3" customWidth="1"/>
    <col min="16083" max="16083" width="20.140625" style="3" customWidth="1"/>
    <col min="16084" max="16084" width="3.28515625" style="3" customWidth="1"/>
    <col min="16085" max="16089" width="11" style="3"/>
    <col min="16090" max="16102" width="4.7109375" style="3" customWidth="1"/>
    <col min="16103" max="16384" width="11" style="3"/>
  </cols>
  <sheetData>
    <row r="1" spans="1:28" s="1" customFormat="1" ht="19.5" customHeight="1">
      <c r="A1" s="236"/>
      <c r="B1" s="237"/>
      <c r="C1" s="179" t="s">
        <v>0</v>
      </c>
      <c r="D1" s="179"/>
      <c r="E1" s="179"/>
      <c r="F1" s="179"/>
      <c r="G1" s="179"/>
      <c r="H1" s="179"/>
      <c r="I1" s="179"/>
      <c r="J1" s="179"/>
      <c r="K1" s="180" t="s">
        <v>1</v>
      </c>
      <c r="L1" s="181"/>
      <c r="O1" s="80"/>
      <c r="P1" s="80"/>
      <c r="Q1" s="80"/>
      <c r="R1" s="80"/>
      <c r="S1" s="80"/>
      <c r="T1" s="80"/>
      <c r="U1" s="80"/>
      <c r="V1" s="80"/>
      <c r="W1" s="80"/>
      <c r="X1" s="80"/>
      <c r="Y1" s="80"/>
      <c r="Z1" s="80"/>
      <c r="AA1" s="80"/>
    </row>
    <row r="2" spans="1:28" s="1" customFormat="1" ht="19.5" customHeight="1">
      <c r="A2" s="238"/>
      <c r="B2" s="186"/>
      <c r="C2" s="241" t="s">
        <v>2</v>
      </c>
      <c r="D2" s="241"/>
      <c r="E2" s="241"/>
      <c r="F2" s="241"/>
      <c r="G2" s="241"/>
      <c r="H2" s="241"/>
      <c r="I2" s="241"/>
      <c r="J2" s="241"/>
      <c r="K2" s="182" t="s">
        <v>89</v>
      </c>
      <c r="L2" s="183"/>
      <c r="O2" s="80"/>
      <c r="P2" s="80"/>
      <c r="Q2" s="80"/>
      <c r="R2" s="80"/>
      <c r="S2" s="80"/>
      <c r="T2" s="80"/>
      <c r="U2" s="80"/>
      <c r="V2" s="80"/>
      <c r="W2" s="80"/>
      <c r="X2" s="80"/>
      <c r="Y2" s="80"/>
      <c r="Z2" s="80"/>
      <c r="AA2" s="80"/>
    </row>
    <row r="3" spans="1:28" s="1" customFormat="1" ht="19.5" customHeight="1">
      <c r="A3" s="238"/>
      <c r="B3" s="186"/>
      <c r="C3" s="241"/>
      <c r="D3" s="241"/>
      <c r="E3" s="241"/>
      <c r="F3" s="241"/>
      <c r="G3" s="241"/>
      <c r="H3" s="241"/>
      <c r="I3" s="241"/>
      <c r="J3" s="241"/>
      <c r="K3" s="182" t="s">
        <v>3</v>
      </c>
      <c r="L3" s="183"/>
      <c r="Q3" s="132"/>
      <c r="R3" s="80"/>
      <c r="T3" s="132" t="s">
        <v>4</v>
      </c>
      <c r="U3" s="132"/>
      <c r="V3" s="80"/>
      <c r="W3" s="80"/>
      <c r="X3" s="80"/>
      <c r="Y3" s="80"/>
      <c r="Z3" s="80"/>
      <c r="AA3" s="80"/>
    </row>
    <row r="4" spans="1:28" s="1" customFormat="1" ht="19.5" customHeight="1" thickBot="1">
      <c r="A4" s="239"/>
      <c r="B4" s="240"/>
      <c r="C4" s="242"/>
      <c r="D4" s="242"/>
      <c r="E4" s="242"/>
      <c r="F4" s="242"/>
      <c r="G4" s="242"/>
      <c r="H4" s="242"/>
      <c r="I4" s="242"/>
      <c r="J4" s="242"/>
      <c r="K4" s="184" t="s">
        <v>88</v>
      </c>
      <c r="L4" s="185"/>
      <c r="Q4" s="132"/>
      <c r="R4" s="80"/>
      <c r="S4" s="132"/>
      <c r="T4" s="132"/>
      <c r="U4" s="132"/>
      <c r="V4" s="80"/>
      <c r="W4" s="80"/>
      <c r="X4" s="80"/>
      <c r="Y4" s="80"/>
      <c r="Z4" s="80"/>
      <c r="AA4" s="80"/>
    </row>
    <row r="5" spans="1:28" s="1" customFormat="1" ht="3.95" customHeight="1" thickBot="1">
      <c r="A5" s="5"/>
      <c r="B5" s="186"/>
      <c r="C5" s="186"/>
      <c r="D5" s="186"/>
      <c r="E5" s="186"/>
      <c r="F5" s="186"/>
      <c r="G5" s="186"/>
      <c r="H5" s="186"/>
      <c r="I5" s="186"/>
      <c r="J5" s="186"/>
      <c r="K5" s="186"/>
      <c r="L5" s="81"/>
      <c r="Q5" s="132"/>
      <c r="R5" s="132"/>
      <c r="T5" s="132"/>
      <c r="U5" s="132"/>
      <c r="V5" s="80"/>
      <c r="W5" s="80"/>
      <c r="X5" s="80"/>
      <c r="Y5" s="80"/>
      <c r="Z5" s="80"/>
      <c r="AA5" s="80"/>
      <c r="AB5" s="80"/>
    </row>
    <row r="6" spans="1:28" s="1" customFormat="1" ht="22.5" customHeight="1">
      <c r="A6" s="6"/>
      <c r="B6" s="7" t="s">
        <v>5</v>
      </c>
      <c r="C6" s="273" t="s">
        <v>91</v>
      </c>
      <c r="D6" s="273"/>
      <c r="E6" s="273"/>
      <c r="F6" s="273"/>
      <c r="G6" s="273"/>
      <c r="H6" s="188" t="s">
        <v>6</v>
      </c>
      <c r="I6" s="188"/>
      <c r="J6" s="189">
        <v>45884</v>
      </c>
      <c r="K6" s="189"/>
      <c r="L6" s="190"/>
      <c r="Q6" s="80"/>
      <c r="R6" s="80"/>
      <c r="T6" s="133" t="s">
        <v>7</v>
      </c>
      <c r="U6" s="80"/>
      <c r="V6" s="80"/>
      <c r="W6" s="80"/>
      <c r="X6" s="80"/>
      <c r="Y6" s="80"/>
      <c r="Z6" s="80"/>
      <c r="AA6" s="80"/>
      <c r="AB6" s="80"/>
    </row>
    <row r="7" spans="1:28" s="1" customFormat="1" ht="24.75" customHeight="1">
      <c r="A7" s="5"/>
      <c r="B7" s="9" t="s">
        <v>8</v>
      </c>
      <c r="C7" s="274" t="s">
        <v>92</v>
      </c>
      <c r="D7" s="274"/>
      <c r="E7" s="274"/>
      <c r="F7" s="274"/>
      <c r="G7" s="274"/>
      <c r="H7" s="192" t="s">
        <v>9</v>
      </c>
      <c r="I7" s="192"/>
      <c r="J7" s="193">
        <v>45953</v>
      </c>
      <c r="K7" s="193"/>
      <c r="L7" s="194"/>
      <c r="Q7" s="80"/>
      <c r="R7" s="80"/>
      <c r="T7" s="133" t="s">
        <v>10</v>
      </c>
      <c r="U7" s="80"/>
      <c r="V7" s="80"/>
      <c r="W7" s="80"/>
      <c r="X7" s="80"/>
      <c r="Y7" s="80"/>
      <c r="Z7" s="80"/>
      <c r="AA7" s="80"/>
      <c r="AB7" s="80"/>
    </row>
    <row r="8" spans="1:28" s="1" customFormat="1" ht="22.5" customHeight="1">
      <c r="A8" s="5"/>
      <c r="B8" s="9" t="s">
        <v>11</v>
      </c>
      <c r="C8" s="271" t="s">
        <v>12</v>
      </c>
      <c r="D8" s="272"/>
      <c r="E8" s="272"/>
      <c r="F8" s="272"/>
      <c r="G8" s="272"/>
      <c r="H8" s="192" t="s">
        <v>13</v>
      </c>
      <c r="I8" s="192"/>
      <c r="J8" s="193">
        <v>45959</v>
      </c>
      <c r="K8" s="193"/>
      <c r="L8" s="194"/>
      <c r="Q8" s="80"/>
      <c r="R8" s="80"/>
      <c r="S8" s="1">
        <f>17-2.57</f>
        <v>14.43</v>
      </c>
      <c r="T8" s="133" t="s">
        <v>14</v>
      </c>
      <c r="U8" s="80"/>
      <c r="V8" s="80"/>
      <c r="W8" s="80"/>
      <c r="X8" s="80"/>
      <c r="Y8" s="80"/>
      <c r="Z8" s="80"/>
      <c r="AA8" s="80"/>
      <c r="AB8" s="80"/>
    </row>
    <row r="9" spans="1:28" s="1" customFormat="1" ht="22.5" customHeight="1">
      <c r="A9" s="5"/>
      <c r="B9" s="9" t="s">
        <v>15</v>
      </c>
      <c r="C9" s="202" t="s">
        <v>93</v>
      </c>
      <c r="D9" s="202"/>
      <c r="E9" s="202"/>
      <c r="F9" s="202"/>
      <c r="G9" s="202"/>
      <c r="H9" s="192" t="s">
        <v>16</v>
      </c>
      <c r="I9" s="192"/>
      <c r="J9" s="82" t="s">
        <v>17</v>
      </c>
      <c r="K9" s="83" t="s">
        <v>90</v>
      </c>
      <c r="L9" s="84" t="s">
        <v>85</v>
      </c>
      <c r="Q9" s="80"/>
      <c r="R9" s="80"/>
      <c r="T9" s="133" t="s">
        <v>18</v>
      </c>
      <c r="U9" s="80"/>
      <c r="V9" s="80"/>
      <c r="W9" s="80"/>
      <c r="X9" s="80"/>
      <c r="Y9" s="80"/>
      <c r="Z9" s="80"/>
      <c r="AA9" s="80"/>
      <c r="AB9" s="80"/>
    </row>
    <row r="10" spans="1:28" s="1" customFormat="1" ht="22.5" customHeight="1">
      <c r="A10" s="5"/>
      <c r="B10" s="10" t="s">
        <v>19</v>
      </c>
      <c r="C10" s="202" t="s">
        <v>20</v>
      </c>
      <c r="D10" s="202"/>
      <c r="E10" s="202"/>
      <c r="F10" s="202"/>
      <c r="G10" s="202"/>
      <c r="H10" s="196" t="s">
        <v>21</v>
      </c>
      <c r="I10" s="196"/>
      <c r="J10" s="197" t="str">
        <f>CONCATENATE(K9,," ",L9,"-",D12,"-",F12)</f>
        <v>056 25-:P-ROZO AP1-3</v>
      </c>
      <c r="K10" s="197"/>
      <c r="L10" s="198"/>
      <c r="Q10" s="80"/>
      <c r="R10" s="80"/>
      <c r="T10" s="133" t="s">
        <v>22</v>
      </c>
      <c r="U10" s="80"/>
      <c r="V10" s="80"/>
      <c r="W10" s="80"/>
      <c r="X10" s="80"/>
      <c r="Y10" s="80"/>
      <c r="Z10" s="80"/>
      <c r="AA10" s="80"/>
      <c r="AB10" s="80"/>
    </row>
    <row r="11" spans="1:28" s="1" customFormat="1" ht="3.95" customHeight="1" thickBot="1">
      <c r="A11" s="11"/>
      <c r="B11" s="199"/>
      <c r="C11" s="199"/>
      <c r="D11" s="199"/>
      <c r="E11" s="199"/>
      <c r="F11" s="199"/>
      <c r="G11" s="199"/>
      <c r="H11" s="199"/>
      <c r="I11" s="199"/>
      <c r="J11" s="199"/>
      <c r="K11" s="199"/>
      <c r="L11" s="85"/>
      <c r="Q11" s="80"/>
      <c r="R11" s="80"/>
      <c r="T11" s="133"/>
      <c r="U11" s="80"/>
      <c r="V11" s="80"/>
      <c r="W11" s="80"/>
      <c r="X11" s="80"/>
      <c r="Y11" s="80"/>
      <c r="Z11" s="80"/>
      <c r="AA11" s="80"/>
      <c r="AB11" s="80"/>
    </row>
    <row r="12" spans="1:28" s="1" customFormat="1" ht="22.5" customHeight="1">
      <c r="A12" s="6"/>
      <c r="B12" s="7" t="s">
        <v>23</v>
      </c>
      <c r="C12" s="12" t="s">
        <v>10</v>
      </c>
      <c r="D12" s="13" t="s">
        <v>120</v>
      </c>
      <c r="E12" s="14" t="s">
        <v>24</v>
      </c>
      <c r="F12" s="200">
        <v>3</v>
      </c>
      <c r="G12" s="200"/>
      <c r="H12" s="201" t="s">
        <v>25</v>
      </c>
      <c r="I12" s="201"/>
      <c r="J12" s="86">
        <v>1.2</v>
      </c>
      <c r="K12" s="87" t="s">
        <v>26</v>
      </c>
      <c r="L12" s="88">
        <v>1.5</v>
      </c>
      <c r="Q12" s="80"/>
      <c r="R12" s="80"/>
      <c r="T12" s="133"/>
      <c r="U12" s="80"/>
      <c r="V12" s="80"/>
      <c r="W12" s="80"/>
      <c r="X12" s="80"/>
      <c r="Y12" s="80"/>
      <c r="Z12" s="80"/>
      <c r="AA12" s="80"/>
      <c r="AB12" s="80"/>
    </row>
    <row r="13" spans="1:28" s="1" customFormat="1" ht="22.5" customHeight="1">
      <c r="A13" s="5"/>
      <c r="B13" s="9" t="s">
        <v>27</v>
      </c>
      <c r="C13" s="202" t="s">
        <v>122</v>
      </c>
      <c r="D13" s="202"/>
      <c r="E13" s="202"/>
      <c r="F13" s="202"/>
      <c r="G13" s="202"/>
      <c r="H13" s="202"/>
      <c r="I13" s="202"/>
      <c r="J13" s="202"/>
      <c r="K13" s="202"/>
      <c r="L13" s="203"/>
      <c r="O13" s="1">
        <f>-MOD1</f>
        <v>0</v>
      </c>
      <c r="Q13" s="80"/>
      <c r="R13" s="80"/>
      <c r="T13" s="133"/>
      <c r="U13" s="80"/>
      <c r="V13" s="80"/>
      <c r="W13" s="80"/>
      <c r="X13" s="80"/>
      <c r="Y13" s="80"/>
      <c r="Z13" s="80"/>
      <c r="AA13" s="80"/>
      <c r="AB13" s="80"/>
    </row>
    <row r="14" spans="1:28" s="1" customFormat="1" ht="6.95" customHeight="1" thickBot="1">
      <c r="A14" s="11"/>
      <c r="B14" s="15"/>
      <c r="C14" s="16"/>
      <c r="D14" s="16"/>
      <c r="E14" s="16"/>
      <c r="F14" s="16"/>
      <c r="G14" s="16"/>
      <c r="H14" s="16"/>
      <c r="I14" s="16"/>
      <c r="J14" s="16"/>
      <c r="K14" s="16"/>
      <c r="L14" s="89"/>
      <c r="P14" s="80"/>
      <c r="Q14" s="80"/>
      <c r="R14" s="80"/>
      <c r="S14" s="80"/>
      <c r="T14" s="80"/>
      <c r="U14" s="80"/>
      <c r="V14" s="80"/>
      <c r="W14" s="80"/>
      <c r="X14" s="80"/>
      <c r="Y14" s="80"/>
      <c r="Z14" s="80"/>
      <c r="AA14" s="80"/>
      <c r="AB14" s="80"/>
    </row>
    <row r="15" spans="1:28" ht="14.25" customHeight="1" thickBot="1">
      <c r="A15" s="17"/>
      <c r="B15" s="18"/>
      <c r="C15" s="18"/>
      <c r="D15" s="18"/>
      <c r="E15" s="18"/>
      <c r="F15" s="18"/>
      <c r="G15" s="18"/>
      <c r="H15" s="18"/>
      <c r="I15" s="18"/>
      <c r="J15" s="18"/>
      <c r="K15" s="18"/>
      <c r="L15" s="90"/>
    </row>
    <row r="16" spans="1:28" ht="22.5" customHeight="1" thickBot="1">
      <c r="A16" s="204"/>
      <c r="B16" s="205"/>
      <c r="C16" s="205"/>
      <c r="D16" s="205"/>
      <c r="E16" s="205"/>
      <c r="F16" s="205"/>
      <c r="G16" s="205"/>
      <c r="H16" s="205"/>
      <c r="I16" s="205"/>
      <c r="J16" s="205"/>
      <c r="K16" s="205"/>
      <c r="L16" s="206"/>
    </row>
    <row r="17" spans="1:19" ht="22.5" customHeight="1" thickBot="1">
      <c r="A17" s="17"/>
      <c r="B17" s="18"/>
      <c r="C17" s="18"/>
      <c r="D17" s="18"/>
      <c r="E17" s="18"/>
      <c r="F17" s="18"/>
      <c r="G17" s="19"/>
      <c r="H17" s="19"/>
      <c r="I17" s="19"/>
      <c r="J17" s="19"/>
      <c r="K17" s="19"/>
      <c r="L17" s="91"/>
    </row>
    <row r="18" spans="1:19" s="2" customFormat="1" ht="22.5" customHeight="1" thickBot="1">
      <c r="A18" s="207" t="s">
        <v>28</v>
      </c>
      <c r="B18" s="208"/>
      <c r="C18" s="208"/>
      <c r="D18" s="208"/>
      <c r="E18" s="209"/>
      <c r="F18" s="20"/>
      <c r="G18" s="207" t="s">
        <v>28</v>
      </c>
      <c r="H18" s="208"/>
      <c r="I18" s="208"/>
      <c r="J18" s="208"/>
      <c r="K18" s="208"/>
      <c r="L18" s="209"/>
      <c r="O18" s="92"/>
    </row>
    <row r="19" spans="1:19" s="2" customFormat="1" ht="27.75" customHeight="1" thickBot="1">
      <c r="A19" s="210"/>
      <c r="B19" s="211"/>
      <c r="C19" s="211"/>
      <c r="D19" s="22" t="s">
        <v>29</v>
      </c>
      <c r="E19" s="23" t="s">
        <v>30</v>
      </c>
      <c r="F19" s="24"/>
      <c r="G19" s="243" t="s">
        <v>31</v>
      </c>
      <c r="H19" s="244"/>
      <c r="I19" s="212" t="s">
        <v>32</v>
      </c>
      <c r="J19" s="213"/>
      <c r="K19" s="214" t="s">
        <v>33</v>
      </c>
      <c r="L19" s="215"/>
    </row>
    <row r="20" spans="1:19" s="2" customFormat="1" ht="22.5" customHeight="1">
      <c r="A20" s="216" t="s">
        <v>34</v>
      </c>
      <c r="B20" s="217"/>
      <c r="C20" s="25"/>
      <c r="D20" s="26">
        <v>105</v>
      </c>
      <c r="E20" s="27">
        <v>105</v>
      </c>
      <c r="F20" s="28"/>
      <c r="G20" s="245"/>
      <c r="H20" s="246"/>
      <c r="I20" s="93" t="s">
        <v>35</v>
      </c>
      <c r="J20" s="168" t="s">
        <v>36</v>
      </c>
      <c r="K20" s="95" t="s">
        <v>37</v>
      </c>
      <c r="L20" s="150" t="s">
        <v>36</v>
      </c>
      <c r="N20" s="92"/>
    </row>
    <row r="21" spans="1:19" s="2" customFormat="1" ht="22.5" customHeight="1">
      <c r="A21" s="216" t="s">
        <v>38</v>
      </c>
      <c r="B21" s="217"/>
      <c r="C21" s="25" t="s">
        <v>39</v>
      </c>
      <c r="D21" s="160">
        <v>15.4</v>
      </c>
      <c r="E21" s="161">
        <f>D21</f>
        <v>15.4</v>
      </c>
      <c r="F21" s="31"/>
      <c r="G21" s="96" t="s">
        <v>40</v>
      </c>
      <c r="H21" s="32" t="s">
        <v>41</v>
      </c>
      <c r="I21" s="96" t="s">
        <v>42</v>
      </c>
      <c r="J21" s="151" t="s">
        <v>43</v>
      </c>
      <c r="K21" s="96" t="s">
        <v>42</v>
      </c>
      <c r="L21" s="151" t="s">
        <v>43</v>
      </c>
      <c r="N21" s="97"/>
    </row>
    <row r="22" spans="1:19" s="2" customFormat="1" ht="22.5" customHeight="1">
      <c r="A22" s="216" t="s">
        <v>44</v>
      </c>
      <c r="B22" s="217"/>
      <c r="C22" s="25" t="s">
        <v>39</v>
      </c>
      <c r="D22" s="160">
        <v>13.17</v>
      </c>
      <c r="E22" s="161">
        <f>D22+E39</f>
        <v>13.17</v>
      </c>
      <c r="F22" s="31"/>
      <c r="G22" s="145">
        <v>0</v>
      </c>
      <c r="H22" s="33">
        <v>0</v>
      </c>
      <c r="I22" s="144">
        <v>0</v>
      </c>
      <c r="J22" s="152">
        <v>0</v>
      </c>
      <c r="K22" s="144">
        <v>0</v>
      </c>
      <c r="L22" s="152">
        <v>0</v>
      </c>
      <c r="N22" s="97"/>
      <c r="O22" s="2">
        <v>9.5000000000000001E-2</v>
      </c>
      <c r="S22" s="2">
        <v>2.1999999999999999E-2</v>
      </c>
    </row>
    <row r="23" spans="1:19" s="2" customFormat="1" ht="22.5" customHeight="1">
      <c r="A23" s="216" t="s">
        <v>45</v>
      </c>
      <c r="B23" s="217"/>
      <c r="C23" s="34" t="s">
        <v>46</v>
      </c>
      <c r="D23" s="35">
        <v>10616</v>
      </c>
      <c r="E23" s="36">
        <v>10952</v>
      </c>
      <c r="F23" s="31"/>
      <c r="G23" s="145">
        <v>5.0000000000000001E-3</v>
      </c>
      <c r="H23" s="33">
        <v>0.127</v>
      </c>
      <c r="I23" s="144">
        <v>9.5000000000000001E-2</v>
      </c>
      <c r="J23" s="153">
        <f t="shared" ref="J23:J34" si="0">((I23/19.32)*10)</f>
        <v>4.917184265010352E-2</v>
      </c>
      <c r="K23" s="98">
        <v>2.1999999999999999E-2</v>
      </c>
      <c r="L23" s="153">
        <f t="shared" ref="L23:L34" si="1">((K23/19.32)*10)</f>
        <v>1.1387163561076604E-2</v>
      </c>
      <c r="N23" s="97"/>
      <c r="O23" s="2">
        <v>0.249</v>
      </c>
      <c r="S23" s="2">
        <v>5.2999999999999999E-2</v>
      </c>
    </row>
    <row r="24" spans="1:19" s="2" customFormat="1" ht="22.5" customHeight="1">
      <c r="A24" s="216" t="s">
        <v>47</v>
      </c>
      <c r="B24" s="217"/>
      <c r="C24" s="34" t="s">
        <v>46</v>
      </c>
      <c r="D24" s="167">
        <v>5668</v>
      </c>
      <c r="E24" s="37">
        <f>D24</f>
        <v>5668</v>
      </c>
      <c r="F24" s="38"/>
      <c r="G24" s="145">
        <v>2.5000000000000001E-2</v>
      </c>
      <c r="H24" s="33">
        <v>0.63500000000000001</v>
      </c>
      <c r="I24" s="144">
        <v>0.249</v>
      </c>
      <c r="J24" s="153">
        <f t="shared" si="0"/>
        <v>0.12888198757763975</v>
      </c>
      <c r="K24" s="98">
        <v>5.2999999999999999E-2</v>
      </c>
      <c r="L24" s="153">
        <f t="shared" si="1"/>
        <v>2.7432712215320912E-2</v>
      </c>
      <c r="N24" s="97"/>
      <c r="O24" s="2">
        <v>0.36899999999999999</v>
      </c>
      <c r="S24" s="2">
        <v>8.3000000000000004E-2</v>
      </c>
    </row>
    <row r="25" spans="1:19" s="2" customFormat="1" ht="22.5" customHeight="1">
      <c r="A25" s="216" t="s">
        <v>48</v>
      </c>
      <c r="B25" s="217"/>
      <c r="C25" s="34" t="s">
        <v>46</v>
      </c>
      <c r="D25" s="39">
        <f>+D23-D24</f>
        <v>4948</v>
      </c>
      <c r="E25" s="40">
        <f>E23-E24</f>
        <v>5284</v>
      </c>
      <c r="F25" s="41"/>
      <c r="G25" s="145">
        <v>0.05</v>
      </c>
      <c r="H25" s="33">
        <v>1.27</v>
      </c>
      <c r="I25" s="144">
        <v>0.36899999999999999</v>
      </c>
      <c r="J25" s="153">
        <f t="shared" si="0"/>
        <v>0.19099378881987578</v>
      </c>
      <c r="K25" s="98">
        <v>8.3000000000000004E-2</v>
      </c>
      <c r="L25" s="153">
        <f t="shared" si="1"/>
        <v>4.296066252587992E-2</v>
      </c>
      <c r="N25" s="97"/>
      <c r="O25" s="2">
        <v>0.49</v>
      </c>
      <c r="S25" s="2">
        <v>0.11899999999999999</v>
      </c>
    </row>
    <row r="26" spans="1:19" s="2" customFormat="1" ht="22.5" customHeight="1">
      <c r="A26" s="216" t="s">
        <v>49</v>
      </c>
      <c r="B26" s="217"/>
      <c r="C26" s="34" t="s">
        <v>50</v>
      </c>
      <c r="D26" s="39">
        <f>((PI()*(D21*D21))/4)*D22</f>
        <v>2453.1104244407329</v>
      </c>
      <c r="E26" s="174">
        <f>((PI()*(E21*E21))/4)*E22</f>
        <v>2453.1104244407329</v>
      </c>
      <c r="F26" s="41"/>
      <c r="G26" s="145">
        <v>7.4999999999999997E-2</v>
      </c>
      <c r="H26" s="33">
        <v>1.905</v>
      </c>
      <c r="I26" s="144">
        <v>0.49</v>
      </c>
      <c r="J26" s="153">
        <f t="shared" si="0"/>
        <v>0.25362318840579706</v>
      </c>
      <c r="K26" s="98">
        <v>0.11899999999999999</v>
      </c>
      <c r="L26" s="153">
        <f t="shared" si="1"/>
        <v>6.1594202898550721E-2</v>
      </c>
      <c r="N26" s="97"/>
      <c r="O26" s="2">
        <v>0.60799999999999998</v>
      </c>
      <c r="S26" s="2">
        <v>0.151</v>
      </c>
    </row>
    <row r="27" spans="1:19" s="2" customFormat="1" ht="22.5" customHeight="1">
      <c r="A27" s="216" t="s">
        <v>51</v>
      </c>
      <c r="B27" s="217"/>
      <c r="C27" s="34" t="s">
        <v>52</v>
      </c>
      <c r="D27" s="42">
        <f>D25/D26</f>
        <v>2.0170310927312043</v>
      </c>
      <c r="E27" s="175">
        <f>E25/E26</f>
        <v>2.154000059416266</v>
      </c>
      <c r="F27" s="44"/>
      <c r="G27" s="146">
        <v>0.1</v>
      </c>
      <c r="H27" s="45">
        <v>2.54</v>
      </c>
      <c r="I27" s="154">
        <v>0.60799999999999998</v>
      </c>
      <c r="J27" s="155">
        <f t="shared" si="0"/>
        <v>0.31469979296066253</v>
      </c>
      <c r="K27" s="158">
        <v>0.151</v>
      </c>
      <c r="L27" s="155">
        <f t="shared" si="1"/>
        <v>7.8157349896480335E-2</v>
      </c>
      <c r="N27" s="97"/>
      <c r="O27" s="2">
        <v>0.71599999999999997</v>
      </c>
      <c r="S27" s="2">
        <v>0.17799999999999999</v>
      </c>
    </row>
    <row r="28" spans="1:19" s="2" customFormat="1" ht="22.5" customHeight="1" thickBot="1">
      <c r="A28" s="218" t="s">
        <v>53</v>
      </c>
      <c r="B28" s="219"/>
      <c r="C28" s="46" t="s">
        <v>52</v>
      </c>
      <c r="D28" s="47">
        <f>D27/(1+D34/100)</f>
        <v>1.7978731480096013</v>
      </c>
      <c r="E28" s="48">
        <f>E27/(1+E34/100)</f>
        <v>1.7768090883338237</v>
      </c>
      <c r="F28" s="49"/>
      <c r="G28" s="145">
        <v>0.125</v>
      </c>
      <c r="H28" s="33">
        <v>3.1749999999999998</v>
      </c>
      <c r="I28" s="98">
        <v>0.71599999999999997</v>
      </c>
      <c r="J28" s="153">
        <f t="shared" si="0"/>
        <v>0.37060041407867494</v>
      </c>
      <c r="K28" s="98">
        <v>0.17799999999999999</v>
      </c>
      <c r="L28" s="153">
        <f t="shared" si="1"/>
        <v>9.213250517598344E-2</v>
      </c>
      <c r="N28" s="97"/>
      <c r="O28" s="2">
        <v>0.81699999999999995</v>
      </c>
      <c r="S28" s="2">
        <v>0.20300000000000001</v>
      </c>
    </row>
    <row r="29" spans="1:19" s="2" customFormat="1" ht="22.5" customHeight="1" thickBot="1">
      <c r="A29" s="207" t="s">
        <v>54</v>
      </c>
      <c r="B29" s="208" t="s">
        <v>54</v>
      </c>
      <c r="C29" s="208"/>
      <c r="D29" s="208"/>
      <c r="E29" s="209"/>
      <c r="F29" s="49"/>
      <c r="G29" s="147">
        <v>0.15</v>
      </c>
      <c r="H29" s="33">
        <v>3.81</v>
      </c>
      <c r="I29" s="98">
        <v>0.81699999999999995</v>
      </c>
      <c r="J29" s="153">
        <f t="shared" si="0"/>
        <v>0.42287784679089024</v>
      </c>
      <c r="K29" s="98">
        <v>0.20300000000000001</v>
      </c>
      <c r="L29" s="153">
        <f>((K29/19.32)*10)</f>
        <v>0.10507246376811595</v>
      </c>
      <c r="N29" s="97"/>
      <c r="O29" s="2">
        <v>0.89800000000000002</v>
      </c>
      <c r="S29" s="2">
        <v>0.23100000000000001</v>
      </c>
    </row>
    <row r="30" spans="1:19" s="2" customFormat="1" ht="22.5" customHeight="1">
      <c r="A30" s="258" t="s">
        <v>55</v>
      </c>
      <c r="B30" s="259"/>
      <c r="C30" s="50"/>
      <c r="D30" s="51">
        <v>351</v>
      </c>
      <c r="E30" s="52">
        <v>340</v>
      </c>
      <c r="F30" s="44"/>
      <c r="G30" s="145">
        <v>0.17499999999999999</v>
      </c>
      <c r="H30" s="33">
        <v>4.4450000000000003</v>
      </c>
      <c r="I30" s="144">
        <v>0.89800000000000002</v>
      </c>
      <c r="J30" s="153">
        <f t="shared" si="0"/>
        <v>0.46480331262939961</v>
      </c>
      <c r="K30" s="98">
        <v>0.23100000000000001</v>
      </c>
      <c r="L30" s="153">
        <f t="shared" si="1"/>
        <v>0.11956521739130435</v>
      </c>
      <c r="N30" s="97"/>
      <c r="O30" s="2">
        <v>0.99299999999999999</v>
      </c>
      <c r="S30" s="2">
        <v>0.26300000000000001</v>
      </c>
    </row>
    <row r="31" spans="1:19" s="2" customFormat="1" ht="22.5" customHeight="1">
      <c r="A31" s="216" t="s">
        <v>56</v>
      </c>
      <c r="B31" s="217"/>
      <c r="C31" s="25" t="s">
        <v>46</v>
      </c>
      <c r="D31" s="53">
        <v>425.43</v>
      </c>
      <c r="E31" s="54">
        <v>919.37</v>
      </c>
      <c r="F31" s="41"/>
      <c r="G31" s="146">
        <v>0.2</v>
      </c>
      <c r="H31" s="45">
        <v>5.08</v>
      </c>
      <c r="I31" s="154">
        <v>0.99299999999999999</v>
      </c>
      <c r="J31" s="155">
        <f t="shared" si="0"/>
        <v>0.5139751552795031</v>
      </c>
      <c r="K31" s="158">
        <v>0.26300000000000001</v>
      </c>
      <c r="L31" s="155">
        <f t="shared" si="1"/>
        <v>0.13612836438923395</v>
      </c>
      <c r="N31" s="97"/>
      <c r="O31" s="2">
        <v>1.3859999999999999</v>
      </c>
      <c r="S31" s="2">
        <v>0.40600000000000003</v>
      </c>
    </row>
    <row r="32" spans="1:19" s="2" customFormat="1" ht="22.5" customHeight="1">
      <c r="A32" s="216" t="s">
        <v>57</v>
      </c>
      <c r="B32" s="217"/>
      <c r="C32" s="25" t="s">
        <v>46</v>
      </c>
      <c r="D32" s="53">
        <v>390.5</v>
      </c>
      <c r="E32" s="54">
        <v>779.27</v>
      </c>
      <c r="F32" s="49"/>
      <c r="G32" s="145">
        <v>0.3</v>
      </c>
      <c r="H32" s="33">
        <v>7.62</v>
      </c>
      <c r="I32" s="144">
        <v>1.3859999999999999</v>
      </c>
      <c r="J32" s="153">
        <f t="shared" si="0"/>
        <v>0.71739130434782594</v>
      </c>
      <c r="K32" s="98">
        <v>0.40600000000000003</v>
      </c>
      <c r="L32" s="153">
        <f t="shared" si="1"/>
        <v>0.2101449275362319</v>
      </c>
      <c r="N32" s="97"/>
      <c r="O32" s="2">
        <v>1.8029999999999999</v>
      </c>
      <c r="S32" s="2">
        <v>0.56899999999999995</v>
      </c>
    </row>
    <row r="33" spans="1:19" s="2" customFormat="1" ht="22.5" customHeight="1">
      <c r="A33" s="216" t="s">
        <v>58</v>
      </c>
      <c r="B33" s="217"/>
      <c r="C33" s="25" t="s">
        <v>46</v>
      </c>
      <c r="D33" s="53">
        <v>103.95</v>
      </c>
      <c r="E33" s="54">
        <v>119.31</v>
      </c>
      <c r="F33" s="49"/>
      <c r="G33" s="145">
        <v>0.4</v>
      </c>
      <c r="H33" s="33">
        <v>10.16</v>
      </c>
      <c r="I33" s="144">
        <v>1.8029999999999999</v>
      </c>
      <c r="J33" s="153">
        <f t="shared" si="0"/>
        <v>0.93322981366459623</v>
      </c>
      <c r="K33" s="98">
        <v>0.56899999999999995</v>
      </c>
      <c r="L33" s="153">
        <f t="shared" si="1"/>
        <v>0.29451345755693575</v>
      </c>
      <c r="N33" s="97"/>
      <c r="O33" s="2">
        <v>2.2200000000000002</v>
      </c>
      <c r="S33" s="2">
        <v>0.72399999999999998</v>
      </c>
    </row>
    <row r="34" spans="1:19" s="2" customFormat="1" ht="22.5" customHeight="1" thickBot="1">
      <c r="A34" s="218" t="s">
        <v>59</v>
      </c>
      <c r="B34" s="219"/>
      <c r="C34" s="46" t="s">
        <v>60</v>
      </c>
      <c r="D34" s="47">
        <f>((D31-D32)/(D32-D33))*100</f>
        <v>12.1898447042401</v>
      </c>
      <c r="E34" s="48">
        <f>((E31-E32)/(E32-E33))*100</f>
        <v>21.228559306624646</v>
      </c>
      <c r="F34" s="49"/>
      <c r="G34" s="148">
        <v>0.5</v>
      </c>
      <c r="H34" s="149">
        <v>12.7</v>
      </c>
      <c r="I34" s="156">
        <v>2.2200000000000002</v>
      </c>
      <c r="J34" s="157">
        <f t="shared" si="0"/>
        <v>1.1490683229813665</v>
      </c>
      <c r="K34" s="159">
        <v>0.72399999999999998</v>
      </c>
      <c r="L34" s="157">
        <f t="shared" si="1"/>
        <v>0.37474120082815732</v>
      </c>
      <c r="N34" s="97"/>
    </row>
    <row r="35" spans="1:19" s="2" customFormat="1" ht="11.25" customHeight="1" thickBot="1">
      <c r="A35" s="55"/>
      <c r="B35" s="56"/>
      <c r="C35" s="57"/>
      <c r="D35" s="58"/>
      <c r="E35" s="58"/>
      <c r="F35" s="59"/>
      <c r="G35" s="58"/>
      <c r="H35" s="58"/>
      <c r="I35" s="58"/>
      <c r="J35" s="58"/>
      <c r="K35" s="58"/>
      <c r="L35" s="99"/>
      <c r="N35" s="97"/>
    </row>
    <row r="36" spans="1:19" s="2" customFormat="1" ht="22.5" customHeight="1" thickBot="1">
      <c r="A36" s="247" t="s">
        <v>61</v>
      </c>
      <c r="B36" s="248"/>
      <c r="C36" s="248"/>
      <c r="D36" s="248"/>
      <c r="E36" s="249"/>
      <c r="F36" s="60"/>
      <c r="G36" s="60"/>
      <c r="H36" s="207" t="s">
        <v>62</v>
      </c>
      <c r="I36" s="208"/>
      <c r="J36" s="208"/>
      <c r="K36" s="209"/>
      <c r="L36" s="100"/>
    </row>
    <row r="37" spans="1:19" s="2" customFormat="1" ht="22.5" customHeight="1" thickBot="1">
      <c r="A37" s="250" t="s">
        <v>63</v>
      </c>
      <c r="B37" s="251"/>
      <c r="C37" s="61" t="s">
        <v>64</v>
      </c>
      <c r="D37" s="277">
        <v>0.40799999999999997</v>
      </c>
      <c r="E37" s="278"/>
      <c r="F37" s="62"/>
      <c r="G37" s="62"/>
      <c r="H37" s="63" t="s">
        <v>65</v>
      </c>
      <c r="I37" s="101" t="s">
        <v>86</v>
      </c>
      <c r="J37" s="63" t="s">
        <v>66</v>
      </c>
      <c r="K37" s="102" t="s">
        <v>67</v>
      </c>
      <c r="L37" s="99"/>
    </row>
    <row r="38" spans="1:19" s="2" customFormat="1" ht="22.5" customHeight="1" thickBot="1">
      <c r="A38" s="224" t="s">
        <v>68</v>
      </c>
      <c r="B38" s="225"/>
      <c r="C38" s="64" t="s">
        <v>64</v>
      </c>
      <c r="D38" s="279">
        <v>0.317</v>
      </c>
      <c r="E38" s="280"/>
      <c r="F38" s="62"/>
      <c r="G38" s="62"/>
      <c r="H38" s="256" t="s">
        <v>69</v>
      </c>
      <c r="I38" s="257"/>
      <c r="J38" s="256" t="s">
        <v>70</v>
      </c>
      <c r="K38" s="257"/>
      <c r="L38" s="99"/>
    </row>
    <row r="39" spans="1:19" s="2" customFormat="1" ht="22.5" customHeight="1" thickBot="1">
      <c r="A39" s="224" t="s">
        <v>71</v>
      </c>
      <c r="B39" s="225"/>
      <c r="C39" s="65" t="s">
        <v>39</v>
      </c>
      <c r="D39" s="226">
        <f>(D38-D37)*2.54</f>
        <v>-0.23113999999999993</v>
      </c>
      <c r="E39" s="227"/>
      <c r="F39" s="31"/>
      <c r="G39" s="31"/>
      <c r="H39" s="163" t="s">
        <v>72</v>
      </c>
      <c r="I39" s="164">
        <v>4555</v>
      </c>
      <c r="J39" s="275">
        <v>4</v>
      </c>
      <c r="K39" s="229"/>
      <c r="L39" s="99"/>
    </row>
    <row r="40" spans="1:19" s="2" customFormat="1" ht="22.5" customHeight="1" thickBot="1">
      <c r="A40" s="230" t="s">
        <v>73</v>
      </c>
      <c r="B40" s="231"/>
      <c r="C40" s="67" t="s">
        <v>60</v>
      </c>
      <c r="D40" s="232">
        <f>IF(D39&lt;&gt;"",IF(D22&lt;&gt;"",D39/D22*100,""),"")</f>
        <v>-1.7550493545937733</v>
      </c>
      <c r="E40" s="233"/>
      <c r="F40" s="68"/>
      <c r="G40" s="68"/>
      <c r="H40" s="165" t="s">
        <v>33</v>
      </c>
      <c r="I40" s="166">
        <v>4555</v>
      </c>
      <c r="J40" s="276">
        <v>4</v>
      </c>
      <c r="K40" s="235"/>
      <c r="L40" s="99"/>
      <c r="P40" s="105"/>
      <c r="Q40" s="105"/>
      <c r="R40" s="134"/>
    </row>
    <row r="41" spans="1:19" s="2" customFormat="1" ht="33" customHeight="1" thickBot="1">
      <c r="A41" s="70"/>
      <c r="B41" s="58"/>
      <c r="C41" s="58"/>
      <c r="D41" s="58"/>
      <c r="E41" s="58"/>
      <c r="F41" s="71"/>
      <c r="G41" s="58"/>
      <c r="H41" s="70"/>
      <c r="I41" s="58"/>
      <c r="J41" s="107" t="str">
        <f>I19</f>
        <v>ANTES DE INMERSIÓN</v>
      </c>
      <c r="K41" s="107" t="str">
        <f>K19</f>
        <v xml:space="preserve">DESPUÉS DE INMERSIÓN </v>
      </c>
      <c r="L41" s="108"/>
      <c r="M41" s="20"/>
      <c r="P41" s="109"/>
      <c r="Q41" s="135"/>
      <c r="R41" s="136"/>
    </row>
    <row r="42" spans="1:19" s="2" customFormat="1" ht="22.5" customHeight="1">
      <c r="A42" s="70"/>
      <c r="B42" s="58"/>
      <c r="C42" s="58"/>
      <c r="D42" s="58"/>
      <c r="E42" s="58"/>
      <c r="F42" s="58"/>
      <c r="G42" s="58"/>
      <c r="H42" s="21" t="s">
        <v>74</v>
      </c>
      <c r="I42" s="110" t="s">
        <v>60</v>
      </c>
      <c r="J42" s="111">
        <f>(J27/6.9)*100</f>
        <v>4.5608665646472826</v>
      </c>
      <c r="K42" s="112">
        <f>(L27/6.9)*100</f>
        <v>1.1327152158910192</v>
      </c>
      <c r="L42" s="99"/>
      <c r="P42" s="113"/>
      <c r="Q42" s="137"/>
      <c r="R42" s="136"/>
    </row>
    <row r="43" spans="1:19" s="2" customFormat="1" ht="22.5" customHeight="1" thickBot="1">
      <c r="A43" s="70"/>
      <c r="B43" s="73"/>
      <c r="C43" s="58"/>
      <c r="D43" s="58"/>
      <c r="E43" s="58"/>
      <c r="F43" s="58"/>
      <c r="G43" s="58"/>
      <c r="H43" s="74" t="s">
        <v>75</v>
      </c>
      <c r="I43" s="114" t="s">
        <v>60</v>
      </c>
      <c r="J43" s="115">
        <f>(J31/10.3)*100</f>
        <v>4.9900500512573114</v>
      </c>
      <c r="K43" s="116">
        <f>(L31/10.3)*100</f>
        <v>1.3216346057207178</v>
      </c>
      <c r="L43" s="99"/>
      <c r="P43" s="117"/>
      <c r="Q43" s="138"/>
      <c r="R43" s="139"/>
    </row>
    <row r="44" spans="1:19" s="2" customFormat="1" ht="22.5" customHeight="1" thickBot="1">
      <c r="A44" s="70"/>
      <c r="B44" s="73"/>
      <c r="C44" s="73"/>
      <c r="D44" s="73"/>
      <c r="E44" s="58"/>
      <c r="F44" s="58"/>
      <c r="G44" s="58"/>
      <c r="H44" s="74" t="s">
        <v>76</v>
      </c>
      <c r="I44" s="114"/>
      <c r="J44" s="118">
        <f>IF(J42&lt;J43,J42,J43)</f>
        <v>4.5608665646472826</v>
      </c>
      <c r="K44" s="119">
        <f>IF(K42&lt;K43,K42,K43)</f>
        <v>1.1327152158910192</v>
      </c>
      <c r="L44" s="120"/>
      <c r="M44" s="121"/>
    </row>
    <row r="45" spans="1:19" s="2" customFormat="1" ht="22.5" customHeight="1">
      <c r="A45" s="70"/>
      <c r="B45" s="58"/>
      <c r="C45" s="58"/>
      <c r="D45" s="59"/>
      <c r="E45" s="59"/>
      <c r="F45" s="59"/>
      <c r="G45" s="58"/>
      <c r="H45" s="4"/>
      <c r="I45" s="122"/>
      <c r="J45" s="122"/>
      <c r="K45" s="122"/>
      <c r="L45" s="99"/>
    </row>
    <row r="46" spans="1:19" s="2" customFormat="1" ht="22.5" customHeight="1">
      <c r="A46" s="70"/>
      <c r="B46" s="58"/>
      <c r="C46" s="58"/>
      <c r="D46" s="59"/>
      <c r="E46" s="59"/>
      <c r="F46" s="59"/>
      <c r="G46" s="58"/>
      <c r="H46" s="222" t="s">
        <v>77</v>
      </c>
      <c r="I46" s="222"/>
      <c r="J46" s="222" t="s">
        <v>78</v>
      </c>
      <c r="K46" s="222"/>
      <c r="L46" s="223"/>
    </row>
    <row r="47" spans="1:19" s="2" customFormat="1" ht="22.5" customHeight="1">
      <c r="A47" s="70"/>
      <c r="B47" s="56"/>
      <c r="C47" s="75"/>
      <c r="D47" s="76"/>
      <c r="E47" s="59"/>
      <c r="F47" s="59"/>
      <c r="G47" s="59"/>
      <c r="H47" s="77"/>
      <c r="I47" s="123"/>
      <c r="J47" s="77"/>
      <c r="K47" s="123"/>
      <c r="L47" s="124"/>
    </row>
    <row r="48" spans="1:19" s="2" customFormat="1" ht="22.5" customHeight="1">
      <c r="A48" s="70"/>
      <c r="B48" s="56"/>
      <c r="C48" s="75"/>
      <c r="D48" s="76"/>
      <c r="E48" s="59"/>
      <c r="F48" s="59"/>
      <c r="G48" s="59"/>
      <c r="H48" s="77"/>
      <c r="I48" s="123"/>
      <c r="J48" s="77"/>
      <c r="K48" s="123"/>
      <c r="L48" s="124"/>
    </row>
    <row r="49" spans="1:15" s="2" customFormat="1" ht="22.5" customHeight="1">
      <c r="A49" s="70"/>
      <c r="B49" s="56"/>
      <c r="C49" s="75"/>
      <c r="D49" s="76"/>
      <c r="E49" s="59"/>
      <c r="F49" s="59"/>
      <c r="G49" s="59"/>
      <c r="H49" s="77"/>
      <c r="I49" s="123"/>
      <c r="J49" s="77"/>
      <c r="K49"/>
      <c r="L49" s="124"/>
    </row>
    <row r="50" spans="1:15" s="2" customFormat="1" ht="22.5" customHeight="1">
      <c r="A50" s="70"/>
      <c r="B50" s="56"/>
      <c r="C50" s="75"/>
      <c r="D50" s="76"/>
      <c r="E50" s="59"/>
      <c r="F50" s="59"/>
      <c r="G50" s="59"/>
      <c r="H50" s="78"/>
      <c r="I50" s="78"/>
      <c r="J50" s="77"/>
      <c r="K50" s="123"/>
      <c r="L50" s="124"/>
    </row>
    <row r="51" spans="1:15" s="2" customFormat="1" ht="22.5" customHeight="1">
      <c r="A51" s="70"/>
      <c r="B51" s="56"/>
      <c r="C51" s="75"/>
      <c r="D51" s="76"/>
      <c r="E51" s="59"/>
      <c r="F51" s="59"/>
      <c r="G51" s="59"/>
      <c r="H51" s="220" t="s">
        <v>79</v>
      </c>
      <c r="I51" s="220"/>
      <c r="J51" s="220" t="s">
        <v>87</v>
      </c>
      <c r="K51" s="220"/>
      <c r="L51" s="221"/>
    </row>
    <row r="52" spans="1:15" s="2" customFormat="1" ht="22.5" customHeight="1">
      <c r="A52" s="70"/>
      <c r="B52" s="56"/>
      <c r="C52" s="75"/>
      <c r="D52" s="76"/>
      <c r="E52" s="59"/>
      <c r="F52" s="59"/>
      <c r="G52" s="59"/>
      <c r="H52" s="222" t="s">
        <v>80</v>
      </c>
      <c r="I52" s="222"/>
      <c r="J52" s="222" t="s">
        <v>81</v>
      </c>
      <c r="K52" s="222"/>
      <c r="L52" s="223"/>
    </row>
    <row r="53" spans="1:15" s="2" customFormat="1" ht="22.5" customHeight="1">
      <c r="A53" s="70"/>
      <c r="B53" s="56"/>
      <c r="C53" s="75"/>
      <c r="D53" s="76"/>
      <c r="E53" s="59"/>
      <c r="F53" s="59"/>
      <c r="G53" s="59"/>
      <c r="H53" s="186"/>
      <c r="I53" s="186"/>
      <c r="J53" s="186"/>
      <c r="K53" s="186"/>
      <c r="L53" s="99"/>
    </row>
    <row r="54" spans="1:15" s="2" customFormat="1" ht="22.5" customHeight="1">
      <c r="A54" s="70"/>
      <c r="B54" s="56"/>
      <c r="C54" s="75"/>
      <c r="D54" s="76"/>
      <c r="E54" s="59"/>
      <c r="F54" s="59"/>
      <c r="G54" s="59"/>
      <c r="H54" s="58"/>
      <c r="I54" s="58"/>
      <c r="J54" s="125"/>
      <c r="K54" s="58"/>
      <c r="L54" s="99"/>
      <c r="M54" s="126"/>
      <c r="N54" s="3"/>
    </row>
    <row r="55" spans="1:15" s="2" customFormat="1" ht="22.5" customHeight="1">
      <c r="A55" s="70"/>
      <c r="B55" s="56"/>
      <c r="C55" s="75"/>
      <c r="D55" s="76"/>
      <c r="E55" s="59"/>
      <c r="F55" s="59"/>
      <c r="G55" s="59"/>
      <c r="H55" s="58"/>
      <c r="I55" s="58"/>
      <c r="J55" s="127"/>
      <c r="K55" s="125"/>
      <c r="L55" s="128"/>
      <c r="M55" s="129"/>
      <c r="N55" s="3"/>
    </row>
    <row r="56" spans="1:15" s="2" customFormat="1" ht="22.5" customHeight="1">
      <c r="A56" s="264" t="s">
        <v>82</v>
      </c>
      <c r="B56" s="265"/>
      <c r="C56" s="265"/>
      <c r="D56" s="265"/>
      <c r="E56" s="265"/>
      <c r="F56" s="265"/>
      <c r="G56" s="265"/>
      <c r="H56" s="265"/>
      <c r="I56" s="265"/>
      <c r="J56" s="265"/>
      <c r="K56" s="265"/>
      <c r="L56" s="266"/>
      <c r="M56" s="130"/>
      <c r="N56" s="3"/>
      <c r="O56" s="3"/>
    </row>
    <row r="57" spans="1:15" s="2" customFormat="1" ht="22.5" customHeight="1">
      <c r="A57" s="261" t="s">
        <v>83</v>
      </c>
      <c r="B57" s="262"/>
      <c r="C57" s="262"/>
      <c r="D57" s="262"/>
      <c r="E57" s="262"/>
      <c r="F57" s="262"/>
      <c r="G57" s="262"/>
      <c r="H57" s="262"/>
      <c r="I57" s="262"/>
      <c r="J57" s="262"/>
      <c r="K57" s="262"/>
      <c r="L57" s="263"/>
      <c r="M57" s="3"/>
      <c r="N57" s="3"/>
      <c r="O57" s="3"/>
    </row>
    <row r="58" spans="1:15" s="2" customFormat="1" ht="22.5" customHeight="1">
      <c r="A58" s="261"/>
      <c r="B58" s="262"/>
      <c r="C58" s="262"/>
      <c r="D58" s="262"/>
      <c r="E58" s="262"/>
      <c r="F58" s="262"/>
      <c r="G58" s="262"/>
      <c r="H58" s="262"/>
      <c r="I58" s="262"/>
      <c r="J58" s="262"/>
      <c r="K58" s="262"/>
      <c r="L58" s="263"/>
      <c r="M58" s="3"/>
      <c r="N58" s="3"/>
      <c r="O58" s="3"/>
    </row>
    <row r="59" spans="1:15" ht="15" thickBot="1">
      <c r="A59" s="267" t="s">
        <v>84</v>
      </c>
      <c r="B59" s="268"/>
      <c r="C59" s="268"/>
      <c r="D59" s="268"/>
      <c r="E59" s="268"/>
      <c r="F59" s="268"/>
      <c r="G59" s="268"/>
      <c r="H59" s="268"/>
      <c r="I59" s="268"/>
      <c r="J59" s="268"/>
      <c r="K59" s="268"/>
      <c r="L59" s="269"/>
    </row>
    <row r="63" spans="1:15">
      <c r="I63" s="79"/>
      <c r="J63" s="79"/>
      <c r="K63" s="79"/>
      <c r="L63" s="79"/>
      <c r="M63" s="79"/>
      <c r="N63" s="79"/>
    </row>
    <row r="64" spans="1:15" ht="15" customHeight="1">
      <c r="E64" s="79"/>
      <c r="F64" s="79"/>
      <c r="G64" s="79"/>
      <c r="H64" s="79"/>
      <c r="I64" s="131"/>
      <c r="J64" s="131"/>
      <c r="K64" s="131"/>
      <c r="L64" s="131"/>
      <c r="M64" s="131"/>
      <c r="N64" s="131"/>
    </row>
    <row r="65" spans="2:18" ht="15" customHeight="1">
      <c r="E65" s="131"/>
      <c r="F65" s="131"/>
      <c r="G65" s="131"/>
      <c r="H65" s="131"/>
      <c r="I65" s="131"/>
      <c r="J65" s="131"/>
      <c r="K65" s="131"/>
      <c r="L65" s="131"/>
      <c r="M65" s="131"/>
      <c r="N65" s="131"/>
    </row>
    <row r="66" spans="2:18" ht="15" customHeight="1">
      <c r="E66" s="131"/>
      <c r="F66" s="131"/>
      <c r="G66" s="131"/>
      <c r="H66" s="131"/>
      <c r="I66" s="131"/>
      <c r="J66" s="131"/>
      <c r="K66" s="131"/>
      <c r="L66" s="131"/>
      <c r="M66" s="131"/>
      <c r="N66" s="131"/>
    </row>
    <row r="67" spans="2:18" ht="30.75" customHeight="1">
      <c r="E67" s="131"/>
      <c r="F67" s="131"/>
      <c r="G67" s="131"/>
      <c r="H67" s="131"/>
      <c r="I67" s="140"/>
      <c r="J67" s="140"/>
      <c r="K67" s="140"/>
      <c r="L67" s="140"/>
      <c r="M67" s="140"/>
      <c r="N67" s="140"/>
    </row>
    <row r="68" spans="2:18" ht="15" customHeight="1">
      <c r="E68" s="140"/>
      <c r="F68" s="140"/>
      <c r="G68" s="140"/>
      <c r="H68" s="140"/>
      <c r="I68" s="140"/>
      <c r="J68" s="140"/>
      <c r="K68" s="140"/>
      <c r="L68" s="140"/>
      <c r="M68" s="140"/>
      <c r="N68" s="140"/>
    </row>
    <row r="69" spans="2:18" ht="15" customHeight="1">
      <c r="E69" s="140"/>
      <c r="F69" s="140"/>
      <c r="G69" s="140"/>
      <c r="H69" s="140"/>
    </row>
    <row r="70" spans="2:18" ht="31.5" customHeight="1">
      <c r="E70" s="270"/>
      <c r="F70" s="270"/>
      <c r="G70" s="270"/>
      <c r="H70" s="270"/>
      <c r="I70" s="270"/>
      <c r="J70" s="270"/>
      <c r="K70" s="270"/>
      <c r="L70" s="270"/>
      <c r="M70" s="270"/>
      <c r="N70" s="270"/>
      <c r="O70" s="270"/>
      <c r="P70" s="270"/>
    </row>
    <row r="71" spans="2:18" ht="24" customHeight="1">
      <c r="B71" s="141"/>
      <c r="C71" s="142"/>
      <c r="D71" s="142"/>
      <c r="E71" s="142"/>
      <c r="F71" s="142"/>
      <c r="G71" s="142"/>
      <c r="H71" s="142"/>
      <c r="I71" s="142"/>
      <c r="J71" s="142"/>
      <c r="K71" s="142"/>
      <c r="L71" s="142"/>
      <c r="M71" s="142"/>
      <c r="N71" s="142"/>
      <c r="O71" s="142"/>
      <c r="P71" s="142"/>
      <c r="Q71" s="142"/>
      <c r="R71" s="142"/>
    </row>
    <row r="72" spans="2:18" ht="15" customHeight="1">
      <c r="B72" s="142"/>
      <c r="C72" s="142"/>
      <c r="D72" s="260"/>
      <c r="E72" s="260"/>
      <c r="F72" s="260"/>
      <c r="G72" s="260"/>
      <c r="H72" s="260"/>
      <c r="I72" s="260"/>
      <c r="J72" s="260"/>
      <c r="K72" s="260"/>
      <c r="L72" s="260"/>
      <c r="M72" s="260"/>
      <c r="N72" s="260"/>
      <c r="O72" s="260"/>
      <c r="P72" s="142"/>
      <c r="Q72" s="142"/>
      <c r="R72" s="142"/>
    </row>
    <row r="73" spans="2:18">
      <c r="D73" s="260"/>
      <c r="E73" s="260"/>
      <c r="F73" s="260"/>
      <c r="G73" s="260"/>
      <c r="H73" s="260"/>
      <c r="I73" s="260"/>
      <c r="J73" s="260"/>
      <c r="K73" s="260"/>
      <c r="L73" s="260"/>
      <c r="M73" s="260"/>
      <c r="N73" s="260"/>
      <c r="O73" s="260"/>
    </row>
  </sheetData>
  <sheetProtection formatCells="0" formatColumns="0" insertColumns="0" insertRows="0" deleteColumns="0" deleteRows="0"/>
  <mergeCells count="74">
    <mergeCell ref="D72:O73"/>
    <mergeCell ref="H46:I46"/>
    <mergeCell ref="J46:L46"/>
    <mergeCell ref="H51:I51"/>
    <mergeCell ref="J51:L51"/>
    <mergeCell ref="H52:I52"/>
    <mergeCell ref="J52:L52"/>
    <mergeCell ref="H53:K53"/>
    <mergeCell ref="A56:L56"/>
    <mergeCell ref="A57:L58"/>
    <mergeCell ref="A59:L59"/>
    <mergeCell ref="E70:P70"/>
    <mergeCell ref="A39:B39"/>
    <mergeCell ref="D39:E39"/>
    <mergeCell ref="J39:K39"/>
    <mergeCell ref="A40:B40"/>
    <mergeCell ref="D40:E40"/>
    <mergeCell ref="J40:K40"/>
    <mergeCell ref="A38:B38"/>
    <mergeCell ref="D38:E38"/>
    <mergeCell ref="H38:I38"/>
    <mergeCell ref="J38:K38"/>
    <mergeCell ref="A28:B28"/>
    <mergeCell ref="A29:E29"/>
    <mergeCell ref="A30:B30"/>
    <mergeCell ref="A31:B31"/>
    <mergeCell ref="A32:B32"/>
    <mergeCell ref="A33:B33"/>
    <mergeCell ref="A34:B34"/>
    <mergeCell ref="A36:E36"/>
    <mergeCell ref="H36:K36"/>
    <mergeCell ref="A37:B37"/>
    <mergeCell ref="D37:E37"/>
    <mergeCell ref="A27:B27"/>
    <mergeCell ref="A19:C19"/>
    <mergeCell ref="G19:H20"/>
    <mergeCell ref="I19:J19"/>
    <mergeCell ref="K19:L19"/>
    <mergeCell ref="A20:B20"/>
    <mergeCell ref="A21:B21"/>
    <mergeCell ref="A22:B22"/>
    <mergeCell ref="A23:B23"/>
    <mergeCell ref="A24:B24"/>
    <mergeCell ref="A25:B25"/>
    <mergeCell ref="A26:B26"/>
    <mergeCell ref="A18:E18"/>
    <mergeCell ref="G18:L18"/>
    <mergeCell ref="C8:G8"/>
    <mergeCell ref="H8:I8"/>
    <mergeCell ref="J8:L8"/>
    <mergeCell ref="C9:G9"/>
    <mergeCell ref="H9:I9"/>
    <mergeCell ref="C10:G10"/>
    <mergeCell ref="H10:I10"/>
    <mergeCell ref="J10:L10"/>
    <mergeCell ref="B11:K11"/>
    <mergeCell ref="F12:G12"/>
    <mergeCell ref="H12:I12"/>
    <mergeCell ref="C13:L13"/>
    <mergeCell ref="A16:L16"/>
    <mergeCell ref="B5:K5"/>
    <mergeCell ref="C6:G6"/>
    <mergeCell ref="H6:I6"/>
    <mergeCell ref="J6:L6"/>
    <mergeCell ref="C7:G7"/>
    <mergeCell ref="H7:I7"/>
    <mergeCell ref="J7:L7"/>
    <mergeCell ref="A1:B4"/>
    <mergeCell ref="C1:J1"/>
    <mergeCell ref="K1:L1"/>
    <mergeCell ref="C2:J4"/>
    <mergeCell ref="K2:L2"/>
    <mergeCell ref="K3:L3"/>
    <mergeCell ref="K4:L4"/>
  </mergeCells>
  <conditionalFormatting sqref="C6:G10">
    <cfRule type="containsBlanks" dxfId="89" priority="10">
      <formula>LEN(TRIM(C6))=0</formula>
    </cfRule>
  </conditionalFormatting>
  <conditionalFormatting sqref="C13:L13">
    <cfRule type="containsBlanks" dxfId="88" priority="9">
      <formula>LEN(TRIM(C13))=0</formula>
    </cfRule>
  </conditionalFormatting>
  <conditionalFormatting sqref="D20:D24">
    <cfRule type="containsBlanks" dxfId="87" priority="4">
      <formula>LEN(TRIM(D20))=0</formula>
    </cfRule>
  </conditionalFormatting>
  <conditionalFormatting sqref="D37:D38">
    <cfRule type="containsBlanks" dxfId="86" priority="3">
      <formula>LEN(TRIM(D37))=0</formula>
    </cfRule>
  </conditionalFormatting>
  <conditionalFormatting sqref="D30:E33">
    <cfRule type="containsBlanks" dxfId="85" priority="1">
      <formula>LEN(TRIM(D30))=0</formula>
    </cfRule>
  </conditionalFormatting>
  <conditionalFormatting sqref="E23">
    <cfRule type="containsBlanks" dxfId="84" priority="5">
      <formula>LEN(TRIM(E23))=0</formula>
    </cfRule>
  </conditionalFormatting>
  <conditionalFormatting sqref="F12:G12">
    <cfRule type="containsBlanks" dxfId="83" priority="8">
      <formula>LEN(TRIM(F12))=0</formula>
    </cfRule>
  </conditionalFormatting>
  <conditionalFormatting sqref="I22:I34">
    <cfRule type="containsBlanks" dxfId="82" priority="7">
      <formula>LEN(TRIM(I22))=0</formula>
    </cfRule>
  </conditionalFormatting>
  <conditionalFormatting sqref="I37">
    <cfRule type="containsBlanks" dxfId="81" priority="2">
      <formula>LEN(TRIM(I37))=0</formula>
    </cfRule>
  </conditionalFormatting>
  <conditionalFormatting sqref="K22:K34">
    <cfRule type="containsBlanks" dxfId="80" priority="6">
      <formula>LEN(TRIM(K22))=0</formula>
    </cfRule>
  </conditionalFormatting>
  <dataValidations count="2">
    <dataValidation type="list" allowBlank="1" showInputMessage="1" showErrorMessage="1" sqref="C12" xr:uid="{C0935D42-51E0-42F8-946F-02520B8373AA}">
      <formula1>$T$6:$T$13</formula1>
    </dataValidation>
    <dataValidation type="list" allowBlank="1" showInputMessage="1" showErrorMessage="1" sqref="I37" xr:uid="{2C5726EF-2011-4266-9911-8E32BEC58ED7}">
      <formula1>"5 kN, 50 kN"</formula1>
    </dataValidation>
  </dataValidations>
  <printOptions horizontalCentered="1" verticalCentered="1"/>
  <pageMargins left="0.31496062992126" right="0.31496062992126" top="0.15748031496063" bottom="0.55118110236220497" header="0" footer="0.118110236220472"/>
  <pageSetup scale="42" fitToWidth="0" fitToHeight="0" orientation="landscape" r:id="rId1"/>
  <headerFooter>
    <oddFooter>&amp;C&amp;"Arial,Normal"&amp;10GEODELTA S.A.S. Calle 68 B bis No 70 C 95, Móvil: 318 7902368 Bogotá DC - Colombia
e-mail: laboratoriogeodelta@gmail.com</oddFooter>
  </headerFooter>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AEBF83-AB4D-42DD-914E-B6CE490EF0D8}">
  <sheetPr>
    <tabColor rgb="FFFF0000"/>
  </sheetPr>
  <dimension ref="A1:AB73"/>
  <sheetViews>
    <sheetView showGridLines="0" view="pageBreakPreview" topLeftCell="B14" zoomScale="96" zoomScaleNormal="50" zoomScaleSheetLayoutView="96" zoomScalePageLayoutView="50" workbookViewId="0">
      <selection activeCell="J15" sqref="J15"/>
    </sheetView>
  </sheetViews>
  <sheetFormatPr baseColWidth="10" defaultColWidth="11" defaultRowHeight="14.25"/>
  <cols>
    <col min="1" max="1" width="10.5703125" style="3" customWidth="1"/>
    <col min="2" max="2" width="35.42578125" style="3" customWidth="1"/>
    <col min="3" max="3" width="20.85546875" style="3" customWidth="1"/>
    <col min="4" max="5" width="26.7109375" style="3" customWidth="1"/>
    <col min="6" max="6" width="3.7109375" style="3" customWidth="1"/>
    <col min="7" max="7" width="29.140625" style="3" customWidth="1"/>
    <col min="8" max="8" width="27.140625" style="3" customWidth="1"/>
    <col min="9" max="10" width="24.28515625" style="3" customWidth="1"/>
    <col min="11" max="12" width="22.42578125" style="3" customWidth="1"/>
    <col min="13" max="13" width="1.85546875" style="3" customWidth="1"/>
    <col min="14" max="16" width="12.85546875" style="3" customWidth="1"/>
    <col min="17" max="17" width="6.5703125" style="3" customWidth="1"/>
    <col min="18" max="18" width="6.28515625" style="3" customWidth="1"/>
    <col min="19" max="184" width="11" style="3"/>
    <col min="185" max="185" width="0.7109375" style="3" customWidth="1"/>
    <col min="186" max="186" width="6.5703125" style="3" customWidth="1"/>
    <col min="187" max="187" width="13.5703125" style="3" customWidth="1"/>
    <col min="188" max="188" width="13.42578125" style="3" customWidth="1"/>
    <col min="189" max="190" width="12.5703125" style="3" customWidth="1"/>
    <col min="191" max="191" width="14.85546875" style="3" customWidth="1"/>
    <col min="192" max="192" width="20.7109375" style="3" customWidth="1"/>
    <col min="193" max="193" width="12.5703125" style="3" customWidth="1"/>
    <col min="194" max="194" width="13" style="3" customWidth="1"/>
    <col min="195" max="195" width="16" style="3" customWidth="1"/>
    <col min="196" max="196" width="6.42578125" style="3" customWidth="1"/>
    <col min="197" max="197" width="16" style="3" customWidth="1"/>
    <col min="198" max="198" width="2.85546875" style="3" customWidth="1"/>
    <col min="199" max="199" width="0.85546875" style="3" customWidth="1"/>
    <col min="200" max="200" width="11" style="3"/>
    <col min="201" max="201" width="15.42578125" style="3" customWidth="1"/>
    <col min="202" max="204" width="14.85546875" style="3" customWidth="1"/>
    <col min="205" max="205" width="0.7109375" style="3" customWidth="1"/>
    <col min="206" max="206" width="11" style="3"/>
    <col min="207" max="207" width="15.7109375" style="3" customWidth="1"/>
    <col min="208" max="209" width="14.85546875" style="3" customWidth="1"/>
    <col min="210" max="210" width="3.28515625" style="3" customWidth="1"/>
    <col min="211" max="211" width="20.140625" style="3" customWidth="1"/>
    <col min="212" max="212" width="3.28515625" style="3" customWidth="1"/>
    <col min="213" max="217" width="11" style="3"/>
    <col min="218" max="230" width="4.7109375" style="3" customWidth="1"/>
    <col min="231" max="440" width="11" style="3"/>
    <col min="441" max="441" width="0.7109375" style="3" customWidth="1"/>
    <col min="442" max="442" width="6.5703125" style="3" customWidth="1"/>
    <col min="443" max="443" width="13.5703125" style="3" customWidth="1"/>
    <col min="444" max="444" width="13.42578125" style="3" customWidth="1"/>
    <col min="445" max="446" width="12.5703125" style="3" customWidth="1"/>
    <col min="447" max="447" width="14.85546875" style="3" customWidth="1"/>
    <col min="448" max="448" width="20.7109375" style="3" customWidth="1"/>
    <col min="449" max="449" width="12.5703125" style="3" customWidth="1"/>
    <col min="450" max="450" width="13" style="3" customWidth="1"/>
    <col min="451" max="451" width="16" style="3" customWidth="1"/>
    <col min="452" max="452" width="6.42578125" style="3" customWidth="1"/>
    <col min="453" max="453" width="16" style="3" customWidth="1"/>
    <col min="454" max="454" width="2.85546875" style="3" customWidth="1"/>
    <col min="455" max="455" width="0.85546875" style="3" customWidth="1"/>
    <col min="456" max="456" width="11" style="3"/>
    <col min="457" max="457" width="15.42578125" style="3" customWidth="1"/>
    <col min="458" max="460" width="14.85546875" style="3" customWidth="1"/>
    <col min="461" max="461" width="0.7109375" style="3" customWidth="1"/>
    <col min="462" max="462" width="11" style="3"/>
    <col min="463" max="463" width="15.7109375" style="3" customWidth="1"/>
    <col min="464" max="465" width="14.85546875" style="3" customWidth="1"/>
    <col min="466" max="466" width="3.28515625" style="3" customWidth="1"/>
    <col min="467" max="467" width="20.140625" style="3" customWidth="1"/>
    <col min="468" max="468" width="3.28515625" style="3" customWidth="1"/>
    <col min="469" max="473" width="11" style="3"/>
    <col min="474" max="486" width="4.7109375" style="3" customWidth="1"/>
    <col min="487" max="696" width="11" style="3"/>
    <col min="697" max="697" width="0.7109375" style="3" customWidth="1"/>
    <col min="698" max="698" width="6.5703125" style="3" customWidth="1"/>
    <col min="699" max="699" width="13.5703125" style="3" customWidth="1"/>
    <col min="700" max="700" width="13.42578125" style="3" customWidth="1"/>
    <col min="701" max="702" width="12.5703125" style="3" customWidth="1"/>
    <col min="703" max="703" width="14.85546875" style="3" customWidth="1"/>
    <col min="704" max="704" width="20.7109375" style="3" customWidth="1"/>
    <col min="705" max="705" width="12.5703125" style="3" customWidth="1"/>
    <col min="706" max="706" width="13" style="3" customWidth="1"/>
    <col min="707" max="707" width="16" style="3" customWidth="1"/>
    <col min="708" max="708" width="6.42578125" style="3" customWidth="1"/>
    <col min="709" max="709" width="16" style="3" customWidth="1"/>
    <col min="710" max="710" width="2.85546875" style="3" customWidth="1"/>
    <col min="711" max="711" width="0.85546875" style="3" customWidth="1"/>
    <col min="712" max="712" width="11" style="3"/>
    <col min="713" max="713" width="15.42578125" style="3" customWidth="1"/>
    <col min="714" max="716" width="14.85546875" style="3" customWidth="1"/>
    <col min="717" max="717" width="0.7109375" style="3" customWidth="1"/>
    <col min="718" max="718" width="11" style="3"/>
    <col min="719" max="719" width="15.7109375" style="3" customWidth="1"/>
    <col min="720" max="721" width="14.85546875" style="3" customWidth="1"/>
    <col min="722" max="722" width="3.28515625" style="3" customWidth="1"/>
    <col min="723" max="723" width="20.140625" style="3" customWidth="1"/>
    <col min="724" max="724" width="3.28515625" style="3" customWidth="1"/>
    <col min="725" max="729" width="11" style="3"/>
    <col min="730" max="742" width="4.7109375" style="3" customWidth="1"/>
    <col min="743" max="952" width="11" style="3"/>
    <col min="953" max="953" width="0.7109375" style="3" customWidth="1"/>
    <col min="954" max="954" width="6.5703125" style="3" customWidth="1"/>
    <col min="955" max="955" width="13.5703125" style="3" customWidth="1"/>
    <col min="956" max="956" width="13.42578125" style="3" customWidth="1"/>
    <col min="957" max="958" width="12.5703125" style="3" customWidth="1"/>
    <col min="959" max="959" width="14.85546875" style="3" customWidth="1"/>
    <col min="960" max="960" width="20.7109375" style="3" customWidth="1"/>
    <col min="961" max="961" width="12.5703125" style="3" customWidth="1"/>
    <col min="962" max="962" width="13" style="3" customWidth="1"/>
    <col min="963" max="963" width="16" style="3" customWidth="1"/>
    <col min="964" max="964" width="6.42578125" style="3" customWidth="1"/>
    <col min="965" max="965" width="16" style="3" customWidth="1"/>
    <col min="966" max="966" width="2.85546875" style="3" customWidth="1"/>
    <col min="967" max="967" width="0.85546875" style="3" customWidth="1"/>
    <col min="968" max="968" width="11" style="3"/>
    <col min="969" max="969" width="15.42578125" style="3" customWidth="1"/>
    <col min="970" max="972" width="14.85546875" style="3" customWidth="1"/>
    <col min="973" max="973" width="0.7109375" style="3" customWidth="1"/>
    <col min="974" max="974" width="11" style="3"/>
    <col min="975" max="975" width="15.7109375" style="3" customWidth="1"/>
    <col min="976" max="977" width="14.85546875" style="3" customWidth="1"/>
    <col min="978" max="978" width="3.28515625" style="3" customWidth="1"/>
    <col min="979" max="979" width="20.140625" style="3" customWidth="1"/>
    <col min="980" max="980" width="3.28515625" style="3" customWidth="1"/>
    <col min="981" max="985" width="11" style="3"/>
    <col min="986" max="998" width="4.7109375" style="3" customWidth="1"/>
    <col min="999" max="1208" width="11" style="3"/>
    <col min="1209" max="1209" width="0.7109375" style="3" customWidth="1"/>
    <col min="1210" max="1210" width="6.5703125" style="3" customWidth="1"/>
    <col min="1211" max="1211" width="13.5703125" style="3" customWidth="1"/>
    <col min="1212" max="1212" width="13.42578125" style="3" customWidth="1"/>
    <col min="1213" max="1214" width="12.5703125" style="3" customWidth="1"/>
    <col min="1215" max="1215" width="14.85546875" style="3" customWidth="1"/>
    <col min="1216" max="1216" width="20.7109375" style="3" customWidth="1"/>
    <col min="1217" max="1217" width="12.5703125" style="3" customWidth="1"/>
    <col min="1218" max="1218" width="13" style="3" customWidth="1"/>
    <col min="1219" max="1219" width="16" style="3" customWidth="1"/>
    <col min="1220" max="1220" width="6.42578125" style="3" customWidth="1"/>
    <col min="1221" max="1221" width="16" style="3" customWidth="1"/>
    <col min="1222" max="1222" width="2.85546875" style="3" customWidth="1"/>
    <col min="1223" max="1223" width="0.85546875" style="3" customWidth="1"/>
    <col min="1224" max="1224" width="11" style="3"/>
    <col min="1225" max="1225" width="15.42578125" style="3" customWidth="1"/>
    <col min="1226" max="1228" width="14.85546875" style="3" customWidth="1"/>
    <col min="1229" max="1229" width="0.7109375" style="3" customWidth="1"/>
    <col min="1230" max="1230" width="11" style="3"/>
    <col min="1231" max="1231" width="15.7109375" style="3" customWidth="1"/>
    <col min="1232" max="1233" width="14.85546875" style="3" customWidth="1"/>
    <col min="1234" max="1234" width="3.28515625" style="3" customWidth="1"/>
    <col min="1235" max="1235" width="20.140625" style="3" customWidth="1"/>
    <col min="1236" max="1236" width="3.28515625" style="3" customWidth="1"/>
    <col min="1237" max="1241" width="11" style="3"/>
    <col min="1242" max="1254" width="4.7109375" style="3" customWidth="1"/>
    <col min="1255" max="1464" width="11" style="3"/>
    <col min="1465" max="1465" width="0.7109375" style="3" customWidth="1"/>
    <col min="1466" max="1466" width="6.5703125" style="3" customWidth="1"/>
    <col min="1467" max="1467" width="13.5703125" style="3" customWidth="1"/>
    <col min="1468" max="1468" width="13.42578125" style="3" customWidth="1"/>
    <col min="1469" max="1470" width="12.5703125" style="3" customWidth="1"/>
    <col min="1471" max="1471" width="14.85546875" style="3" customWidth="1"/>
    <col min="1472" max="1472" width="20.7109375" style="3" customWidth="1"/>
    <col min="1473" max="1473" width="12.5703125" style="3" customWidth="1"/>
    <col min="1474" max="1474" width="13" style="3" customWidth="1"/>
    <col min="1475" max="1475" width="16" style="3" customWidth="1"/>
    <col min="1476" max="1476" width="6.42578125" style="3" customWidth="1"/>
    <col min="1477" max="1477" width="16" style="3" customWidth="1"/>
    <col min="1478" max="1478" width="2.85546875" style="3" customWidth="1"/>
    <col min="1479" max="1479" width="0.85546875" style="3" customWidth="1"/>
    <col min="1480" max="1480" width="11" style="3"/>
    <col min="1481" max="1481" width="15.42578125" style="3" customWidth="1"/>
    <col min="1482" max="1484" width="14.85546875" style="3" customWidth="1"/>
    <col min="1485" max="1485" width="0.7109375" style="3" customWidth="1"/>
    <col min="1486" max="1486" width="11" style="3"/>
    <col min="1487" max="1487" width="15.7109375" style="3" customWidth="1"/>
    <col min="1488" max="1489" width="14.85546875" style="3" customWidth="1"/>
    <col min="1490" max="1490" width="3.28515625" style="3" customWidth="1"/>
    <col min="1491" max="1491" width="20.140625" style="3" customWidth="1"/>
    <col min="1492" max="1492" width="3.28515625" style="3" customWidth="1"/>
    <col min="1493" max="1497" width="11" style="3"/>
    <col min="1498" max="1510" width="4.7109375" style="3" customWidth="1"/>
    <col min="1511" max="1720" width="11" style="3"/>
    <col min="1721" max="1721" width="0.7109375" style="3" customWidth="1"/>
    <col min="1722" max="1722" width="6.5703125" style="3" customWidth="1"/>
    <col min="1723" max="1723" width="13.5703125" style="3" customWidth="1"/>
    <col min="1724" max="1724" width="13.42578125" style="3" customWidth="1"/>
    <col min="1725" max="1726" width="12.5703125" style="3" customWidth="1"/>
    <col min="1727" max="1727" width="14.85546875" style="3" customWidth="1"/>
    <col min="1728" max="1728" width="20.7109375" style="3" customWidth="1"/>
    <col min="1729" max="1729" width="12.5703125" style="3" customWidth="1"/>
    <col min="1730" max="1730" width="13" style="3" customWidth="1"/>
    <col min="1731" max="1731" width="16" style="3" customWidth="1"/>
    <col min="1732" max="1732" width="6.42578125" style="3" customWidth="1"/>
    <col min="1733" max="1733" width="16" style="3" customWidth="1"/>
    <col min="1734" max="1734" width="2.85546875" style="3" customWidth="1"/>
    <col min="1735" max="1735" width="0.85546875" style="3" customWidth="1"/>
    <col min="1736" max="1736" width="11" style="3"/>
    <col min="1737" max="1737" width="15.42578125" style="3" customWidth="1"/>
    <col min="1738" max="1740" width="14.85546875" style="3" customWidth="1"/>
    <col min="1741" max="1741" width="0.7109375" style="3" customWidth="1"/>
    <col min="1742" max="1742" width="11" style="3"/>
    <col min="1743" max="1743" width="15.7109375" style="3" customWidth="1"/>
    <col min="1744" max="1745" width="14.85546875" style="3" customWidth="1"/>
    <col min="1746" max="1746" width="3.28515625" style="3" customWidth="1"/>
    <col min="1747" max="1747" width="20.140625" style="3" customWidth="1"/>
    <col min="1748" max="1748" width="3.28515625" style="3" customWidth="1"/>
    <col min="1749" max="1753" width="11" style="3"/>
    <col min="1754" max="1766" width="4.7109375" style="3" customWidth="1"/>
    <col min="1767" max="1976" width="11" style="3"/>
    <col min="1977" max="1977" width="0.7109375" style="3" customWidth="1"/>
    <col min="1978" max="1978" width="6.5703125" style="3" customWidth="1"/>
    <col min="1979" max="1979" width="13.5703125" style="3" customWidth="1"/>
    <col min="1980" max="1980" width="13.42578125" style="3" customWidth="1"/>
    <col min="1981" max="1982" width="12.5703125" style="3" customWidth="1"/>
    <col min="1983" max="1983" width="14.85546875" style="3" customWidth="1"/>
    <col min="1984" max="1984" width="20.7109375" style="3" customWidth="1"/>
    <col min="1985" max="1985" width="12.5703125" style="3" customWidth="1"/>
    <col min="1986" max="1986" width="13" style="3" customWidth="1"/>
    <col min="1987" max="1987" width="16" style="3" customWidth="1"/>
    <col min="1988" max="1988" width="6.42578125" style="3" customWidth="1"/>
    <col min="1989" max="1989" width="16" style="3" customWidth="1"/>
    <col min="1990" max="1990" width="2.85546875" style="3" customWidth="1"/>
    <col min="1991" max="1991" width="0.85546875" style="3" customWidth="1"/>
    <col min="1992" max="1992" width="11" style="3"/>
    <col min="1993" max="1993" width="15.42578125" style="3" customWidth="1"/>
    <col min="1994" max="1996" width="14.85546875" style="3" customWidth="1"/>
    <col min="1997" max="1997" width="0.7109375" style="3" customWidth="1"/>
    <col min="1998" max="1998" width="11" style="3"/>
    <col min="1999" max="1999" width="15.7109375" style="3" customWidth="1"/>
    <col min="2000" max="2001" width="14.85546875" style="3" customWidth="1"/>
    <col min="2002" max="2002" width="3.28515625" style="3" customWidth="1"/>
    <col min="2003" max="2003" width="20.140625" style="3" customWidth="1"/>
    <col min="2004" max="2004" width="3.28515625" style="3" customWidth="1"/>
    <col min="2005" max="2009" width="11" style="3"/>
    <col min="2010" max="2022" width="4.7109375" style="3" customWidth="1"/>
    <col min="2023" max="2232" width="11" style="3"/>
    <col min="2233" max="2233" width="0.7109375" style="3" customWidth="1"/>
    <col min="2234" max="2234" width="6.5703125" style="3" customWidth="1"/>
    <col min="2235" max="2235" width="13.5703125" style="3" customWidth="1"/>
    <col min="2236" max="2236" width="13.42578125" style="3" customWidth="1"/>
    <col min="2237" max="2238" width="12.5703125" style="3" customWidth="1"/>
    <col min="2239" max="2239" width="14.85546875" style="3" customWidth="1"/>
    <col min="2240" max="2240" width="20.7109375" style="3" customWidth="1"/>
    <col min="2241" max="2241" width="12.5703125" style="3" customWidth="1"/>
    <col min="2242" max="2242" width="13" style="3" customWidth="1"/>
    <col min="2243" max="2243" width="16" style="3" customWidth="1"/>
    <col min="2244" max="2244" width="6.42578125" style="3" customWidth="1"/>
    <col min="2245" max="2245" width="16" style="3" customWidth="1"/>
    <col min="2246" max="2246" width="2.85546875" style="3" customWidth="1"/>
    <col min="2247" max="2247" width="0.85546875" style="3" customWidth="1"/>
    <col min="2248" max="2248" width="11" style="3"/>
    <col min="2249" max="2249" width="15.42578125" style="3" customWidth="1"/>
    <col min="2250" max="2252" width="14.85546875" style="3" customWidth="1"/>
    <col min="2253" max="2253" width="0.7109375" style="3" customWidth="1"/>
    <col min="2254" max="2254" width="11" style="3"/>
    <col min="2255" max="2255" width="15.7109375" style="3" customWidth="1"/>
    <col min="2256" max="2257" width="14.85546875" style="3" customWidth="1"/>
    <col min="2258" max="2258" width="3.28515625" style="3" customWidth="1"/>
    <col min="2259" max="2259" width="20.140625" style="3" customWidth="1"/>
    <col min="2260" max="2260" width="3.28515625" style="3" customWidth="1"/>
    <col min="2261" max="2265" width="11" style="3"/>
    <col min="2266" max="2278" width="4.7109375" style="3" customWidth="1"/>
    <col min="2279" max="2488" width="11" style="3"/>
    <col min="2489" max="2489" width="0.7109375" style="3" customWidth="1"/>
    <col min="2490" max="2490" width="6.5703125" style="3" customWidth="1"/>
    <col min="2491" max="2491" width="13.5703125" style="3" customWidth="1"/>
    <col min="2492" max="2492" width="13.42578125" style="3" customWidth="1"/>
    <col min="2493" max="2494" width="12.5703125" style="3" customWidth="1"/>
    <col min="2495" max="2495" width="14.85546875" style="3" customWidth="1"/>
    <col min="2496" max="2496" width="20.7109375" style="3" customWidth="1"/>
    <col min="2497" max="2497" width="12.5703125" style="3" customWidth="1"/>
    <col min="2498" max="2498" width="13" style="3" customWidth="1"/>
    <col min="2499" max="2499" width="16" style="3" customWidth="1"/>
    <col min="2500" max="2500" width="6.42578125" style="3" customWidth="1"/>
    <col min="2501" max="2501" width="16" style="3" customWidth="1"/>
    <col min="2502" max="2502" width="2.85546875" style="3" customWidth="1"/>
    <col min="2503" max="2503" width="0.85546875" style="3" customWidth="1"/>
    <col min="2504" max="2504" width="11" style="3"/>
    <col min="2505" max="2505" width="15.42578125" style="3" customWidth="1"/>
    <col min="2506" max="2508" width="14.85546875" style="3" customWidth="1"/>
    <col min="2509" max="2509" width="0.7109375" style="3" customWidth="1"/>
    <col min="2510" max="2510" width="11" style="3"/>
    <col min="2511" max="2511" width="15.7109375" style="3" customWidth="1"/>
    <col min="2512" max="2513" width="14.85546875" style="3" customWidth="1"/>
    <col min="2514" max="2514" width="3.28515625" style="3" customWidth="1"/>
    <col min="2515" max="2515" width="20.140625" style="3" customWidth="1"/>
    <col min="2516" max="2516" width="3.28515625" style="3" customWidth="1"/>
    <col min="2517" max="2521" width="11" style="3"/>
    <col min="2522" max="2534" width="4.7109375" style="3" customWidth="1"/>
    <col min="2535" max="2744" width="11" style="3"/>
    <col min="2745" max="2745" width="0.7109375" style="3" customWidth="1"/>
    <col min="2746" max="2746" width="6.5703125" style="3" customWidth="1"/>
    <col min="2747" max="2747" width="13.5703125" style="3" customWidth="1"/>
    <col min="2748" max="2748" width="13.42578125" style="3" customWidth="1"/>
    <col min="2749" max="2750" width="12.5703125" style="3" customWidth="1"/>
    <col min="2751" max="2751" width="14.85546875" style="3" customWidth="1"/>
    <col min="2752" max="2752" width="20.7109375" style="3" customWidth="1"/>
    <col min="2753" max="2753" width="12.5703125" style="3" customWidth="1"/>
    <col min="2754" max="2754" width="13" style="3" customWidth="1"/>
    <col min="2755" max="2755" width="16" style="3" customWidth="1"/>
    <col min="2756" max="2756" width="6.42578125" style="3" customWidth="1"/>
    <col min="2757" max="2757" width="16" style="3" customWidth="1"/>
    <col min="2758" max="2758" width="2.85546875" style="3" customWidth="1"/>
    <col min="2759" max="2759" width="0.85546875" style="3" customWidth="1"/>
    <col min="2760" max="2760" width="11" style="3"/>
    <col min="2761" max="2761" width="15.42578125" style="3" customWidth="1"/>
    <col min="2762" max="2764" width="14.85546875" style="3" customWidth="1"/>
    <col min="2765" max="2765" width="0.7109375" style="3" customWidth="1"/>
    <col min="2766" max="2766" width="11" style="3"/>
    <col min="2767" max="2767" width="15.7109375" style="3" customWidth="1"/>
    <col min="2768" max="2769" width="14.85546875" style="3" customWidth="1"/>
    <col min="2770" max="2770" width="3.28515625" style="3" customWidth="1"/>
    <col min="2771" max="2771" width="20.140625" style="3" customWidth="1"/>
    <col min="2772" max="2772" width="3.28515625" style="3" customWidth="1"/>
    <col min="2773" max="2777" width="11" style="3"/>
    <col min="2778" max="2790" width="4.7109375" style="3" customWidth="1"/>
    <col min="2791" max="3000" width="11" style="3"/>
    <col min="3001" max="3001" width="0.7109375" style="3" customWidth="1"/>
    <col min="3002" max="3002" width="6.5703125" style="3" customWidth="1"/>
    <col min="3003" max="3003" width="13.5703125" style="3" customWidth="1"/>
    <col min="3004" max="3004" width="13.42578125" style="3" customWidth="1"/>
    <col min="3005" max="3006" width="12.5703125" style="3" customWidth="1"/>
    <col min="3007" max="3007" width="14.85546875" style="3" customWidth="1"/>
    <col min="3008" max="3008" width="20.7109375" style="3" customWidth="1"/>
    <col min="3009" max="3009" width="12.5703125" style="3" customWidth="1"/>
    <col min="3010" max="3010" width="13" style="3" customWidth="1"/>
    <col min="3011" max="3011" width="16" style="3" customWidth="1"/>
    <col min="3012" max="3012" width="6.42578125" style="3" customWidth="1"/>
    <col min="3013" max="3013" width="16" style="3" customWidth="1"/>
    <col min="3014" max="3014" width="2.85546875" style="3" customWidth="1"/>
    <col min="3015" max="3015" width="0.85546875" style="3" customWidth="1"/>
    <col min="3016" max="3016" width="11" style="3"/>
    <col min="3017" max="3017" width="15.42578125" style="3" customWidth="1"/>
    <col min="3018" max="3020" width="14.85546875" style="3" customWidth="1"/>
    <col min="3021" max="3021" width="0.7109375" style="3" customWidth="1"/>
    <col min="3022" max="3022" width="11" style="3"/>
    <col min="3023" max="3023" width="15.7109375" style="3" customWidth="1"/>
    <col min="3024" max="3025" width="14.85546875" style="3" customWidth="1"/>
    <col min="3026" max="3026" width="3.28515625" style="3" customWidth="1"/>
    <col min="3027" max="3027" width="20.140625" style="3" customWidth="1"/>
    <col min="3028" max="3028" width="3.28515625" style="3" customWidth="1"/>
    <col min="3029" max="3033" width="11" style="3"/>
    <col min="3034" max="3046" width="4.7109375" style="3" customWidth="1"/>
    <col min="3047" max="3256" width="11" style="3"/>
    <col min="3257" max="3257" width="0.7109375" style="3" customWidth="1"/>
    <col min="3258" max="3258" width="6.5703125" style="3" customWidth="1"/>
    <col min="3259" max="3259" width="13.5703125" style="3" customWidth="1"/>
    <col min="3260" max="3260" width="13.42578125" style="3" customWidth="1"/>
    <col min="3261" max="3262" width="12.5703125" style="3" customWidth="1"/>
    <col min="3263" max="3263" width="14.85546875" style="3" customWidth="1"/>
    <col min="3264" max="3264" width="20.7109375" style="3" customWidth="1"/>
    <col min="3265" max="3265" width="12.5703125" style="3" customWidth="1"/>
    <col min="3266" max="3266" width="13" style="3" customWidth="1"/>
    <col min="3267" max="3267" width="16" style="3" customWidth="1"/>
    <col min="3268" max="3268" width="6.42578125" style="3" customWidth="1"/>
    <col min="3269" max="3269" width="16" style="3" customWidth="1"/>
    <col min="3270" max="3270" width="2.85546875" style="3" customWidth="1"/>
    <col min="3271" max="3271" width="0.85546875" style="3" customWidth="1"/>
    <col min="3272" max="3272" width="11" style="3"/>
    <col min="3273" max="3273" width="15.42578125" style="3" customWidth="1"/>
    <col min="3274" max="3276" width="14.85546875" style="3" customWidth="1"/>
    <col min="3277" max="3277" width="0.7109375" style="3" customWidth="1"/>
    <col min="3278" max="3278" width="11" style="3"/>
    <col min="3279" max="3279" width="15.7109375" style="3" customWidth="1"/>
    <col min="3280" max="3281" width="14.85546875" style="3" customWidth="1"/>
    <col min="3282" max="3282" width="3.28515625" style="3" customWidth="1"/>
    <col min="3283" max="3283" width="20.140625" style="3" customWidth="1"/>
    <col min="3284" max="3284" width="3.28515625" style="3" customWidth="1"/>
    <col min="3285" max="3289" width="11" style="3"/>
    <col min="3290" max="3302" width="4.7109375" style="3" customWidth="1"/>
    <col min="3303" max="3512" width="11" style="3"/>
    <col min="3513" max="3513" width="0.7109375" style="3" customWidth="1"/>
    <col min="3514" max="3514" width="6.5703125" style="3" customWidth="1"/>
    <col min="3515" max="3515" width="13.5703125" style="3" customWidth="1"/>
    <col min="3516" max="3516" width="13.42578125" style="3" customWidth="1"/>
    <col min="3517" max="3518" width="12.5703125" style="3" customWidth="1"/>
    <col min="3519" max="3519" width="14.85546875" style="3" customWidth="1"/>
    <col min="3520" max="3520" width="20.7109375" style="3" customWidth="1"/>
    <col min="3521" max="3521" width="12.5703125" style="3" customWidth="1"/>
    <col min="3522" max="3522" width="13" style="3" customWidth="1"/>
    <col min="3523" max="3523" width="16" style="3" customWidth="1"/>
    <col min="3524" max="3524" width="6.42578125" style="3" customWidth="1"/>
    <col min="3525" max="3525" width="16" style="3" customWidth="1"/>
    <col min="3526" max="3526" width="2.85546875" style="3" customWidth="1"/>
    <col min="3527" max="3527" width="0.85546875" style="3" customWidth="1"/>
    <col min="3528" max="3528" width="11" style="3"/>
    <col min="3529" max="3529" width="15.42578125" style="3" customWidth="1"/>
    <col min="3530" max="3532" width="14.85546875" style="3" customWidth="1"/>
    <col min="3533" max="3533" width="0.7109375" style="3" customWidth="1"/>
    <col min="3534" max="3534" width="11" style="3"/>
    <col min="3535" max="3535" width="15.7109375" style="3" customWidth="1"/>
    <col min="3536" max="3537" width="14.85546875" style="3" customWidth="1"/>
    <col min="3538" max="3538" width="3.28515625" style="3" customWidth="1"/>
    <col min="3539" max="3539" width="20.140625" style="3" customWidth="1"/>
    <col min="3540" max="3540" width="3.28515625" style="3" customWidth="1"/>
    <col min="3541" max="3545" width="11" style="3"/>
    <col min="3546" max="3558" width="4.7109375" style="3" customWidth="1"/>
    <col min="3559" max="3768" width="11" style="3"/>
    <col min="3769" max="3769" width="0.7109375" style="3" customWidth="1"/>
    <col min="3770" max="3770" width="6.5703125" style="3" customWidth="1"/>
    <col min="3771" max="3771" width="13.5703125" style="3" customWidth="1"/>
    <col min="3772" max="3772" width="13.42578125" style="3" customWidth="1"/>
    <col min="3773" max="3774" width="12.5703125" style="3" customWidth="1"/>
    <col min="3775" max="3775" width="14.85546875" style="3" customWidth="1"/>
    <col min="3776" max="3776" width="20.7109375" style="3" customWidth="1"/>
    <col min="3777" max="3777" width="12.5703125" style="3" customWidth="1"/>
    <col min="3778" max="3778" width="13" style="3" customWidth="1"/>
    <col min="3779" max="3779" width="16" style="3" customWidth="1"/>
    <col min="3780" max="3780" width="6.42578125" style="3" customWidth="1"/>
    <col min="3781" max="3781" width="16" style="3" customWidth="1"/>
    <col min="3782" max="3782" width="2.85546875" style="3" customWidth="1"/>
    <col min="3783" max="3783" width="0.85546875" style="3" customWidth="1"/>
    <col min="3784" max="3784" width="11" style="3"/>
    <col min="3785" max="3785" width="15.42578125" style="3" customWidth="1"/>
    <col min="3786" max="3788" width="14.85546875" style="3" customWidth="1"/>
    <col min="3789" max="3789" width="0.7109375" style="3" customWidth="1"/>
    <col min="3790" max="3790" width="11" style="3"/>
    <col min="3791" max="3791" width="15.7109375" style="3" customWidth="1"/>
    <col min="3792" max="3793" width="14.85546875" style="3" customWidth="1"/>
    <col min="3794" max="3794" width="3.28515625" style="3" customWidth="1"/>
    <col min="3795" max="3795" width="20.140625" style="3" customWidth="1"/>
    <col min="3796" max="3796" width="3.28515625" style="3" customWidth="1"/>
    <col min="3797" max="3801" width="11" style="3"/>
    <col min="3802" max="3814" width="4.7109375" style="3" customWidth="1"/>
    <col min="3815" max="4024" width="11" style="3"/>
    <col min="4025" max="4025" width="0.7109375" style="3" customWidth="1"/>
    <col min="4026" max="4026" width="6.5703125" style="3" customWidth="1"/>
    <col min="4027" max="4027" width="13.5703125" style="3" customWidth="1"/>
    <col min="4028" max="4028" width="13.42578125" style="3" customWidth="1"/>
    <col min="4029" max="4030" width="12.5703125" style="3" customWidth="1"/>
    <col min="4031" max="4031" width="14.85546875" style="3" customWidth="1"/>
    <col min="4032" max="4032" width="20.7109375" style="3" customWidth="1"/>
    <col min="4033" max="4033" width="12.5703125" style="3" customWidth="1"/>
    <col min="4034" max="4034" width="13" style="3" customWidth="1"/>
    <col min="4035" max="4035" width="16" style="3" customWidth="1"/>
    <col min="4036" max="4036" width="6.42578125" style="3" customWidth="1"/>
    <col min="4037" max="4037" width="16" style="3" customWidth="1"/>
    <col min="4038" max="4038" width="2.85546875" style="3" customWidth="1"/>
    <col min="4039" max="4039" width="0.85546875" style="3" customWidth="1"/>
    <col min="4040" max="4040" width="11" style="3"/>
    <col min="4041" max="4041" width="15.42578125" style="3" customWidth="1"/>
    <col min="4042" max="4044" width="14.85546875" style="3" customWidth="1"/>
    <col min="4045" max="4045" width="0.7109375" style="3" customWidth="1"/>
    <col min="4046" max="4046" width="11" style="3"/>
    <col min="4047" max="4047" width="15.7109375" style="3" customWidth="1"/>
    <col min="4048" max="4049" width="14.85546875" style="3" customWidth="1"/>
    <col min="4050" max="4050" width="3.28515625" style="3" customWidth="1"/>
    <col min="4051" max="4051" width="20.140625" style="3" customWidth="1"/>
    <col min="4052" max="4052" width="3.28515625" style="3" customWidth="1"/>
    <col min="4053" max="4057" width="11" style="3"/>
    <col min="4058" max="4070" width="4.7109375" style="3" customWidth="1"/>
    <col min="4071" max="4280" width="11" style="3"/>
    <col min="4281" max="4281" width="0.7109375" style="3" customWidth="1"/>
    <col min="4282" max="4282" width="6.5703125" style="3" customWidth="1"/>
    <col min="4283" max="4283" width="13.5703125" style="3" customWidth="1"/>
    <col min="4284" max="4284" width="13.42578125" style="3" customWidth="1"/>
    <col min="4285" max="4286" width="12.5703125" style="3" customWidth="1"/>
    <col min="4287" max="4287" width="14.85546875" style="3" customWidth="1"/>
    <col min="4288" max="4288" width="20.7109375" style="3" customWidth="1"/>
    <col min="4289" max="4289" width="12.5703125" style="3" customWidth="1"/>
    <col min="4290" max="4290" width="13" style="3" customWidth="1"/>
    <col min="4291" max="4291" width="16" style="3" customWidth="1"/>
    <col min="4292" max="4292" width="6.42578125" style="3" customWidth="1"/>
    <col min="4293" max="4293" width="16" style="3" customWidth="1"/>
    <col min="4294" max="4294" width="2.85546875" style="3" customWidth="1"/>
    <col min="4295" max="4295" width="0.85546875" style="3" customWidth="1"/>
    <col min="4296" max="4296" width="11" style="3"/>
    <col min="4297" max="4297" width="15.42578125" style="3" customWidth="1"/>
    <col min="4298" max="4300" width="14.85546875" style="3" customWidth="1"/>
    <col min="4301" max="4301" width="0.7109375" style="3" customWidth="1"/>
    <col min="4302" max="4302" width="11" style="3"/>
    <col min="4303" max="4303" width="15.7109375" style="3" customWidth="1"/>
    <col min="4304" max="4305" width="14.85546875" style="3" customWidth="1"/>
    <col min="4306" max="4306" width="3.28515625" style="3" customWidth="1"/>
    <col min="4307" max="4307" width="20.140625" style="3" customWidth="1"/>
    <col min="4308" max="4308" width="3.28515625" style="3" customWidth="1"/>
    <col min="4309" max="4313" width="11" style="3"/>
    <col min="4314" max="4326" width="4.7109375" style="3" customWidth="1"/>
    <col min="4327" max="4536" width="11" style="3"/>
    <col min="4537" max="4537" width="0.7109375" style="3" customWidth="1"/>
    <col min="4538" max="4538" width="6.5703125" style="3" customWidth="1"/>
    <col min="4539" max="4539" width="13.5703125" style="3" customWidth="1"/>
    <col min="4540" max="4540" width="13.42578125" style="3" customWidth="1"/>
    <col min="4541" max="4542" width="12.5703125" style="3" customWidth="1"/>
    <col min="4543" max="4543" width="14.85546875" style="3" customWidth="1"/>
    <col min="4544" max="4544" width="20.7109375" style="3" customWidth="1"/>
    <col min="4545" max="4545" width="12.5703125" style="3" customWidth="1"/>
    <col min="4546" max="4546" width="13" style="3" customWidth="1"/>
    <col min="4547" max="4547" width="16" style="3" customWidth="1"/>
    <col min="4548" max="4548" width="6.42578125" style="3" customWidth="1"/>
    <col min="4549" max="4549" width="16" style="3" customWidth="1"/>
    <col min="4550" max="4550" width="2.85546875" style="3" customWidth="1"/>
    <col min="4551" max="4551" width="0.85546875" style="3" customWidth="1"/>
    <col min="4552" max="4552" width="11" style="3"/>
    <col min="4553" max="4553" width="15.42578125" style="3" customWidth="1"/>
    <col min="4554" max="4556" width="14.85546875" style="3" customWidth="1"/>
    <col min="4557" max="4557" width="0.7109375" style="3" customWidth="1"/>
    <col min="4558" max="4558" width="11" style="3"/>
    <col min="4559" max="4559" width="15.7109375" style="3" customWidth="1"/>
    <col min="4560" max="4561" width="14.85546875" style="3" customWidth="1"/>
    <col min="4562" max="4562" width="3.28515625" style="3" customWidth="1"/>
    <col min="4563" max="4563" width="20.140625" style="3" customWidth="1"/>
    <col min="4564" max="4564" width="3.28515625" style="3" customWidth="1"/>
    <col min="4565" max="4569" width="11" style="3"/>
    <col min="4570" max="4582" width="4.7109375" style="3" customWidth="1"/>
    <col min="4583" max="4792" width="11" style="3"/>
    <col min="4793" max="4793" width="0.7109375" style="3" customWidth="1"/>
    <col min="4794" max="4794" width="6.5703125" style="3" customWidth="1"/>
    <col min="4795" max="4795" width="13.5703125" style="3" customWidth="1"/>
    <col min="4796" max="4796" width="13.42578125" style="3" customWidth="1"/>
    <col min="4797" max="4798" width="12.5703125" style="3" customWidth="1"/>
    <col min="4799" max="4799" width="14.85546875" style="3" customWidth="1"/>
    <col min="4800" max="4800" width="20.7109375" style="3" customWidth="1"/>
    <col min="4801" max="4801" width="12.5703125" style="3" customWidth="1"/>
    <col min="4802" max="4802" width="13" style="3" customWidth="1"/>
    <col min="4803" max="4803" width="16" style="3" customWidth="1"/>
    <col min="4804" max="4804" width="6.42578125" style="3" customWidth="1"/>
    <col min="4805" max="4805" width="16" style="3" customWidth="1"/>
    <col min="4806" max="4806" width="2.85546875" style="3" customWidth="1"/>
    <col min="4807" max="4807" width="0.85546875" style="3" customWidth="1"/>
    <col min="4808" max="4808" width="11" style="3"/>
    <col min="4809" max="4809" width="15.42578125" style="3" customWidth="1"/>
    <col min="4810" max="4812" width="14.85546875" style="3" customWidth="1"/>
    <col min="4813" max="4813" width="0.7109375" style="3" customWidth="1"/>
    <col min="4814" max="4814" width="11" style="3"/>
    <col min="4815" max="4815" width="15.7109375" style="3" customWidth="1"/>
    <col min="4816" max="4817" width="14.85546875" style="3" customWidth="1"/>
    <col min="4818" max="4818" width="3.28515625" style="3" customWidth="1"/>
    <col min="4819" max="4819" width="20.140625" style="3" customWidth="1"/>
    <col min="4820" max="4820" width="3.28515625" style="3" customWidth="1"/>
    <col min="4821" max="4825" width="11" style="3"/>
    <col min="4826" max="4838" width="4.7109375" style="3" customWidth="1"/>
    <col min="4839" max="5048" width="11" style="3"/>
    <col min="5049" max="5049" width="0.7109375" style="3" customWidth="1"/>
    <col min="5050" max="5050" width="6.5703125" style="3" customWidth="1"/>
    <col min="5051" max="5051" width="13.5703125" style="3" customWidth="1"/>
    <col min="5052" max="5052" width="13.42578125" style="3" customWidth="1"/>
    <col min="5053" max="5054" width="12.5703125" style="3" customWidth="1"/>
    <col min="5055" max="5055" width="14.85546875" style="3" customWidth="1"/>
    <col min="5056" max="5056" width="20.7109375" style="3" customWidth="1"/>
    <col min="5057" max="5057" width="12.5703125" style="3" customWidth="1"/>
    <col min="5058" max="5058" width="13" style="3" customWidth="1"/>
    <col min="5059" max="5059" width="16" style="3" customWidth="1"/>
    <col min="5060" max="5060" width="6.42578125" style="3" customWidth="1"/>
    <col min="5061" max="5061" width="16" style="3" customWidth="1"/>
    <col min="5062" max="5062" width="2.85546875" style="3" customWidth="1"/>
    <col min="5063" max="5063" width="0.85546875" style="3" customWidth="1"/>
    <col min="5064" max="5064" width="11" style="3"/>
    <col min="5065" max="5065" width="15.42578125" style="3" customWidth="1"/>
    <col min="5066" max="5068" width="14.85546875" style="3" customWidth="1"/>
    <col min="5069" max="5069" width="0.7109375" style="3" customWidth="1"/>
    <col min="5070" max="5070" width="11" style="3"/>
    <col min="5071" max="5071" width="15.7109375" style="3" customWidth="1"/>
    <col min="5072" max="5073" width="14.85546875" style="3" customWidth="1"/>
    <col min="5074" max="5074" width="3.28515625" style="3" customWidth="1"/>
    <col min="5075" max="5075" width="20.140625" style="3" customWidth="1"/>
    <col min="5076" max="5076" width="3.28515625" style="3" customWidth="1"/>
    <col min="5077" max="5081" width="11" style="3"/>
    <col min="5082" max="5094" width="4.7109375" style="3" customWidth="1"/>
    <col min="5095" max="5304" width="11" style="3"/>
    <col min="5305" max="5305" width="0.7109375" style="3" customWidth="1"/>
    <col min="5306" max="5306" width="6.5703125" style="3" customWidth="1"/>
    <col min="5307" max="5307" width="13.5703125" style="3" customWidth="1"/>
    <col min="5308" max="5308" width="13.42578125" style="3" customWidth="1"/>
    <col min="5309" max="5310" width="12.5703125" style="3" customWidth="1"/>
    <col min="5311" max="5311" width="14.85546875" style="3" customWidth="1"/>
    <col min="5312" max="5312" width="20.7109375" style="3" customWidth="1"/>
    <col min="5313" max="5313" width="12.5703125" style="3" customWidth="1"/>
    <col min="5314" max="5314" width="13" style="3" customWidth="1"/>
    <col min="5315" max="5315" width="16" style="3" customWidth="1"/>
    <col min="5316" max="5316" width="6.42578125" style="3" customWidth="1"/>
    <col min="5317" max="5317" width="16" style="3" customWidth="1"/>
    <col min="5318" max="5318" width="2.85546875" style="3" customWidth="1"/>
    <col min="5319" max="5319" width="0.85546875" style="3" customWidth="1"/>
    <col min="5320" max="5320" width="11" style="3"/>
    <col min="5321" max="5321" width="15.42578125" style="3" customWidth="1"/>
    <col min="5322" max="5324" width="14.85546875" style="3" customWidth="1"/>
    <col min="5325" max="5325" width="0.7109375" style="3" customWidth="1"/>
    <col min="5326" max="5326" width="11" style="3"/>
    <col min="5327" max="5327" width="15.7109375" style="3" customWidth="1"/>
    <col min="5328" max="5329" width="14.85546875" style="3" customWidth="1"/>
    <col min="5330" max="5330" width="3.28515625" style="3" customWidth="1"/>
    <col min="5331" max="5331" width="20.140625" style="3" customWidth="1"/>
    <col min="5332" max="5332" width="3.28515625" style="3" customWidth="1"/>
    <col min="5333" max="5337" width="11" style="3"/>
    <col min="5338" max="5350" width="4.7109375" style="3" customWidth="1"/>
    <col min="5351" max="5560" width="11" style="3"/>
    <col min="5561" max="5561" width="0.7109375" style="3" customWidth="1"/>
    <col min="5562" max="5562" width="6.5703125" style="3" customWidth="1"/>
    <col min="5563" max="5563" width="13.5703125" style="3" customWidth="1"/>
    <col min="5564" max="5564" width="13.42578125" style="3" customWidth="1"/>
    <col min="5565" max="5566" width="12.5703125" style="3" customWidth="1"/>
    <col min="5567" max="5567" width="14.85546875" style="3" customWidth="1"/>
    <col min="5568" max="5568" width="20.7109375" style="3" customWidth="1"/>
    <col min="5569" max="5569" width="12.5703125" style="3" customWidth="1"/>
    <col min="5570" max="5570" width="13" style="3" customWidth="1"/>
    <col min="5571" max="5571" width="16" style="3" customWidth="1"/>
    <col min="5572" max="5572" width="6.42578125" style="3" customWidth="1"/>
    <col min="5573" max="5573" width="16" style="3" customWidth="1"/>
    <col min="5574" max="5574" width="2.85546875" style="3" customWidth="1"/>
    <col min="5575" max="5575" width="0.85546875" style="3" customWidth="1"/>
    <col min="5576" max="5576" width="11" style="3"/>
    <col min="5577" max="5577" width="15.42578125" style="3" customWidth="1"/>
    <col min="5578" max="5580" width="14.85546875" style="3" customWidth="1"/>
    <col min="5581" max="5581" width="0.7109375" style="3" customWidth="1"/>
    <col min="5582" max="5582" width="11" style="3"/>
    <col min="5583" max="5583" width="15.7109375" style="3" customWidth="1"/>
    <col min="5584" max="5585" width="14.85546875" style="3" customWidth="1"/>
    <col min="5586" max="5586" width="3.28515625" style="3" customWidth="1"/>
    <col min="5587" max="5587" width="20.140625" style="3" customWidth="1"/>
    <col min="5588" max="5588" width="3.28515625" style="3" customWidth="1"/>
    <col min="5589" max="5593" width="11" style="3"/>
    <col min="5594" max="5606" width="4.7109375" style="3" customWidth="1"/>
    <col min="5607" max="5816" width="11" style="3"/>
    <col min="5817" max="5817" width="0.7109375" style="3" customWidth="1"/>
    <col min="5818" max="5818" width="6.5703125" style="3" customWidth="1"/>
    <col min="5819" max="5819" width="13.5703125" style="3" customWidth="1"/>
    <col min="5820" max="5820" width="13.42578125" style="3" customWidth="1"/>
    <col min="5821" max="5822" width="12.5703125" style="3" customWidth="1"/>
    <col min="5823" max="5823" width="14.85546875" style="3" customWidth="1"/>
    <col min="5824" max="5824" width="20.7109375" style="3" customWidth="1"/>
    <col min="5825" max="5825" width="12.5703125" style="3" customWidth="1"/>
    <col min="5826" max="5826" width="13" style="3" customWidth="1"/>
    <col min="5827" max="5827" width="16" style="3" customWidth="1"/>
    <col min="5828" max="5828" width="6.42578125" style="3" customWidth="1"/>
    <col min="5829" max="5829" width="16" style="3" customWidth="1"/>
    <col min="5830" max="5830" width="2.85546875" style="3" customWidth="1"/>
    <col min="5831" max="5831" width="0.85546875" style="3" customWidth="1"/>
    <col min="5832" max="5832" width="11" style="3"/>
    <col min="5833" max="5833" width="15.42578125" style="3" customWidth="1"/>
    <col min="5834" max="5836" width="14.85546875" style="3" customWidth="1"/>
    <col min="5837" max="5837" width="0.7109375" style="3" customWidth="1"/>
    <col min="5838" max="5838" width="11" style="3"/>
    <col min="5839" max="5839" width="15.7109375" style="3" customWidth="1"/>
    <col min="5840" max="5841" width="14.85546875" style="3" customWidth="1"/>
    <col min="5842" max="5842" width="3.28515625" style="3" customWidth="1"/>
    <col min="5843" max="5843" width="20.140625" style="3" customWidth="1"/>
    <col min="5844" max="5844" width="3.28515625" style="3" customWidth="1"/>
    <col min="5845" max="5849" width="11" style="3"/>
    <col min="5850" max="5862" width="4.7109375" style="3" customWidth="1"/>
    <col min="5863" max="6072" width="11" style="3"/>
    <col min="6073" max="6073" width="0.7109375" style="3" customWidth="1"/>
    <col min="6074" max="6074" width="6.5703125" style="3" customWidth="1"/>
    <col min="6075" max="6075" width="13.5703125" style="3" customWidth="1"/>
    <col min="6076" max="6076" width="13.42578125" style="3" customWidth="1"/>
    <col min="6077" max="6078" width="12.5703125" style="3" customWidth="1"/>
    <col min="6079" max="6079" width="14.85546875" style="3" customWidth="1"/>
    <col min="6080" max="6080" width="20.7109375" style="3" customWidth="1"/>
    <col min="6081" max="6081" width="12.5703125" style="3" customWidth="1"/>
    <col min="6082" max="6082" width="13" style="3" customWidth="1"/>
    <col min="6083" max="6083" width="16" style="3" customWidth="1"/>
    <col min="6084" max="6084" width="6.42578125" style="3" customWidth="1"/>
    <col min="6085" max="6085" width="16" style="3" customWidth="1"/>
    <col min="6086" max="6086" width="2.85546875" style="3" customWidth="1"/>
    <col min="6087" max="6087" width="0.85546875" style="3" customWidth="1"/>
    <col min="6088" max="6088" width="11" style="3"/>
    <col min="6089" max="6089" width="15.42578125" style="3" customWidth="1"/>
    <col min="6090" max="6092" width="14.85546875" style="3" customWidth="1"/>
    <col min="6093" max="6093" width="0.7109375" style="3" customWidth="1"/>
    <col min="6094" max="6094" width="11" style="3"/>
    <col min="6095" max="6095" width="15.7109375" style="3" customWidth="1"/>
    <col min="6096" max="6097" width="14.85546875" style="3" customWidth="1"/>
    <col min="6098" max="6098" width="3.28515625" style="3" customWidth="1"/>
    <col min="6099" max="6099" width="20.140625" style="3" customWidth="1"/>
    <col min="6100" max="6100" width="3.28515625" style="3" customWidth="1"/>
    <col min="6101" max="6105" width="11" style="3"/>
    <col min="6106" max="6118" width="4.7109375" style="3" customWidth="1"/>
    <col min="6119" max="6328" width="11" style="3"/>
    <col min="6329" max="6329" width="0.7109375" style="3" customWidth="1"/>
    <col min="6330" max="6330" width="6.5703125" style="3" customWidth="1"/>
    <col min="6331" max="6331" width="13.5703125" style="3" customWidth="1"/>
    <col min="6332" max="6332" width="13.42578125" style="3" customWidth="1"/>
    <col min="6333" max="6334" width="12.5703125" style="3" customWidth="1"/>
    <col min="6335" max="6335" width="14.85546875" style="3" customWidth="1"/>
    <col min="6336" max="6336" width="20.7109375" style="3" customWidth="1"/>
    <col min="6337" max="6337" width="12.5703125" style="3" customWidth="1"/>
    <col min="6338" max="6338" width="13" style="3" customWidth="1"/>
    <col min="6339" max="6339" width="16" style="3" customWidth="1"/>
    <col min="6340" max="6340" width="6.42578125" style="3" customWidth="1"/>
    <col min="6341" max="6341" width="16" style="3" customWidth="1"/>
    <col min="6342" max="6342" width="2.85546875" style="3" customWidth="1"/>
    <col min="6343" max="6343" width="0.85546875" style="3" customWidth="1"/>
    <col min="6344" max="6344" width="11" style="3"/>
    <col min="6345" max="6345" width="15.42578125" style="3" customWidth="1"/>
    <col min="6346" max="6348" width="14.85546875" style="3" customWidth="1"/>
    <col min="6349" max="6349" width="0.7109375" style="3" customWidth="1"/>
    <col min="6350" max="6350" width="11" style="3"/>
    <col min="6351" max="6351" width="15.7109375" style="3" customWidth="1"/>
    <col min="6352" max="6353" width="14.85546875" style="3" customWidth="1"/>
    <col min="6354" max="6354" width="3.28515625" style="3" customWidth="1"/>
    <col min="6355" max="6355" width="20.140625" style="3" customWidth="1"/>
    <col min="6356" max="6356" width="3.28515625" style="3" customWidth="1"/>
    <col min="6357" max="6361" width="11" style="3"/>
    <col min="6362" max="6374" width="4.7109375" style="3" customWidth="1"/>
    <col min="6375" max="6584" width="11" style="3"/>
    <col min="6585" max="6585" width="0.7109375" style="3" customWidth="1"/>
    <col min="6586" max="6586" width="6.5703125" style="3" customWidth="1"/>
    <col min="6587" max="6587" width="13.5703125" style="3" customWidth="1"/>
    <col min="6588" max="6588" width="13.42578125" style="3" customWidth="1"/>
    <col min="6589" max="6590" width="12.5703125" style="3" customWidth="1"/>
    <col min="6591" max="6591" width="14.85546875" style="3" customWidth="1"/>
    <col min="6592" max="6592" width="20.7109375" style="3" customWidth="1"/>
    <col min="6593" max="6593" width="12.5703125" style="3" customWidth="1"/>
    <col min="6594" max="6594" width="13" style="3" customWidth="1"/>
    <col min="6595" max="6595" width="16" style="3" customWidth="1"/>
    <col min="6596" max="6596" width="6.42578125" style="3" customWidth="1"/>
    <col min="6597" max="6597" width="16" style="3" customWidth="1"/>
    <col min="6598" max="6598" width="2.85546875" style="3" customWidth="1"/>
    <col min="6599" max="6599" width="0.85546875" style="3" customWidth="1"/>
    <col min="6600" max="6600" width="11" style="3"/>
    <col min="6601" max="6601" width="15.42578125" style="3" customWidth="1"/>
    <col min="6602" max="6604" width="14.85546875" style="3" customWidth="1"/>
    <col min="6605" max="6605" width="0.7109375" style="3" customWidth="1"/>
    <col min="6606" max="6606" width="11" style="3"/>
    <col min="6607" max="6607" width="15.7109375" style="3" customWidth="1"/>
    <col min="6608" max="6609" width="14.85546875" style="3" customWidth="1"/>
    <col min="6610" max="6610" width="3.28515625" style="3" customWidth="1"/>
    <col min="6611" max="6611" width="20.140625" style="3" customWidth="1"/>
    <col min="6612" max="6612" width="3.28515625" style="3" customWidth="1"/>
    <col min="6613" max="6617" width="11" style="3"/>
    <col min="6618" max="6630" width="4.7109375" style="3" customWidth="1"/>
    <col min="6631" max="6840" width="11" style="3"/>
    <col min="6841" max="6841" width="0.7109375" style="3" customWidth="1"/>
    <col min="6842" max="6842" width="6.5703125" style="3" customWidth="1"/>
    <col min="6843" max="6843" width="13.5703125" style="3" customWidth="1"/>
    <col min="6844" max="6844" width="13.42578125" style="3" customWidth="1"/>
    <col min="6845" max="6846" width="12.5703125" style="3" customWidth="1"/>
    <col min="6847" max="6847" width="14.85546875" style="3" customWidth="1"/>
    <col min="6848" max="6848" width="20.7109375" style="3" customWidth="1"/>
    <col min="6849" max="6849" width="12.5703125" style="3" customWidth="1"/>
    <col min="6850" max="6850" width="13" style="3" customWidth="1"/>
    <col min="6851" max="6851" width="16" style="3" customWidth="1"/>
    <col min="6852" max="6852" width="6.42578125" style="3" customWidth="1"/>
    <col min="6853" max="6853" width="16" style="3" customWidth="1"/>
    <col min="6854" max="6854" width="2.85546875" style="3" customWidth="1"/>
    <col min="6855" max="6855" width="0.85546875" style="3" customWidth="1"/>
    <col min="6856" max="6856" width="11" style="3"/>
    <col min="6857" max="6857" width="15.42578125" style="3" customWidth="1"/>
    <col min="6858" max="6860" width="14.85546875" style="3" customWidth="1"/>
    <col min="6861" max="6861" width="0.7109375" style="3" customWidth="1"/>
    <col min="6862" max="6862" width="11" style="3"/>
    <col min="6863" max="6863" width="15.7109375" style="3" customWidth="1"/>
    <col min="6864" max="6865" width="14.85546875" style="3" customWidth="1"/>
    <col min="6866" max="6866" width="3.28515625" style="3" customWidth="1"/>
    <col min="6867" max="6867" width="20.140625" style="3" customWidth="1"/>
    <col min="6868" max="6868" width="3.28515625" style="3" customWidth="1"/>
    <col min="6869" max="6873" width="11" style="3"/>
    <col min="6874" max="6886" width="4.7109375" style="3" customWidth="1"/>
    <col min="6887" max="7096" width="11" style="3"/>
    <col min="7097" max="7097" width="0.7109375" style="3" customWidth="1"/>
    <col min="7098" max="7098" width="6.5703125" style="3" customWidth="1"/>
    <col min="7099" max="7099" width="13.5703125" style="3" customWidth="1"/>
    <col min="7100" max="7100" width="13.42578125" style="3" customWidth="1"/>
    <col min="7101" max="7102" width="12.5703125" style="3" customWidth="1"/>
    <col min="7103" max="7103" width="14.85546875" style="3" customWidth="1"/>
    <col min="7104" max="7104" width="20.7109375" style="3" customWidth="1"/>
    <col min="7105" max="7105" width="12.5703125" style="3" customWidth="1"/>
    <col min="7106" max="7106" width="13" style="3" customWidth="1"/>
    <col min="7107" max="7107" width="16" style="3" customWidth="1"/>
    <col min="7108" max="7108" width="6.42578125" style="3" customWidth="1"/>
    <col min="7109" max="7109" width="16" style="3" customWidth="1"/>
    <col min="7110" max="7110" width="2.85546875" style="3" customWidth="1"/>
    <col min="7111" max="7111" width="0.85546875" style="3" customWidth="1"/>
    <col min="7112" max="7112" width="11" style="3"/>
    <col min="7113" max="7113" width="15.42578125" style="3" customWidth="1"/>
    <col min="7114" max="7116" width="14.85546875" style="3" customWidth="1"/>
    <col min="7117" max="7117" width="0.7109375" style="3" customWidth="1"/>
    <col min="7118" max="7118" width="11" style="3"/>
    <col min="7119" max="7119" width="15.7109375" style="3" customWidth="1"/>
    <col min="7120" max="7121" width="14.85546875" style="3" customWidth="1"/>
    <col min="7122" max="7122" width="3.28515625" style="3" customWidth="1"/>
    <col min="7123" max="7123" width="20.140625" style="3" customWidth="1"/>
    <col min="7124" max="7124" width="3.28515625" style="3" customWidth="1"/>
    <col min="7125" max="7129" width="11" style="3"/>
    <col min="7130" max="7142" width="4.7109375" style="3" customWidth="1"/>
    <col min="7143" max="7352" width="11" style="3"/>
    <col min="7353" max="7353" width="0.7109375" style="3" customWidth="1"/>
    <col min="7354" max="7354" width="6.5703125" style="3" customWidth="1"/>
    <col min="7355" max="7355" width="13.5703125" style="3" customWidth="1"/>
    <col min="7356" max="7356" width="13.42578125" style="3" customWidth="1"/>
    <col min="7357" max="7358" width="12.5703125" style="3" customWidth="1"/>
    <col min="7359" max="7359" width="14.85546875" style="3" customWidth="1"/>
    <col min="7360" max="7360" width="20.7109375" style="3" customWidth="1"/>
    <col min="7361" max="7361" width="12.5703125" style="3" customWidth="1"/>
    <col min="7362" max="7362" width="13" style="3" customWidth="1"/>
    <col min="7363" max="7363" width="16" style="3" customWidth="1"/>
    <col min="7364" max="7364" width="6.42578125" style="3" customWidth="1"/>
    <col min="7365" max="7365" width="16" style="3" customWidth="1"/>
    <col min="7366" max="7366" width="2.85546875" style="3" customWidth="1"/>
    <col min="7367" max="7367" width="0.85546875" style="3" customWidth="1"/>
    <col min="7368" max="7368" width="11" style="3"/>
    <col min="7369" max="7369" width="15.42578125" style="3" customWidth="1"/>
    <col min="7370" max="7372" width="14.85546875" style="3" customWidth="1"/>
    <col min="7373" max="7373" width="0.7109375" style="3" customWidth="1"/>
    <col min="7374" max="7374" width="11" style="3"/>
    <col min="7375" max="7375" width="15.7109375" style="3" customWidth="1"/>
    <col min="7376" max="7377" width="14.85546875" style="3" customWidth="1"/>
    <col min="7378" max="7378" width="3.28515625" style="3" customWidth="1"/>
    <col min="7379" max="7379" width="20.140625" style="3" customWidth="1"/>
    <col min="7380" max="7380" width="3.28515625" style="3" customWidth="1"/>
    <col min="7381" max="7385" width="11" style="3"/>
    <col min="7386" max="7398" width="4.7109375" style="3" customWidth="1"/>
    <col min="7399" max="7608" width="11" style="3"/>
    <col min="7609" max="7609" width="0.7109375" style="3" customWidth="1"/>
    <col min="7610" max="7610" width="6.5703125" style="3" customWidth="1"/>
    <col min="7611" max="7611" width="13.5703125" style="3" customWidth="1"/>
    <col min="7612" max="7612" width="13.42578125" style="3" customWidth="1"/>
    <col min="7613" max="7614" width="12.5703125" style="3" customWidth="1"/>
    <col min="7615" max="7615" width="14.85546875" style="3" customWidth="1"/>
    <col min="7616" max="7616" width="20.7109375" style="3" customWidth="1"/>
    <col min="7617" max="7617" width="12.5703125" style="3" customWidth="1"/>
    <col min="7618" max="7618" width="13" style="3" customWidth="1"/>
    <col min="7619" max="7619" width="16" style="3" customWidth="1"/>
    <col min="7620" max="7620" width="6.42578125" style="3" customWidth="1"/>
    <col min="7621" max="7621" width="16" style="3" customWidth="1"/>
    <col min="7622" max="7622" width="2.85546875" style="3" customWidth="1"/>
    <col min="7623" max="7623" width="0.85546875" style="3" customWidth="1"/>
    <col min="7624" max="7624" width="11" style="3"/>
    <col min="7625" max="7625" width="15.42578125" style="3" customWidth="1"/>
    <col min="7626" max="7628" width="14.85546875" style="3" customWidth="1"/>
    <col min="7629" max="7629" width="0.7109375" style="3" customWidth="1"/>
    <col min="7630" max="7630" width="11" style="3"/>
    <col min="7631" max="7631" width="15.7109375" style="3" customWidth="1"/>
    <col min="7632" max="7633" width="14.85546875" style="3" customWidth="1"/>
    <col min="7634" max="7634" width="3.28515625" style="3" customWidth="1"/>
    <col min="7635" max="7635" width="20.140625" style="3" customWidth="1"/>
    <col min="7636" max="7636" width="3.28515625" style="3" customWidth="1"/>
    <col min="7637" max="7641" width="11" style="3"/>
    <col min="7642" max="7654" width="4.7109375" style="3" customWidth="1"/>
    <col min="7655" max="7864" width="11" style="3"/>
    <col min="7865" max="7865" width="0.7109375" style="3" customWidth="1"/>
    <col min="7866" max="7866" width="6.5703125" style="3" customWidth="1"/>
    <col min="7867" max="7867" width="13.5703125" style="3" customWidth="1"/>
    <col min="7868" max="7868" width="13.42578125" style="3" customWidth="1"/>
    <col min="7869" max="7870" width="12.5703125" style="3" customWidth="1"/>
    <col min="7871" max="7871" width="14.85546875" style="3" customWidth="1"/>
    <col min="7872" max="7872" width="20.7109375" style="3" customWidth="1"/>
    <col min="7873" max="7873" width="12.5703125" style="3" customWidth="1"/>
    <col min="7874" max="7874" width="13" style="3" customWidth="1"/>
    <col min="7875" max="7875" width="16" style="3" customWidth="1"/>
    <col min="7876" max="7876" width="6.42578125" style="3" customWidth="1"/>
    <col min="7877" max="7877" width="16" style="3" customWidth="1"/>
    <col min="7878" max="7878" width="2.85546875" style="3" customWidth="1"/>
    <col min="7879" max="7879" width="0.85546875" style="3" customWidth="1"/>
    <col min="7880" max="7880" width="11" style="3"/>
    <col min="7881" max="7881" width="15.42578125" style="3" customWidth="1"/>
    <col min="7882" max="7884" width="14.85546875" style="3" customWidth="1"/>
    <col min="7885" max="7885" width="0.7109375" style="3" customWidth="1"/>
    <col min="7886" max="7886" width="11" style="3"/>
    <col min="7887" max="7887" width="15.7109375" style="3" customWidth="1"/>
    <col min="7888" max="7889" width="14.85546875" style="3" customWidth="1"/>
    <col min="7890" max="7890" width="3.28515625" style="3" customWidth="1"/>
    <col min="7891" max="7891" width="20.140625" style="3" customWidth="1"/>
    <col min="7892" max="7892" width="3.28515625" style="3" customWidth="1"/>
    <col min="7893" max="7897" width="11" style="3"/>
    <col min="7898" max="7910" width="4.7109375" style="3" customWidth="1"/>
    <col min="7911" max="8120" width="11" style="3"/>
    <col min="8121" max="8121" width="0.7109375" style="3" customWidth="1"/>
    <col min="8122" max="8122" width="6.5703125" style="3" customWidth="1"/>
    <col min="8123" max="8123" width="13.5703125" style="3" customWidth="1"/>
    <col min="8124" max="8124" width="13.42578125" style="3" customWidth="1"/>
    <col min="8125" max="8126" width="12.5703125" style="3" customWidth="1"/>
    <col min="8127" max="8127" width="14.85546875" style="3" customWidth="1"/>
    <col min="8128" max="8128" width="20.7109375" style="3" customWidth="1"/>
    <col min="8129" max="8129" width="12.5703125" style="3" customWidth="1"/>
    <col min="8130" max="8130" width="13" style="3" customWidth="1"/>
    <col min="8131" max="8131" width="16" style="3" customWidth="1"/>
    <col min="8132" max="8132" width="6.42578125" style="3" customWidth="1"/>
    <col min="8133" max="8133" width="16" style="3" customWidth="1"/>
    <col min="8134" max="8134" width="2.85546875" style="3" customWidth="1"/>
    <col min="8135" max="8135" width="0.85546875" style="3" customWidth="1"/>
    <col min="8136" max="8136" width="11" style="3"/>
    <col min="8137" max="8137" width="15.42578125" style="3" customWidth="1"/>
    <col min="8138" max="8140" width="14.85546875" style="3" customWidth="1"/>
    <col min="8141" max="8141" width="0.7109375" style="3" customWidth="1"/>
    <col min="8142" max="8142" width="11" style="3"/>
    <col min="8143" max="8143" width="15.7109375" style="3" customWidth="1"/>
    <col min="8144" max="8145" width="14.85546875" style="3" customWidth="1"/>
    <col min="8146" max="8146" width="3.28515625" style="3" customWidth="1"/>
    <col min="8147" max="8147" width="20.140625" style="3" customWidth="1"/>
    <col min="8148" max="8148" width="3.28515625" style="3" customWidth="1"/>
    <col min="8149" max="8153" width="11" style="3"/>
    <col min="8154" max="8166" width="4.7109375" style="3" customWidth="1"/>
    <col min="8167" max="8376" width="11" style="3"/>
    <col min="8377" max="8377" width="0.7109375" style="3" customWidth="1"/>
    <col min="8378" max="8378" width="6.5703125" style="3" customWidth="1"/>
    <col min="8379" max="8379" width="13.5703125" style="3" customWidth="1"/>
    <col min="8380" max="8380" width="13.42578125" style="3" customWidth="1"/>
    <col min="8381" max="8382" width="12.5703125" style="3" customWidth="1"/>
    <col min="8383" max="8383" width="14.85546875" style="3" customWidth="1"/>
    <col min="8384" max="8384" width="20.7109375" style="3" customWidth="1"/>
    <col min="8385" max="8385" width="12.5703125" style="3" customWidth="1"/>
    <col min="8386" max="8386" width="13" style="3" customWidth="1"/>
    <col min="8387" max="8387" width="16" style="3" customWidth="1"/>
    <col min="8388" max="8388" width="6.42578125" style="3" customWidth="1"/>
    <col min="8389" max="8389" width="16" style="3" customWidth="1"/>
    <col min="8390" max="8390" width="2.85546875" style="3" customWidth="1"/>
    <col min="8391" max="8391" width="0.85546875" style="3" customWidth="1"/>
    <col min="8392" max="8392" width="11" style="3"/>
    <col min="8393" max="8393" width="15.42578125" style="3" customWidth="1"/>
    <col min="8394" max="8396" width="14.85546875" style="3" customWidth="1"/>
    <col min="8397" max="8397" width="0.7109375" style="3" customWidth="1"/>
    <col min="8398" max="8398" width="11" style="3"/>
    <col min="8399" max="8399" width="15.7109375" style="3" customWidth="1"/>
    <col min="8400" max="8401" width="14.85546875" style="3" customWidth="1"/>
    <col min="8402" max="8402" width="3.28515625" style="3" customWidth="1"/>
    <col min="8403" max="8403" width="20.140625" style="3" customWidth="1"/>
    <col min="8404" max="8404" width="3.28515625" style="3" customWidth="1"/>
    <col min="8405" max="8409" width="11" style="3"/>
    <col min="8410" max="8422" width="4.7109375" style="3" customWidth="1"/>
    <col min="8423" max="8632" width="11" style="3"/>
    <col min="8633" max="8633" width="0.7109375" style="3" customWidth="1"/>
    <col min="8634" max="8634" width="6.5703125" style="3" customWidth="1"/>
    <col min="8635" max="8635" width="13.5703125" style="3" customWidth="1"/>
    <col min="8636" max="8636" width="13.42578125" style="3" customWidth="1"/>
    <col min="8637" max="8638" width="12.5703125" style="3" customWidth="1"/>
    <col min="8639" max="8639" width="14.85546875" style="3" customWidth="1"/>
    <col min="8640" max="8640" width="20.7109375" style="3" customWidth="1"/>
    <col min="8641" max="8641" width="12.5703125" style="3" customWidth="1"/>
    <col min="8642" max="8642" width="13" style="3" customWidth="1"/>
    <col min="8643" max="8643" width="16" style="3" customWidth="1"/>
    <col min="8644" max="8644" width="6.42578125" style="3" customWidth="1"/>
    <col min="8645" max="8645" width="16" style="3" customWidth="1"/>
    <col min="8646" max="8646" width="2.85546875" style="3" customWidth="1"/>
    <col min="8647" max="8647" width="0.85546875" style="3" customWidth="1"/>
    <col min="8648" max="8648" width="11" style="3"/>
    <col min="8649" max="8649" width="15.42578125" style="3" customWidth="1"/>
    <col min="8650" max="8652" width="14.85546875" style="3" customWidth="1"/>
    <col min="8653" max="8653" width="0.7109375" style="3" customWidth="1"/>
    <col min="8654" max="8654" width="11" style="3"/>
    <col min="8655" max="8655" width="15.7109375" style="3" customWidth="1"/>
    <col min="8656" max="8657" width="14.85546875" style="3" customWidth="1"/>
    <col min="8658" max="8658" width="3.28515625" style="3" customWidth="1"/>
    <col min="8659" max="8659" width="20.140625" style="3" customWidth="1"/>
    <col min="8660" max="8660" width="3.28515625" style="3" customWidth="1"/>
    <col min="8661" max="8665" width="11" style="3"/>
    <col min="8666" max="8678" width="4.7109375" style="3" customWidth="1"/>
    <col min="8679" max="8888" width="11" style="3"/>
    <col min="8889" max="8889" width="0.7109375" style="3" customWidth="1"/>
    <col min="8890" max="8890" width="6.5703125" style="3" customWidth="1"/>
    <col min="8891" max="8891" width="13.5703125" style="3" customWidth="1"/>
    <col min="8892" max="8892" width="13.42578125" style="3" customWidth="1"/>
    <col min="8893" max="8894" width="12.5703125" style="3" customWidth="1"/>
    <col min="8895" max="8895" width="14.85546875" style="3" customWidth="1"/>
    <col min="8896" max="8896" width="20.7109375" style="3" customWidth="1"/>
    <col min="8897" max="8897" width="12.5703125" style="3" customWidth="1"/>
    <col min="8898" max="8898" width="13" style="3" customWidth="1"/>
    <col min="8899" max="8899" width="16" style="3" customWidth="1"/>
    <col min="8900" max="8900" width="6.42578125" style="3" customWidth="1"/>
    <col min="8901" max="8901" width="16" style="3" customWidth="1"/>
    <col min="8902" max="8902" width="2.85546875" style="3" customWidth="1"/>
    <col min="8903" max="8903" width="0.85546875" style="3" customWidth="1"/>
    <col min="8904" max="8904" width="11" style="3"/>
    <col min="8905" max="8905" width="15.42578125" style="3" customWidth="1"/>
    <col min="8906" max="8908" width="14.85546875" style="3" customWidth="1"/>
    <col min="8909" max="8909" width="0.7109375" style="3" customWidth="1"/>
    <col min="8910" max="8910" width="11" style="3"/>
    <col min="8911" max="8911" width="15.7109375" style="3" customWidth="1"/>
    <col min="8912" max="8913" width="14.85546875" style="3" customWidth="1"/>
    <col min="8914" max="8914" width="3.28515625" style="3" customWidth="1"/>
    <col min="8915" max="8915" width="20.140625" style="3" customWidth="1"/>
    <col min="8916" max="8916" width="3.28515625" style="3" customWidth="1"/>
    <col min="8917" max="8921" width="11" style="3"/>
    <col min="8922" max="8934" width="4.7109375" style="3" customWidth="1"/>
    <col min="8935" max="9144" width="11" style="3"/>
    <col min="9145" max="9145" width="0.7109375" style="3" customWidth="1"/>
    <col min="9146" max="9146" width="6.5703125" style="3" customWidth="1"/>
    <col min="9147" max="9147" width="13.5703125" style="3" customWidth="1"/>
    <col min="9148" max="9148" width="13.42578125" style="3" customWidth="1"/>
    <col min="9149" max="9150" width="12.5703125" style="3" customWidth="1"/>
    <col min="9151" max="9151" width="14.85546875" style="3" customWidth="1"/>
    <col min="9152" max="9152" width="20.7109375" style="3" customWidth="1"/>
    <col min="9153" max="9153" width="12.5703125" style="3" customWidth="1"/>
    <col min="9154" max="9154" width="13" style="3" customWidth="1"/>
    <col min="9155" max="9155" width="16" style="3" customWidth="1"/>
    <col min="9156" max="9156" width="6.42578125" style="3" customWidth="1"/>
    <col min="9157" max="9157" width="16" style="3" customWidth="1"/>
    <col min="9158" max="9158" width="2.85546875" style="3" customWidth="1"/>
    <col min="9159" max="9159" width="0.85546875" style="3" customWidth="1"/>
    <col min="9160" max="9160" width="11" style="3"/>
    <col min="9161" max="9161" width="15.42578125" style="3" customWidth="1"/>
    <col min="9162" max="9164" width="14.85546875" style="3" customWidth="1"/>
    <col min="9165" max="9165" width="0.7109375" style="3" customWidth="1"/>
    <col min="9166" max="9166" width="11" style="3"/>
    <col min="9167" max="9167" width="15.7109375" style="3" customWidth="1"/>
    <col min="9168" max="9169" width="14.85546875" style="3" customWidth="1"/>
    <col min="9170" max="9170" width="3.28515625" style="3" customWidth="1"/>
    <col min="9171" max="9171" width="20.140625" style="3" customWidth="1"/>
    <col min="9172" max="9172" width="3.28515625" style="3" customWidth="1"/>
    <col min="9173" max="9177" width="11" style="3"/>
    <col min="9178" max="9190" width="4.7109375" style="3" customWidth="1"/>
    <col min="9191" max="9400" width="11" style="3"/>
    <col min="9401" max="9401" width="0.7109375" style="3" customWidth="1"/>
    <col min="9402" max="9402" width="6.5703125" style="3" customWidth="1"/>
    <col min="9403" max="9403" width="13.5703125" style="3" customWidth="1"/>
    <col min="9404" max="9404" width="13.42578125" style="3" customWidth="1"/>
    <col min="9405" max="9406" width="12.5703125" style="3" customWidth="1"/>
    <col min="9407" max="9407" width="14.85546875" style="3" customWidth="1"/>
    <col min="9408" max="9408" width="20.7109375" style="3" customWidth="1"/>
    <col min="9409" max="9409" width="12.5703125" style="3" customWidth="1"/>
    <col min="9410" max="9410" width="13" style="3" customWidth="1"/>
    <col min="9411" max="9411" width="16" style="3" customWidth="1"/>
    <col min="9412" max="9412" width="6.42578125" style="3" customWidth="1"/>
    <col min="9413" max="9413" width="16" style="3" customWidth="1"/>
    <col min="9414" max="9414" width="2.85546875" style="3" customWidth="1"/>
    <col min="9415" max="9415" width="0.85546875" style="3" customWidth="1"/>
    <col min="9416" max="9416" width="11" style="3"/>
    <col min="9417" max="9417" width="15.42578125" style="3" customWidth="1"/>
    <col min="9418" max="9420" width="14.85546875" style="3" customWidth="1"/>
    <col min="9421" max="9421" width="0.7109375" style="3" customWidth="1"/>
    <col min="9422" max="9422" width="11" style="3"/>
    <col min="9423" max="9423" width="15.7109375" style="3" customWidth="1"/>
    <col min="9424" max="9425" width="14.85546875" style="3" customWidth="1"/>
    <col min="9426" max="9426" width="3.28515625" style="3" customWidth="1"/>
    <col min="9427" max="9427" width="20.140625" style="3" customWidth="1"/>
    <col min="9428" max="9428" width="3.28515625" style="3" customWidth="1"/>
    <col min="9429" max="9433" width="11" style="3"/>
    <col min="9434" max="9446" width="4.7109375" style="3" customWidth="1"/>
    <col min="9447" max="9656" width="11" style="3"/>
    <col min="9657" max="9657" width="0.7109375" style="3" customWidth="1"/>
    <col min="9658" max="9658" width="6.5703125" style="3" customWidth="1"/>
    <col min="9659" max="9659" width="13.5703125" style="3" customWidth="1"/>
    <col min="9660" max="9660" width="13.42578125" style="3" customWidth="1"/>
    <col min="9661" max="9662" width="12.5703125" style="3" customWidth="1"/>
    <col min="9663" max="9663" width="14.85546875" style="3" customWidth="1"/>
    <col min="9664" max="9664" width="20.7109375" style="3" customWidth="1"/>
    <col min="9665" max="9665" width="12.5703125" style="3" customWidth="1"/>
    <col min="9666" max="9666" width="13" style="3" customWidth="1"/>
    <col min="9667" max="9667" width="16" style="3" customWidth="1"/>
    <col min="9668" max="9668" width="6.42578125" style="3" customWidth="1"/>
    <col min="9669" max="9669" width="16" style="3" customWidth="1"/>
    <col min="9670" max="9670" width="2.85546875" style="3" customWidth="1"/>
    <col min="9671" max="9671" width="0.85546875" style="3" customWidth="1"/>
    <col min="9672" max="9672" width="11" style="3"/>
    <col min="9673" max="9673" width="15.42578125" style="3" customWidth="1"/>
    <col min="9674" max="9676" width="14.85546875" style="3" customWidth="1"/>
    <col min="9677" max="9677" width="0.7109375" style="3" customWidth="1"/>
    <col min="9678" max="9678" width="11" style="3"/>
    <col min="9679" max="9679" width="15.7109375" style="3" customWidth="1"/>
    <col min="9680" max="9681" width="14.85546875" style="3" customWidth="1"/>
    <col min="9682" max="9682" width="3.28515625" style="3" customWidth="1"/>
    <col min="9683" max="9683" width="20.140625" style="3" customWidth="1"/>
    <col min="9684" max="9684" width="3.28515625" style="3" customWidth="1"/>
    <col min="9685" max="9689" width="11" style="3"/>
    <col min="9690" max="9702" width="4.7109375" style="3" customWidth="1"/>
    <col min="9703" max="9912" width="11" style="3"/>
    <col min="9913" max="9913" width="0.7109375" style="3" customWidth="1"/>
    <col min="9914" max="9914" width="6.5703125" style="3" customWidth="1"/>
    <col min="9915" max="9915" width="13.5703125" style="3" customWidth="1"/>
    <col min="9916" max="9916" width="13.42578125" style="3" customWidth="1"/>
    <col min="9917" max="9918" width="12.5703125" style="3" customWidth="1"/>
    <col min="9919" max="9919" width="14.85546875" style="3" customWidth="1"/>
    <col min="9920" max="9920" width="20.7109375" style="3" customWidth="1"/>
    <col min="9921" max="9921" width="12.5703125" style="3" customWidth="1"/>
    <col min="9922" max="9922" width="13" style="3" customWidth="1"/>
    <col min="9923" max="9923" width="16" style="3" customWidth="1"/>
    <col min="9924" max="9924" width="6.42578125" style="3" customWidth="1"/>
    <col min="9925" max="9925" width="16" style="3" customWidth="1"/>
    <col min="9926" max="9926" width="2.85546875" style="3" customWidth="1"/>
    <col min="9927" max="9927" width="0.85546875" style="3" customWidth="1"/>
    <col min="9928" max="9928" width="11" style="3"/>
    <col min="9929" max="9929" width="15.42578125" style="3" customWidth="1"/>
    <col min="9930" max="9932" width="14.85546875" style="3" customWidth="1"/>
    <col min="9933" max="9933" width="0.7109375" style="3" customWidth="1"/>
    <col min="9934" max="9934" width="11" style="3"/>
    <col min="9935" max="9935" width="15.7109375" style="3" customWidth="1"/>
    <col min="9936" max="9937" width="14.85546875" style="3" customWidth="1"/>
    <col min="9938" max="9938" width="3.28515625" style="3" customWidth="1"/>
    <col min="9939" max="9939" width="20.140625" style="3" customWidth="1"/>
    <col min="9940" max="9940" width="3.28515625" style="3" customWidth="1"/>
    <col min="9941" max="9945" width="11" style="3"/>
    <col min="9946" max="9958" width="4.7109375" style="3" customWidth="1"/>
    <col min="9959" max="10168" width="11" style="3"/>
    <col min="10169" max="10169" width="0.7109375" style="3" customWidth="1"/>
    <col min="10170" max="10170" width="6.5703125" style="3" customWidth="1"/>
    <col min="10171" max="10171" width="13.5703125" style="3" customWidth="1"/>
    <col min="10172" max="10172" width="13.42578125" style="3" customWidth="1"/>
    <col min="10173" max="10174" width="12.5703125" style="3" customWidth="1"/>
    <col min="10175" max="10175" width="14.85546875" style="3" customWidth="1"/>
    <col min="10176" max="10176" width="20.7109375" style="3" customWidth="1"/>
    <col min="10177" max="10177" width="12.5703125" style="3" customWidth="1"/>
    <col min="10178" max="10178" width="13" style="3" customWidth="1"/>
    <col min="10179" max="10179" width="16" style="3" customWidth="1"/>
    <col min="10180" max="10180" width="6.42578125" style="3" customWidth="1"/>
    <col min="10181" max="10181" width="16" style="3" customWidth="1"/>
    <col min="10182" max="10182" width="2.85546875" style="3" customWidth="1"/>
    <col min="10183" max="10183" width="0.85546875" style="3" customWidth="1"/>
    <col min="10184" max="10184" width="11" style="3"/>
    <col min="10185" max="10185" width="15.42578125" style="3" customWidth="1"/>
    <col min="10186" max="10188" width="14.85546875" style="3" customWidth="1"/>
    <col min="10189" max="10189" width="0.7109375" style="3" customWidth="1"/>
    <col min="10190" max="10190" width="11" style="3"/>
    <col min="10191" max="10191" width="15.7109375" style="3" customWidth="1"/>
    <col min="10192" max="10193" width="14.85546875" style="3" customWidth="1"/>
    <col min="10194" max="10194" width="3.28515625" style="3" customWidth="1"/>
    <col min="10195" max="10195" width="20.140625" style="3" customWidth="1"/>
    <col min="10196" max="10196" width="3.28515625" style="3" customWidth="1"/>
    <col min="10197" max="10201" width="11" style="3"/>
    <col min="10202" max="10214" width="4.7109375" style="3" customWidth="1"/>
    <col min="10215" max="10424" width="11" style="3"/>
    <col min="10425" max="10425" width="0.7109375" style="3" customWidth="1"/>
    <col min="10426" max="10426" width="6.5703125" style="3" customWidth="1"/>
    <col min="10427" max="10427" width="13.5703125" style="3" customWidth="1"/>
    <col min="10428" max="10428" width="13.42578125" style="3" customWidth="1"/>
    <col min="10429" max="10430" width="12.5703125" style="3" customWidth="1"/>
    <col min="10431" max="10431" width="14.85546875" style="3" customWidth="1"/>
    <col min="10432" max="10432" width="20.7109375" style="3" customWidth="1"/>
    <col min="10433" max="10433" width="12.5703125" style="3" customWidth="1"/>
    <col min="10434" max="10434" width="13" style="3" customWidth="1"/>
    <col min="10435" max="10435" width="16" style="3" customWidth="1"/>
    <col min="10436" max="10436" width="6.42578125" style="3" customWidth="1"/>
    <col min="10437" max="10437" width="16" style="3" customWidth="1"/>
    <col min="10438" max="10438" width="2.85546875" style="3" customWidth="1"/>
    <col min="10439" max="10439" width="0.85546875" style="3" customWidth="1"/>
    <col min="10440" max="10440" width="11" style="3"/>
    <col min="10441" max="10441" width="15.42578125" style="3" customWidth="1"/>
    <col min="10442" max="10444" width="14.85546875" style="3" customWidth="1"/>
    <col min="10445" max="10445" width="0.7109375" style="3" customWidth="1"/>
    <col min="10446" max="10446" width="11" style="3"/>
    <col min="10447" max="10447" width="15.7109375" style="3" customWidth="1"/>
    <col min="10448" max="10449" width="14.85546875" style="3" customWidth="1"/>
    <col min="10450" max="10450" width="3.28515625" style="3" customWidth="1"/>
    <col min="10451" max="10451" width="20.140625" style="3" customWidth="1"/>
    <col min="10452" max="10452" width="3.28515625" style="3" customWidth="1"/>
    <col min="10453" max="10457" width="11" style="3"/>
    <col min="10458" max="10470" width="4.7109375" style="3" customWidth="1"/>
    <col min="10471" max="10680" width="11" style="3"/>
    <col min="10681" max="10681" width="0.7109375" style="3" customWidth="1"/>
    <col min="10682" max="10682" width="6.5703125" style="3" customWidth="1"/>
    <col min="10683" max="10683" width="13.5703125" style="3" customWidth="1"/>
    <col min="10684" max="10684" width="13.42578125" style="3" customWidth="1"/>
    <col min="10685" max="10686" width="12.5703125" style="3" customWidth="1"/>
    <col min="10687" max="10687" width="14.85546875" style="3" customWidth="1"/>
    <col min="10688" max="10688" width="20.7109375" style="3" customWidth="1"/>
    <col min="10689" max="10689" width="12.5703125" style="3" customWidth="1"/>
    <col min="10690" max="10690" width="13" style="3" customWidth="1"/>
    <col min="10691" max="10691" width="16" style="3" customWidth="1"/>
    <col min="10692" max="10692" width="6.42578125" style="3" customWidth="1"/>
    <col min="10693" max="10693" width="16" style="3" customWidth="1"/>
    <col min="10694" max="10694" width="2.85546875" style="3" customWidth="1"/>
    <col min="10695" max="10695" width="0.85546875" style="3" customWidth="1"/>
    <col min="10696" max="10696" width="11" style="3"/>
    <col min="10697" max="10697" width="15.42578125" style="3" customWidth="1"/>
    <col min="10698" max="10700" width="14.85546875" style="3" customWidth="1"/>
    <col min="10701" max="10701" width="0.7109375" style="3" customWidth="1"/>
    <col min="10702" max="10702" width="11" style="3"/>
    <col min="10703" max="10703" width="15.7109375" style="3" customWidth="1"/>
    <col min="10704" max="10705" width="14.85546875" style="3" customWidth="1"/>
    <col min="10706" max="10706" width="3.28515625" style="3" customWidth="1"/>
    <col min="10707" max="10707" width="20.140625" style="3" customWidth="1"/>
    <col min="10708" max="10708" width="3.28515625" style="3" customWidth="1"/>
    <col min="10709" max="10713" width="11" style="3"/>
    <col min="10714" max="10726" width="4.7109375" style="3" customWidth="1"/>
    <col min="10727" max="10936" width="11" style="3"/>
    <col min="10937" max="10937" width="0.7109375" style="3" customWidth="1"/>
    <col min="10938" max="10938" width="6.5703125" style="3" customWidth="1"/>
    <col min="10939" max="10939" width="13.5703125" style="3" customWidth="1"/>
    <col min="10940" max="10940" width="13.42578125" style="3" customWidth="1"/>
    <col min="10941" max="10942" width="12.5703125" style="3" customWidth="1"/>
    <col min="10943" max="10943" width="14.85546875" style="3" customWidth="1"/>
    <col min="10944" max="10944" width="20.7109375" style="3" customWidth="1"/>
    <col min="10945" max="10945" width="12.5703125" style="3" customWidth="1"/>
    <col min="10946" max="10946" width="13" style="3" customWidth="1"/>
    <col min="10947" max="10947" width="16" style="3" customWidth="1"/>
    <col min="10948" max="10948" width="6.42578125" style="3" customWidth="1"/>
    <col min="10949" max="10949" width="16" style="3" customWidth="1"/>
    <col min="10950" max="10950" width="2.85546875" style="3" customWidth="1"/>
    <col min="10951" max="10951" width="0.85546875" style="3" customWidth="1"/>
    <col min="10952" max="10952" width="11" style="3"/>
    <col min="10953" max="10953" width="15.42578125" style="3" customWidth="1"/>
    <col min="10954" max="10956" width="14.85546875" style="3" customWidth="1"/>
    <col min="10957" max="10957" width="0.7109375" style="3" customWidth="1"/>
    <col min="10958" max="10958" width="11" style="3"/>
    <col min="10959" max="10959" width="15.7109375" style="3" customWidth="1"/>
    <col min="10960" max="10961" width="14.85546875" style="3" customWidth="1"/>
    <col min="10962" max="10962" width="3.28515625" style="3" customWidth="1"/>
    <col min="10963" max="10963" width="20.140625" style="3" customWidth="1"/>
    <col min="10964" max="10964" width="3.28515625" style="3" customWidth="1"/>
    <col min="10965" max="10969" width="11" style="3"/>
    <col min="10970" max="10982" width="4.7109375" style="3" customWidth="1"/>
    <col min="10983" max="11192" width="11" style="3"/>
    <col min="11193" max="11193" width="0.7109375" style="3" customWidth="1"/>
    <col min="11194" max="11194" width="6.5703125" style="3" customWidth="1"/>
    <col min="11195" max="11195" width="13.5703125" style="3" customWidth="1"/>
    <col min="11196" max="11196" width="13.42578125" style="3" customWidth="1"/>
    <col min="11197" max="11198" width="12.5703125" style="3" customWidth="1"/>
    <col min="11199" max="11199" width="14.85546875" style="3" customWidth="1"/>
    <col min="11200" max="11200" width="20.7109375" style="3" customWidth="1"/>
    <col min="11201" max="11201" width="12.5703125" style="3" customWidth="1"/>
    <col min="11202" max="11202" width="13" style="3" customWidth="1"/>
    <col min="11203" max="11203" width="16" style="3" customWidth="1"/>
    <col min="11204" max="11204" width="6.42578125" style="3" customWidth="1"/>
    <col min="11205" max="11205" width="16" style="3" customWidth="1"/>
    <col min="11206" max="11206" width="2.85546875" style="3" customWidth="1"/>
    <col min="11207" max="11207" width="0.85546875" style="3" customWidth="1"/>
    <col min="11208" max="11208" width="11" style="3"/>
    <col min="11209" max="11209" width="15.42578125" style="3" customWidth="1"/>
    <col min="11210" max="11212" width="14.85546875" style="3" customWidth="1"/>
    <col min="11213" max="11213" width="0.7109375" style="3" customWidth="1"/>
    <col min="11214" max="11214" width="11" style="3"/>
    <col min="11215" max="11215" width="15.7109375" style="3" customWidth="1"/>
    <col min="11216" max="11217" width="14.85546875" style="3" customWidth="1"/>
    <col min="11218" max="11218" width="3.28515625" style="3" customWidth="1"/>
    <col min="11219" max="11219" width="20.140625" style="3" customWidth="1"/>
    <col min="11220" max="11220" width="3.28515625" style="3" customWidth="1"/>
    <col min="11221" max="11225" width="11" style="3"/>
    <col min="11226" max="11238" width="4.7109375" style="3" customWidth="1"/>
    <col min="11239" max="11448" width="11" style="3"/>
    <col min="11449" max="11449" width="0.7109375" style="3" customWidth="1"/>
    <col min="11450" max="11450" width="6.5703125" style="3" customWidth="1"/>
    <col min="11451" max="11451" width="13.5703125" style="3" customWidth="1"/>
    <col min="11452" max="11452" width="13.42578125" style="3" customWidth="1"/>
    <col min="11453" max="11454" width="12.5703125" style="3" customWidth="1"/>
    <col min="11455" max="11455" width="14.85546875" style="3" customWidth="1"/>
    <col min="11456" max="11456" width="20.7109375" style="3" customWidth="1"/>
    <col min="11457" max="11457" width="12.5703125" style="3" customWidth="1"/>
    <col min="11458" max="11458" width="13" style="3" customWidth="1"/>
    <col min="11459" max="11459" width="16" style="3" customWidth="1"/>
    <col min="11460" max="11460" width="6.42578125" style="3" customWidth="1"/>
    <col min="11461" max="11461" width="16" style="3" customWidth="1"/>
    <col min="11462" max="11462" width="2.85546875" style="3" customWidth="1"/>
    <col min="11463" max="11463" width="0.85546875" style="3" customWidth="1"/>
    <col min="11464" max="11464" width="11" style="3"/>
    <col min="11465" max="11465" width="15.42578125" style="3" customWidth="1"/>
    <col min="11466" max="11468" width="14.85546875" style="3" customWidth="1"/>
    <col min="11469" max="11469" width="0.7109375" style="3" customWidth="1"/>
    <col min="11470" max="11470" width="11" style="3"/>
    <col min="11471" max="11471" width="15.7109375" style="3" customWidth="1"/>
    <col min="11472" max="11473" width="14.85546875" style="3" customWidth="1"/>
    <col min="11474" max="11474" width="3.28515625" style="3" customWidth="1"/>
    <col min="11475" max="11475" width="20.140625" style="3" customWidth="1"/>
    <col min="11476" max="11476" width="3.28515625" style="3" customWidth="1"/>
    <col min="11477" max="11481" width="11" style="3"/>
    <col min="11482" max="11494" width="4.7109375" style="3" customWidth="1"/>
    <col min="11495" max="11704" width="11" style="3"/>
    <col min="11705" max="11705" width="0.7109375" style="3" customWidth="1"/>
    <col min="11706" max="11706" width="6.5703125" style="3" customWidth="1"/>
    <col min="11707" max="11707" width="13.5703125" style="3" customWidth="1"/>
    <col min="11708" max="11708" width="13.42578125" style="3" customWidth="1"/>
    <col min="11709" max="11710" width="12.5703125" style="3" customWidth="1"/>
    <col min="11711" max="11711" width="14.85546875" style="3" customWidth="1"/>
    <col min="11712" max="11712" width="20.7109375" style="3" customWidth="1"/>
    <col min="11713" max="11713" width="12.5703125" style="3" customWidth="1"/>
    <col min="11714" max="11714" width="13" style="3" customWidth="1"/>
    <col min="11715" max="11715" width="16" style="3" customWidth="1"/>
    <col min="11716" max="11716" width="6.42578125" style="3" customWidth="1"/>
    <col min="11717" max="11717" width="16" style="3" customWidth="1"/>
    <col min="11718" max="11718" width="2.85546875" style="3" customWidth="1"/>
    <col min="11719" max="11719" width="0.85546875" style="3" customWidth="1"/>
    <col min="11720" max="11720" width="11" style="3"/>
    <col min="11721" max="11721" width="15.42578125" style="3" customWidth="1"/>
    <col min="11722" max="11724" width="14.85546875" style="3" customWidth="1"/>
    <col min="11725" max="11725" width="0.7109375" style="3" customWidth="1"/>
    <col min="11726" max="11726" width="11" style="3"/>
    <col min="11727" max="11727" width="15.7109375" style="3" customWidth="1"/>
    <col min="11728" max="11729" width="14.85546875" style="3" customWidth="1"/>
    <col min="11730" max="11730" width="3.28515625" style="3" customWidth="1"/>
    <col min="11731" max="11731" width="20.140625" style="3" customWidth="1"/>
    <col min="11732" max="11732" width="3.28515625" style="3" customWidth="1"/>
    <col min="11733" max="11737" width="11" style="3"/>
    <col min="11738" max="11750" width="4.7109375" style="3" customWidth="1"/>
    <col min="11751" max="11960" width="11" style="3"/>
    <col min="11961" max="11961" width="0.7109375" style="3" customWidth="1"/>
    <col min="11962" max="11962" width="6.5703125" style="3" customWidth="1"/>
    <col min="11963" max="11963" width="13.5703125" style="3" customWidth="1"/>
    <col min="11964" max="11964" width="13.42578125" style="3" customWidth="1"/>
    <col min="11965" max="11966" width="12.5703125" style="3" customWidth="1"/>
    <col min="11967" max="11967" width="14.85546875" style="3" customWidth="1"/>
    <col min="11968" max="11968" width="20.7109375" style="3" customWidth="1"/>
    <col min="11969" max="11969" width="12.5703125" style="3" customWidth="1"/>
    <col min="11970" max="11970" width="13" style="3" customWidth="1"/>
    <col min="11971" max="11971" width="16" style="3" customWidth="1"/>
    <col min="11972" max="11972" width="6.42578125" style="3" customWidth="1"/>
    <col min="11973" max="11973" width="16" style="3" customWidth="1"/>
    <col min="11974" max="11974" width="2.85546875" style="3" customWidth="1"/>
    <col min="11975" max="11975" width="0.85546875" style="3" customWidth="1"/>
    <col min="11976" max="11976" width="11" style="3"/>
    <col min="11977" max="11977" width="15.42578125" style="3" customWidth="1"/>
    <col min="11978" max="11980" width="14.85546875" style="3" customWidth="1"/>
    <col min="11981" max="11981" width="0.7109375" style="3" customWidth="1"/>
    <col min="11982" max="11982" width="11" style="3"/>
    <col min="11983" max="11983" width="15.7109375" style="3" customWidth="1"/>
    <col min="11984" max="11985" width="14.85546875" style="3" customWidth="1"/>
    <col min="11986" max="11986" width="3.28515625" style="3" customWidth="1"/>
    <col min="11987" max="11987" width="20.140625" style="3" customWidth="1"/>
    <col min="11988" max="11988" width="3.28515625" style="3" customWidth="1"/>
    <col min="11989" max="11993" width="11" style="3"/>
    <col min="11994" max="12006" width="4.7109375" style="3" customWidth="1"/>
    <col min="12007" max="12216" width="11" style="3"/>
    <col min="12217" max="12217" width="0.7109375" style="3" customWidth="1"/>
    <col min="12218" max="12218" width="6.5703125" style="3" customWidth="1"/>
    <col min="12219" max="12219" width="13.5703125" style="3" customWidth="1"/>
    <col min="12220" max="12220" width="13.42578125" style="3" customWidth="1"/>
    <col min="12221" max="12222" width="12.5703125" style="3" customWidth="1"/>
    <col min="12223" max="12223" width="14.85546875" style="3" customWidth="1"/>
    <col min="12224" max="12224" width="20.7109375" style="3" customWidth="1"/>
    <col min="12225" max="12225" width="12.5703125" style="3" customWidth="1"/>
    <col min="12226" max="12226" width="13" style="3" customWidth="1"/>
    <col min="12227" max="12227" width="16" style="3" customWidth="1"/>
    <col min="12228" max="12228" width="6.42578125" style="3" customWidth="1"/>
    <col min="12229" max="12229" width="16" style="3" customWidth="1"/>
    <col min="12230" max="12230" width="2.85546875" style="3" customWidth="1"/>
    <col min="12231" max="12231" width="0.85546875" style="3" customWidth="1"/>
    <col min="12232" max="12232" width="11" style="3"/>
    <col min="12233" max="12233" width="15.42578125" style="3" customWidth="1"/>
    <col min="12234" max="12236" width="14.85546875" style="3" customWidth="1"/>
    <col min="12237" max="12237" width="0.7109375" style="3" customWidth="1"/>
    <col min="12238" max="12238" width="11" style="3"/>
    <col min="12239" max="12239" width="15.7109375" style="3" customWidth="1"/>
    <col min="12240" max="12241" width="14.85546875" style="3" customWidth="1"/>
    <col min="12242" max="12242" width="3.28515625" style="3" customWidth="1"/>
    <col min="12243" max="12243" width="20.140625" style="3" customWidth="1"/>
    <col min="12244" max="12244" width="3.28515625" style="3" customWidth="1"/>
    <col min="12245" max="12249" width="11" style="3"/>
    <col min="12250" max="12262" width="4.7109375" style="3" customWidth="1"/>
    <col min="12263" max="12472" width="11" style="3"/>
    <col min="12473" max="12473" width="0.7109375" style="3" customWidth="1"/>
    <col min="12474" max="12474" width="6.5703125" style="3" customWidth="1"/>
    <col min="12475" max="12475" width="13.5703125" style="3" customWidth="1"/>
    <col min="12476" max="12476" width="13.42578125" style="3" customWidth="1"/>
    <col min="12477" max="12478" width="12.5703125" style="3" customWidth="1"/>
    <col min="12479" max="12479" width="14.85546875" style="3" customWidth="1"/>
    <col min="12480" max="12480" width="20.7109375" style="3" customWidth="1"/>
    <col min="12481" max="12481" width="12.5703125" style="3" customWidth="1"/>
    <col min="12482" max="12482" width="13" style="3" customWidth="1"/>
    <col min="12483" max="12483" width="16" style="3" customWidth="1"/>
    <col min="12484" max="12484" width="6.42578125" style="3" customWidth="1"/>
    <col min="12485" max="12485" width="16" style="3" customWidth="1"/>
    <col min="12486" max="12486" width="2.85546875" style="3" customWidth="1"/>
    <col min="12487" max="12487" width="0.85546875" style="3" customWidth="1"/>
    <col min="12488" max="12488" width="11" style="3"/>
    <col min="12489" max="12489" width="15.42578125" style="3" customWidth="1"/>
    <col min="12490" max="12492" width="14.85546875" style="3" customWidth="1"/>
    <col min="12493" max="12493" width="0.7109375" style="3" customWidth="1"/>
    <col min="12494" max="12494" width="11" style="3"/>
    <col min="12495" max="12495" width="15.7109375" style="3" customWidth="1"/>
    <col min="12496" max="12497" width="14.85546875" style="3" customWidth="1"/>
    <col min="12498" max="12498" width="3.28515625" style="3" customWidth="1"/>
    <col min="12499" max="12499" width="20.140625" style="3" customWidth="1"/>
    <col min="12500" max="12500" width="3.28515625" style="3" customWidth="1"/>
    <col min="12501" max="12505" width="11" style="3"/>
    <col min="12506" max="12518" width="4.7109375" style="3" customWidth="1"/>
    <col min="12519" max="12728" width="11" style="3"/>
    <col min="12729" max="12729" width="0.7109375" style="3" customWidth="1"/>
    <col min="12730" max="12730" width="6.5703125" style="3" customWidth="1"/>
    <col min="12731" max="12731" width="13.5703125" style="3" customWidth="1"/>
    <col min="12732" max="12732" width="13.42578125" style="3" customWidth="1"/>
    <col min="12733" max="12734" width="12.5703125" style="3" customWidth="1"/>
    <col min="12735" max="12735" width="14.85546875" style="3" customWidth="1"/>
    <col min="12736" max="12736" width="20.7109375" style="3" customWidth="1"/>
    <col min="12737" max="12737" width="12.5703125" style="3" customWidth="1"/>
    <col min="12738" max="12738" width="13" style="3" customWidth="1"/>
    <col min="12739" max="12739" width="16" style="3" customWidth="1"/>
    <col min="12740" max="12740" width="6.42578125" style="3" customWidth="1"/>
    <col min="12741" max="12741" width="16" style="3" customWidth="1"/>
    <col min="12742" max="12742" width="2.85546875" style="3" customWidth="1"/>
    <col min="12743" max="12743" width="0.85546875" style="3" customWidth="1"/>
    <col min="12744" max="12744" width="11" style="3"/>
    <col min="12745" max="12745" width="15.42578125" style="3" customWidth="1"/>
    <col min="12746" max="12748" width="14.85546875" style="3" customWidth="1"/>
    <col min="12749" max="12749" width="0.7109375" style="3" customWidth="1"/>
    <col min="12750" max="12750" width="11" style="3"/>
    <col min="12751" max="12751" width="15.7109375" style="3" customWidth="1"/>
    <col min="12752" max="12753" width="14.85546875" style="3" customWidth="1"/>
    <col min="12754" max="12754" width="3.28515625" style="3" customWidth="1"/>
    <col min="12755" max="12755" width="20.140625" style="3" customWidth="1"/>
    <col min="12756" max="12756" width="3.28515625" style="3" customWidth="1"/>
    <col min="12757" max="12761" width="11" style="3"/>
    <col min="12762" max="12774" width="4.7109375" style="3" customWidth="1"/>
    <col min="12775" max="12984" width="11" style="3"/>
    <col min="12985" max="12985" width="0.7109375" style="3" customWidth="1"/>
    <col min="12986" max="12986" width="6.5703125" style="3" customWidth="1"/>
    <col min="12987" max="12987" width="13.5703125" style="3" customWidth="1"/>
    <col min="12988" max="12988" width="13.42578125" style="3" customWidth="1"/>
    <col min="12989" max="12990" width="12.5703125" style="3" customWidth="1"/>
    <col min="12991" max="12991" width="14.85546875" style="3" customWidth="1"/>
    <col min="12992" max="12992" width="20.7109375" style="3" customWidth="1"/>
    <col min="12993" max="12993" width="12.5703125" style="3" customWidth="1"/>
    <col min="12994" max="12994" width="13" style="3" customWidth="1"/>
    <col min="12995" max="12995" width="16" style="3" customWidth="1"/>
    <col min="12996" max="12996" width="6.42578125" style="3" customWidth="1"/>
    <col min="12997" max="12997" width="16" style="3" customWidth="1"/>
    <col min="12998" max="12998" width="2.85546875" style="3" customWidth="1"/>
    <col min="12999" max="12999" width="0.85546875" style="3" customWidth="1"/>
    <col min="13000" max="13000" width="11" style="3"/>
    <col min="13001" max="13001" width="15.42578125" style="3" customWidth="1"/>
    <col min="13002" max="13004" width="14.85546875" style="3" customWidth="1"/>
    <col min="13005" max="13005" width="0.7109375" style="3" customWidth="1"/>
    <col min="13006" max="13006" width="11" style="3"/>
    <col min="13007" max="13007" width="15.7109375" style="3" customWidth="1"/>
    <col min="13008" max="13009" width="14.85546875" style="3" customWidth="1"/>
    <col min="13010" max="13010" width="3.28515625" style="3" customWidth="1"/>
    <col min="13011" max="13011" width="20.140625" style="3" customWidth="1"/>
    <col min="13012" max="13012" width="3.28515625" style="3" customWidth="1"/>
    <col min="13013" max="13017" width="11" style="3"/>
    <col min="13018" max="13030" width="4.7109375" style="3" customWidth="1"/>
    <col min="13031" max="13240" width="11" style="3"/>
    <col min="13241" max="13241" width="0.7109375" style="3" customWidth="1"/>
    <col min="13242" max="13242" width="6.5703125" style="3" customWidth="1"/>
    <col min="13243" max="13243" width="13.5703125" style="3" customWidth="1"/>
    <col min="13244" max="13244" width="13.42578125" style="3" customWidth="1"/>
    <col min="13245" max="13246" width="12.5703125" style="3" customWidth="1"/>
    <col min="13247" max="13247" width="14.85546875" style="3" customWidth="1"/>
    <col min="13248" max="13248" width="20.7109375" style="3" customWidth="1"/>
    <col min="13249" max="13249" width="12.5703125" style="3" customWidth="1"/>
    <col min="13250" max="13250" width="13" style="3" customWidth="1"/>
    <col min="13251" max="13251" width="16" style="3" customWidth="1"/>
    <col min="13252" max="13252" width="6.42578125" style="3" customWidth="1"/>
    <col min="13253" max="13253" width="16" style="3" customWidth="1"/>
    <col min="13254" max="13254" width="2.85546875" style="3" customWidth="1"/>
    <col min="13255" max="13255" width="0.85546875" style="3" customWidth="1"/>
    <col min="13256" max="13256" width="11" style="3"/>
    <col min="13257" max="13257" width="15.42578125" style="3" customWidth="1"/>
    <col min="13258" max="13260" width="14.85546875" style="3" customWidth="1"/>
    <col min="13261" max="13261" width="0.7109375" style="3" customWidth="1"/>
    <col min="13262" max="13262" width="11" style="3"/>
    <col min="13263" max="13263" width="15.7109375" style="3" customWidth="1"/>
    <col min="13264" max="13265" width="14.85546875" style="3" customWidth="1"/>
    <col min="13266" max="13266" width="3.28515625" style="3" customWidth="1"/>
    <col min="13267" max="13267" width="20.140625" style="3" customWidth="1"/>
    <col min="13268" max="13268" width="3.28515625" style="3" customWidth="1"/>
    <col min="13269" max="13273" width="11" style="3"/>
    <col min="13274" max="13286" width="4.7109375" style="3" customWidth="1"/>
    <col min="13287" max="13496" width="11" style="3"/>
    <col min="13497" max="13497" width="0.7109375" style="3" customWidth="1"/>
    <col min="13498" max="13498" width="6.5703125" style="3" customWidth="1"/>
    <col min="13499" max="13499" width="13.5703125" style="3" customWidth="1"/>
    <col min="13500" max="13500" width="13.42578125" style="3" customWidth="1"/>
    <col min="13501" max="13502" width="12.5703125" style="3" customWidth="1"/>
    <col min="13503" max="13503" width="14.85546875" style="3" customWidth="1"/>
    <col min="13504" max="13504" width="20.7109375" style="3" customWidth="1"/>
    <col min="13505" max="13505" width="12.5703125" style="3" customWidth="1"/>
    <col min="13506" max="13506" width="13" style="3" customWidth="1"/>
    <col min="13507" max="13507" width="16" style="3" customWidth="1"/>
    <col min="13508" max="13508" width="6.42578125" style="3" customWidth="1"/>
    <col min="13509" max="13509" width="16" style="3" customWidth="1"/>
    <col min="13510" max="13510" width="2.85546875" style="3" customWidth="1"/>
    <col min="13511" max="13511" width="0.85546875" style="3" customWidth="1"/>
    <col min="13512" max="13512" width="11" style="3"/>
    <col min="13513" max="13513" width="15.42578125" style="3" customWidth="1"/>
    <col min="13514" max="13516" width="14.85546875" style="3" customWidth="1"/>
    <col min="13517" max="13517" width="0.7109375" style="3" customWidth="1"/>
    <col min="13518" max="13518" width="11" style="3"/>
    <col min="13519" max="13519" width="15.7109375" style="3" customWidth="1"/>
    <col min="13520" max="13521" width="14.85546875" style="3" customWidth="1"/>
    <col min="13522" max="13522" width="3.28515625" style="3" customWidth="1"/>
    <col min="13523" max="13523" width="20.140625" style="3" customWidth="1"/>
    <col min="13524" max="13524" width="3.28515625" style="3" customWidth="1"/>
    <col min="13525" max="13529" width="11" style="3"/>
    <col min="13530" max="13542" width="4.7109375" style="3" customWidth="1"/>
    <col min="13543" max="13752" width="11" style="3"/>
    <col min="13753" max="13753" width="0.7109375" style="3" customWidth="1"/>
    <col min="13754" max="13754" width="6.5703125" style="3" customWidth="1"/>
    <col min="13755" max="13755" width="13.5703125" style="3" customWidth="1"/>
    <col min="13756" max="13756" width="13.42578125" style="3" customWidth="1"/>
    <col min="13757" max="13758" width="12.5703125" style="3" customWidth="1"/>
    <col min="13759" max="13759" width="14.85546875" style="3" customWidth="1"/>
    <col min="13760" max="13760" width="20.7109375" style="3" customWidth="1"/>
    <col min="13761" max="13761" width="12.5703125" style="3" customWidth="1"/>
    <col min="13762" max="13762" width="13" style="3" customWidth="1"/>
    <col min="13763" max="13763" width="16" style="3" customWidth="1"/>
    <col min="13764" max="13764" width="6.42578125" style="3" customWidth="1"/>
    <col min="13765" max="13765" width="16" style="3" customWidth="1"/>
    <col min="13766" max="13766" width="2.85546875" style="3" customWidth="1"/>
    <col min="13767" max="13767" width="0.85546875" style="3" customWidth="1"/>
    <col min="13768" max="13768" width="11" style="3"/>
    <col min="13769" max="13769" width="15.42578125" style="3" customWidth="1"/>
    <col min="13770" max="13772" width="14.85546875" style="3" customWidth="1"/>
    <col min="13773" max="13773" width="0.7109375" style="3" customWidth="1"/>
    <col min="13774" max="13774" width="11" style="3"/>
    <col min="13775" max="13775" width="15.7109375" style="3" customWidth="1"/>
    <col min="13776" max="13777" width="14.85546875" style="3" customWidth="1"/>
    <col min="13778" max="13778" width="3.28515625" style="3" customWidth="1"/>
    <col min="13779" max="13779" width="20.140625" style="3" customWidth="1"/>
    <col min="13780" max="13780" width="3.28515625" style="3" customWidth="1"/>
    <col min="13781" max="13785" width="11" style="3"/>
    <col min="13786" max="13798" width="4.7109375" style="3" customWidth="1"/>
    <col min="13799" max="14008" width="11" style="3"/>
    <col min="14009" max="14009" width="0.7109375" style="3" customWidth="1"/>
    <col min="14010" max="14010" width="6.5703125" style="3" customWidth="1"/>
    <col min="14011" max="14011" width="13.5703125" style="3" customWidth="1"/>
    <col min="14012" max="14012" width="13.42578125" style="3" customWidth="1"/>
    <col min="14013" max="14014" width="12.5703125" style="3" customWidth="1"/>
    <col min="14015" max="14015" width="14.85546875" style="3" customWidth="1"/>
    <col min="14016" max="14016" width="20.7109375" style="3" customWidth="1"/>
    <col min="14017" max="14017" width="12.5703125" style="3" customWidth="1"/>
    <col min="14018" max="14018" width="13" style="3" customWidth="1"/>
    <col min="14019" max="14019" width="16" style="3" customWidth="1"/>
    <col min="14020" max="14020" width="6.42578125" style="3" customWidth="1"/>
    <col min="14021" max="14021" width="16" style="3" customWidth="1"/>
    <col min="14022" max="14022" width="2.85546875" style="3" customWidth="1"/>
    <col min="14023" max="14023" width="0.85546875" style="3" customWidth="1"/>
    <col min="14024" max="14024" width="11" style="3"/>
    <col min="14025" max="14025" width="15.42578125" style="3" customWidth="1"/>
    <col min="14026" max="14028" width="14.85546875" style="3" customWidth="1"/>
    <col min="14029" max="14029" width="0.7109375" style="3" customWidth="1"/>
    <col min="14030" max="14030" width="11" style="3"/>
    <col min="14031" max="14031" width="15.7109375" style="3" customWidth="1"/>
    <col min="14032" max="14033" width="14.85546875" style="3" customWidth="1"/>
    <col min="14034" max="14034" width="3.28515625" style="3" customWidth="1"/>
    <col min="14035" max="14035" width="20.140625" style="3" customWidth="1"/>
    <col min="14036" max="14036" width="3.28515625" style="3" customWidth="1"/>
    <col min="14037" max="14041" width="11" style="3"/>
    <col min="14042" max="14054" width="4.7109375" style="3" customWidth="1"/>
    <col min="14055" max="14264" width="11" style="3"/>
    <col min="14265" max="14265" width="0.7109375" style="3" customWidth="1"/>
    <col min="14266" max="14266" width="6.5703125" style="3" customWidth="1"/>
    <col min="14267" max="14267" width="13.5703125" style="3" customWidth="1"/>
    <col min="14268" max="14268" width="13.42578125" style="3" customWidth="1"/>
    <col min="14269" max="14270" width="12.5703125" style="3" customWidth="1"/>
    <col min="14271" max="14271" width="14.85546875" style="3" customWidth="1"/>
    <col min="14272" max="14272" width="20.7109375" style="3" customWidth="1"/>
    <col min="14273" max="14273" width="12.5703125" style="3" customWidth="1"/>
    <col min="14274" max="14274" width="13" style="3" customWidth="1"/>
    <col min="14275" max="14275" width="16" style="3" customWidth="1"/>
    <col min="14276" max="14276" width="6.42578125" style="3" customWidth="1"/>
    <col min="14277" max="14277" width="16" style="3" customWidth="1"/>
    <col min="14278" max="14278" width="2.85546875" style="3" customWidth="1"/>
    <col min="14279" max="14279" width="0.85546875" style="3" customWidth="1"/>
    <col min="14280" max="14280" width="11" style="3"/>
    <col min="14281" max="14281" width="15.42578125" style="3" customWidth="1"/>
    <col min="14282" max="14284" width="14.85546875" style="3" customWidth="1"/>
    <col min="14285" max="14285" width="0.7109375" style="3" customWidth="1"/>
    <col min="14286" max="14286" width="11" style="3"/>
    <col min="14287" max="14287" width="15.7109375" style="3" customWidth="1"/>
    <col min="14288" max="14289" width="14.85546875" style="3" customWidth="1"/>
    <col min="14290" max="14290" width="3.28515625" style="3" customWidth="1"/>
    <col min="14291" max="14291" width="20.140625" style="3" customWidth="1"/>
    <col min="14292" max="14292" width="3.28515625" style="3" customWidth="1"/>
    <col min="14293" max="14297" width="11" style="3"/>
    <col min="14298" max="14310" width="4.7109375" style="3" customWidth="1"/>
    <col min="14311" max="14520" width="11" style="3"/>
    <col min="14521" max="14521" width="0.7109375" style="3" customWidth="1"/>
    <col min="14522" max="14522" width="6.5703125" style="3" customWidth="1"/>
    <col min="14523" max="14523" width="13.5703125" style="3" customWidth="1"/>
    <col min="14524" max="14524" width="13.42578125" style="3" customWidth="1"/>
    <col min="14525" max="14526" width="12.5703125" style="3" customWidth="1"/>
    <col min="14527" max="14527" width="14.85546875" style="3" customWidth="1"/>
    <col min="14528" max="14528" width="20.7109375" style="3" customWidth="1"/>
    <col min="14529" max="14529" width="12.5703125" style="3" customWidth="1"/>
    <col min="14530" max="14530" width="13" style="3" customWidth="1"/>
    <col min="14531" max="14531" width="16" style="3" customWidth="1"/>
    <col min="14532" max="14532" width="6.42578125" style="3" customWidth="1"/>
    <col min="14533" max="14533" width="16" style="3" customWidth="1"/>
    <col min="14534" max="14534" width="2.85546875" style="3" customWidth="1"/>
    <col min="14535" max="14535" width="0.85546875" style="3" customWidth="1"/>
    <col min="14536" max="14536" width="11" style="3"/>
    <col min="14537" max="14537" width="15.42578125" style="3" customWidth="1"/>
    <col min="14538" max="14540" width="14.85546875" style="3" customWidth="1"/>
    <col min="14541" max="14541" width="0.7109375" style="3" customWidth="1"/>
    <col min="14542" max="14542" width="11" style="3"/>
    <col min="14543" max="14543" width="15.7109375" style="3" customWidth="1"/>
    <col min="14544" max="14545" width="14.85546875" style="3" customWidth="1"/>
    <col min="14546" max="14546" width="3.28515625" style="3" customWidth="1"/>
    <col min="14547" max="14547" width="20.140625" style="3" customWidth="1"/>
    <col min="14548" max="14548" width="3.28515625" style="3" customWidth="1"/>
    <col min="14549" max="14553" width="11" style="3"/>
    <col min="14554" max="14566" width="4.7109375" style="3" customWidth="1"/>
    <col min="14567" max="14776" width="11" style="3"/>
    <col min="14777" max="14777" width="0.7109375" style="3" customWidth="1"/>
    <col min="14778" max="14778" width="6.5703125" style="3" customWidth="1"/>
    <col min="14779" max="14779" width="13.5703125" style="3" customWidth="1"/>
    <col min="14780" max="14780" width="13.42578125" style="3" customWidth="1"/>
    <col min="14781" max="14782" width="12.5703125" style="3" customWidth="1"/>
    <col min="14783" max="14783" width="14.85546875" style="3" customWidth="1"/>
    <col min="14784" max="14784" width="20.7109375" style="3" customWidth="1"/>
    <col min="14785" max="14785" width="12.5703125" style="3" customWidth="1"/>
    <col min="14786" max="14786" width="13" style="3" customWidth="1"/>
    <col min="14787" max="14787" width="16" style="3" customWidth="1"/>
    <col min="14788" max="14788" width="6.42578125" style="3" customWidth="1"/>
    <col min="14789" max="14789" width="16" style="3" customWidth="1"/>
    <col min="14790" max="14790" width="2.85546875" style="3" customWidth="1"/>
    <col min="14791" max="14791" width="0.85546875" style="3" customWidth="1"/>
    <col min="14792" max="14792" width="11" style="3"/>
    <col min="14793" max="14793" width="15.42578125" style="3" customWidth="1"/>
    <col min="14794" max="14796" width="14.85546875" style="3" customWidth="1"/>
    <col min="14797" max="14797" width="0.7109375" style="3" customWidth="1"/>
    <col min="14798" max="14798" width="11" style="3"/>
    <col min="14799" max="14799" width="15.7109375" style="3" customWidth="1"/>
    <col min="14800" max="14801" width="14.85546875" style="3" customWidth="1"/>
    <col min="14802" max="14802" width="3.28515625" style="3" customWidth="1"/>
    <col min="14803" max="14803" width="20.140625" style="3" customWidth="1"/>
    <col min="14804" max="14804" width="3.28515625" style="3" customWidth="1"/>
    <col min="14805" max="14809" width="11" style="3"/>
    <col min="14810" max="14822" width="4.7109375" style="3" customWidth="1"/>
    <col min="14823" max="15032" width="11" style="3"/>
    <col min="15033" max="15033" width="0.7109375" style="3" customWidth="1"/>
    <col min="15034" max="15034" width="6.5703125" style="3" customWidth="1"/>
    <col min="15035" max="15035" width="13.5703125" style="3" customWidth="1"/>
    <col min="15036" max="15036" width="13.42578125" style="3" customWidth="1"/>
    <col min="15037" max="15038" width="12.5703125" style="3" customWidth="1"/>
    <col min="15039" max="15039" width="14.85546875" style="3" customWidth="1"/>
    <col min="15040" max="15040" width="20.7109375" style="3" customWidth="1"/>
    <col min="15041" max="15041" width="12.5703125" style="3" customWidth="1"/>
    <col min="15042" max="15042" width="13" style="3" customWidth="1"/>
    <col min="15043" max="15043" width="16" style="3" customWidth="1"/>
    <col min="15044" max="15044" width="6.42578125" style="3" customWidth="1"/>
    <col min="15045" max="15045" width="16" style="3" customWidth="1"/>
    <col min="15046" max="15046" width="2.85546875" style="3" customWidth="1"/>
    <col min="15047" max="15047" width="0.85546875" style="3" customWidth="1"/>
    <col min="15048" max="15048" width="11" style="3"/>
    <col min="15049" max="15049" width="15.42578125" style="3" customWidth="1"/>
    <col min="15050" max="15052" width="14.85546875" style="3" customWidth="1"/>
    <col min="15053" max="15053" width="0.7109375" style="3" customWidth="1"/>
    <col min="15054" max="15054" width="11" style="3"/>
    <col min="15055" max="15055" width="15.7109375" style="3" customWidth="1"/>
    <col min="15056" max="15057" width="14.85546875" style="3" customWidth="1"/>
    <col min="15058" max="15058" width="3.28515625" style="3" customWidth="1"/>
    <col min="15059" max="15059" width="20.140625" style="3" customWidth="1"/>
    <col min="15060" max="15060" width="3.28515625" style="3" customWidth="1"/>
    <col min="15061" max="15065" width="11" style="3"/>
    <col min="15066" max="15078" width="4.7109375" style="3" customWidth="1"/>
    <col min="15079" max="15288" width="11" style="3"/>
    <col min="15289" max="15289" width="0.7109375" style="3" customWidth="1"/>
    <col min="15290" max="15290" width="6.5703125" style="3" customWidth="1"/>
    <col min="15291" max="15291" width="13.5703125" style="3" customWidth="1"/>
    <col min="15292" max="15292" width="13.42578125" style="3" customWidth="1"/>
    <col min="15293" max="15294" width="12.5703125" style="3" customWidth="1"/>
    <col min="15295" max="15295" width="14.85546875" style="3" customWidth="1"/>
    <col min="15296" max="15296" width="20.7109375" style="3" customWidth="1"/>
    <col min="15297" max="15297" width="12.5703125" style="3" customWidth="1"/>
    <col min="15298" max="15298" width="13" style="3" customWidth="1"/>
    <col min="15299" max="15299" width="16" style="3" customWidth="1"/>
    <col min="15300" max="15300" width="6.42578125" style="3" customWidth="1"/>
    <col min="15301" max="15301" width="16" style="3" customWidth="1"/>
    <col min="15302" max="15302" width="2.85546875" style="3" customWidth="1"/>
    <col min="15303" max="15303" width="0.85546875" style="3" customWidth="1"/>
    <col min="15304" max="15304" width="11" style="3"/>
    <col min="15305" max="15305" width="15.42578125" style="3" customWidth="1"/>
    <col min="15306" max="15308" width="14.85546875" style="3" customWidth="1"/>
    <col min="15309" max="15309" width="0.7109375" style="3" customWidth="1"/>
    <col min="15310" max="15310" width="11" style="3"/>
    <col min="15311" max="15311" width="15.7109375" style="3" customWidth="1"/>
    <col min="15312" max="15313" width="14.85546875" style="3" customWidth="1"/>
    <col min="15314" max="15314" width="3.28515625" style="3" customWidth="1"/>
    <col min="15315" max="15315" width="20.140625" style="3" customWidth="1"/>
    <col min="15316" max="15316" width="3.28515625" style="3" customWidth="1"/>
    <col min="15317" max="15321" width="11" style="3"/>
    <col min="15322" max="15334" width="4.7109375" style="3" customWidth="1"/>
    <col min="15335" max="15544" width="11" style="3"/>
    <col min="15545" max="15545" width="0.7109375" style="3" customWidth="1"/>
    <col min="15546" max="15546" width="6.5703125" style="3" customWidth="1"/>
    <col min="15547" max="15547" width="13.5703125" style="3" customWidth="1"/>
    <col min="15548" max="15548" width="13.42578125" style="3" customWidth="1"/>
    <col min="15549" max="15550" width="12.5703125" style="3" customWidth="1"/>
    <col min="15551" max="15551" width="14.85546875" style="3" customWidth="1"/>
    <col min="15552" max="15552" width="20.7109375" style="3" customWidth="1"/>
    <col min="15553" max="15553" width="12.5703125" style="3" customWidth="1"/>
    <col min="15554" max="15554" width="13" style="3" customWidth="1"/>
    <col min="15555" max="15555" width="16" style="3" customWidth="1"/>
    <col min="15556" max="15556" width="6.42578125" style="3" customWidth="1"/>
    <col min="15557" max="15557" width="16" style="3" customWidth="1"/>
    <col min="15558" max="15558" width="2.85546875" style="3" customWidth="1"/>
    <col min="15559" max="15559" width="0.85546875" style="3" customWidth="1"/>
    <col min="15560" max="15560" width="11" style="3"/>
    <col min="15561" max="15561" width="15.42578125" style="3" customWidth="1"/>
    <col min="15562" max="15564" width="14.85546875" style="3" customWidth="1"/>
    <col min="15565" max="15565" width="0.7109375" style="3" customWidth="1"/>
    <col min="15566" max="15566" width="11" style="3"/>
    <col min="15567" max="15567" width="15.7109375" style="3" customWidth="1"/>
    <col min="15568" max="15569" width="14.85546875" style="3" customWidth="1"/>
    <col min="15570" max="15570" width="3.28515625" style="3" customWidth="1"/>
    <col min="15571" max="15571" width="20.140625" style="3" customWidth="1"/>
    <col min="15572" max="15572" width="3.28515625" style="3" customWidth="1"/>
    <col min="15573" max="15577" width="11" style="3"/>
    <col min="15578" max="15590" width="4.7109375" style="3" customWidth="1"/>
    <col min="15591" max="15800" width="11" style="3"/>
    <col min="15801" max="15801" width="0.7109375" style="3" customWidth="1"/>
    <col min="15802" max="15802" width="6.5703125" style="3" customWidth="1"/>
    <col min="15803" max="15803" width="13.5703125" style="3" customWidth="1"/>
    <col min="15804" max="15804" width="13.42578125" style="3" customWidth="1"/>
    <col min="15805" max="15806" width="12.5703125" style="3" customWidth="1"/>
    <col min="15807" max="15807" width="14.85546875" style="3" customWidth="1"/>
    <col min="15808" max="15808" width="20.7109375" style="3" customWidth="1"/>
    <col min="15809" max="15809" width="12.5703125" style="3" customWidth="1"/>
    <col min="15810" max="15810" width="13" style="3" customWidth="1"/>
    <col min="15811" max="15811" width="16" style="3" customWidth="1"/>
    <col min="15812" max="15812" width="6.42578125" style="3" customWidth="1"/>
    <col min="15813" max="15813" width="16" style="3" customWidth="1"/>
    <col min="15814" max="15814" width="2.85546875" style="3" customWidth="1"/>
    <col min="15815" max="15815" width="0.85546875" style="3" customWidth="1"/>
    <col min="15816" max="15816" width="11" style="3"/>
    <col min="15817" max="15817" width="15.42578125" style="3" customWidth="1"/>
    <col min="15818" max="15820" width="14.85546875" style="3" customWidth="1"/>
    <col min="15821" max="15821" width="0.7109375" style="3" customWidth="1"/>
    <col min="15822" max="15822" width="11" style="3"/>
    <col min="15823" max="15823" width="15.7109375" style="3" customWidth="1"/>
    <col min="15824" max="15825" width="14.85546875" style="3" customWidth="1"/>
    <col min="15826" max="15826" width="3.28515625" style="3" customWidth="1"/>
    <col min="15827" max="15827" width="20.140625" style="3" customWidth="1"/>
    <col min="15828" max="15828" width="3.28515625" style="3" customWidth="1"/>
    <col min="15829" max="15833" width="11" style="3"/>
    <col min="15834" max="15846" width="4.7109375" style="3" customWidth="1"/>
    <col min="15847" max="16056" width="11" style="3"/>
    <col min="16057" max="16057" width="0.7109375" style="3" customWidth="1"/>
    <col min="16058" max="16058" width="6.5703125" style="3" customWidth="1"/>
    <col min="16059" max="16059" width="13.5703125" style="3" customWidth="1"/>
    <col min="16060" max="16060" width="13.42578125" style="3" customWidth="1"/>
    <col min="16061" max="16062" width="12.5703125" style="3" customWidth="1"/>
    <col min="16063" max="16063" width="14.85546875" style="3" customWidth="1"/>
    <col min="16064" max="16064" width="20.7109375" style="3" customWidth="1"/>
    <col min="16065" max="16065" width="12.5703125" style="3" customWidth="1"/>
    <col min="16066" max="16066" width="13" style="3" customWidth="1"/>
    <col min="16067" max="16067" width="16" style="3" customWidth="1"/>
    <col min="16068" max="16068" width="6.42578125" style="3" customWidth="1"/>
    <col min="16069" max="16069" width="16" style="3" customWidth="1"/>
    <col min="16070" max="16070" width="2.85546875" style="3" customWidth="1"/>
    <col min="16071" max="16071" width="0.85546875" style="3" customWidth="1"/>
    <col min="16072" max="16072" width="11" style="3"/>
    <col min="16073" max="16073" width="15.42578125" style="3" customWidth="1"/>
    <col min="16074" max="16076" width="14.85546875" style="3" customWidth="1"/>
    <col min="16077" max="16077" width="0.7109375" style="3" customWidth="1"/>
    <col min="16078" max="16078" width="11" style="3"/>
    <col min="16079" max="16079" width="15.7109375" style="3" customWidth="1"/>
    <col min="16080" max="16081" width="14.85546875" style="3" customWidth="1"/>
    <col min="16082" max="16082" width="3.28515625" style="3" customWidth="1"/>
    <col min="16083" max="16083" width="20.140625" style="3" customWidth="1"/>
    <col min="16084" max="16084" width="3.28515625" style="3" customWidth="1"/>
    <col min="16085" max="16089" width="11" style="3"/>
    <col min="16090" max="16102" width="4.7109375" style="3" customWidth="1"/>
    <col min="16103" max="16384" width="11" style="3"/>
  </cols>
  <sheetData>
    <row r="1" spans="1:28" s="1" customFormat="1" ht="19.5" customHeight="1">
      <c r="A1" s="236"/>
      <c r="B1" s="237"/>
      <c r="C1" s="179" t="s">
        <v>0</v>
      </c>
      <c r="D1" s="179"/>
      <c r="E1" s="179"/>
      <c r="F1" s="179"/>
      <c r="G1" s="179"/>
      <c r="H1" s="179"/>
      <c r="I1" s="179"/>
      <c r="J1" s="179"/>
      <c r="K1" s="180" t="s">
        <v>1</v>
      </c>
      <c r="L1" s="181"/>
      <c r="O1" s="80"/>
      <c r="P1" s="80"/>
      <c r="Q1" s="80"/>
      <c r="R1" s="80"/>
      <c r="S1" s="80"/>
      <c r="T1" s="80"/>
      <c r="U1" s="80"/>
      <c r="V1" s="80"/>
      <c r="W1" s="80"/>
      <c r="X1" s="80"/>
      <c r="Y1" s="80"/>
      <c r="Z1" s="80"/>
      <c r="AA1" s="80"/>
    </row>
    <row r="2" spans="1:28" s="1" customFormat="1" ht="19.5" customHeight="1">
      <c r="A2" s="238"/>
      <c r="B2" s="186"/>
      <c r="C2" s="241" t="s">
        <v>2</v>
      </c>
      <c r="D2" s="241"/>
      <c r="E2" s="241"/>
      <c r="F2" s="241"/>
      <c r="G2" s="241"/>
      <c r="H2" s="241"/>
      <c r="I2" s="241"/>
      <c r="J2" s="241"/>
      <c r="K2" s="182" t="s">
        <v>89</v>
      </c>
      <c r="L2" s="183"/>
      <c r="O2" s="80"/>
      <c r="P2" s="80"/>
      <c r="Q2" s="80"/>
      <c r="R2" s="80"/>
      <c r="S2" s="80"/>
      <c r="T2" s="80"/>
      <c r="U2" s="80"/>
      <c r="V2" s="80"/>
      <c r="W2" s="80"/>
      <c r="X2" s="80"/>
      <c r="Y2" s="80"/>
      <c r="Z2" s="80"/>
      <c r="AA2" s="80"/>
    </row>
    <row r="3" spans="1:28" s="1" customFormat="1" ht="19.5" customHeight="1">
      <c r="A3" s="238"/>
      <c r="B3" s="186"/>
      <c r="C3" s="241"/>
      <c r="D3" s="241"/>
      <c r="E3" s="241"/>
      <c r="F3" s="241"/>
      <c r="G3" s="241"/>
      <c r="H3" s="241"/>
      <c r="I3" s="241"/>
      <c r="J3" s="241"/>
      <c r="K3" s="182" t="s">
        <v>3</v>
      </c>
      <c r="L3" s="183"/>
      <c r="Q3" s="132"/>
      <c r="R3" s="80"/>
      <c r="T3" s="132" t="s">
        <v>4</v>
      </c>
      <c r="U3" s="132"/>
      <c r="V3" s="80"/>
      <c r="W3" s="80"/>
      <c r="X3" s="80"/>
      <c r="Y3" s="80"/>
      <c r="Z3" s="80"/>
      <c r="AA3" s="80"/>
    </row>
    <row r="4" spans="1:28" s="1" customFormat="1" ht="19.5" customHeight="1" thickBot="1">
      <c r="A4" s="239"/>
      <c r="B4" s="240"/>
      <c r="C4" s="242"/>
      <c r="D4" s="242"/>
      <c r="E4" s="242"/>
      <c r="F4" s="242"/>
      <c r="G4" s="242"/>
      <c r="H4" s="242"/>
      <c r="I4" s="242"/>
      <c r="J4" s="242"/>
      <c r="K4" s="184" t="s">
        <v>88</v>
      </c>
      <c r="L4" s="185"/>
      <c r="Q4" s="132"/>
      <c r="R4" s="80"/>
      <c r="S4" s="132"/>
      <c r="T4" s="132"/>
      <c r="U4" s="132"/>
      <c r="V4" s="80"/>
      <c r="W4" s="80"/>
      <c r="X4" s="80"/>
      <c r="Y4" s="80"/>
      <c r="Z4" s="80"/>
      <c r="AA4" s="80"/>
    </row>
    <row r="5" spans="1:28" s="1" customFormat="1" ht="3.95" customHeight="1" thickBot="1">
      <c r="A5" s="5"/>
      <c r="B5" s="186"/>
      <c r="C5" s="186"/>
      <c r="D5" s="186"/>
      <c r="E5" s="186"/>
      <c r="F5" s="186"/>
      <c r="G5" s="186"/>
      <c r="H5" s="186"/>
      <c r="I5" s="186"/>
      <c r="J5" s="186"/>
      <c r="K5" s="186"/>
      <c r="L5" s="81"/>
      <c r="Q5" s="132"/>
      <c r="R5" s="132"/>
      <c r="T5" s="132"/>
      <c r="U5" s="132"/>
      <c r="V5" s="80"/>
      <c r="W5" s="80"/>
      <c r="X5" s="80"/>
      <c r="Y5" s="80"/>
      <c r="Z5" s="80"/>
      <c r="AA5" s="80"/>
      <c r="AB5" s="80"/>
    </row>
    <row r="6" spans="1:28" s="1" customFormat="1" ht="22.5" customHeight="1">
      <c r="A6" s="6"/>
      <c r="B6" s="7" t="s">
        <v>5</v>
      </c>
      <c r="C6" s="273" t="s">
        <v>91</v>
      </c>
      <c r="D6" s="273"/>
      <c r="E6" s="273"/>
      <c r="F6" s="273"/>
      <c r="G6" s="273"/>
      <c r="H6" s="188" t="s">
        <v>6</v>
      </c>
      <c r="I6" s="188"/>
      <c r="J6" s="189">
        <v>45884</v>
      </c>
      <c r="K6" s="189"/>
      <c r="L6" s="190"/>
      <c r="Q6" s="80"/>
      <c r="R6" s="80"/>
      <c r="T6" s="133" t="s">
        <v>7</v>
      </c>
      <c r="U6" s="80"/>
      <c r="V6" s="80"/>
      <c r="W6" s="80"/>
      <c r="X6" s="80"/>
      <c r="Y6" s="80"/>
      <c r="Z6" s="80"/>
      <c r="AA6" s="80"/>
      <c r="AB6" s="80"/>
    </row>
    <row r="7" spans="1:28" s="1" customFormat="1" ht="24.75" customHeight="1">
      <c r="A7" s="5"/>
      <c r="B7" s="9" t="s">
        <v>8</v>
      </c>
      <c r="C7" s="274" t="s">
        <v>92</v>
      </c>
      <c r="D7" s="274"/>
      <c r="E7" s="274"/>
      <c r="F7" s="274"/>
      <c r="G7" s="274"/>
      <c r="H7" s="192" t="s">
        <v>9</v>
      </c>
      <c r="I7" s="192"/>
      <c r="J7" s="193">
        <v>45953</v>
      </c>
      <c r="K7" s="193"/>
      <c r="L7" s="194"/>
      <c r="Q7" s="80"/>
      <c r="R7" s="80"/>
      <c r="T7" s="133" t="s">
        <v>10</v>
      </c>
      <c r="U7" s="80"/>
      <c r="V7" s="80"/>
      <c r="W7" s="80"/>
      <c r="X7" s="80"/>
      <c r="Y7" s="80"/>
      <c r="Z7" s="80"/>
      <c r="AA7" s="80"/>
      <c r="AB7" s="80"/>
    </row>
    <row r="8" spans="1:28" s="1" customFormat="1" ht="22.5" customHeight="1">
      <c r="A8" s="5"/>
      <c r="B8" s="9" t="s">
        <v>11</v>
      </c>
      <c r="C8" s="271" t="s">
        <v>12</v>
      </c>
      <c r="D8" s="272"/>
      <c r="E8" s="272"/>
      <c r="F8" s="272"/>
      <c r="G8" s="272"/>
      <c r="H8" s="192" t="s">
        <v>13</v>
      </c>
      <c r="I8" s="192"/>
      <c r="J8" s="193">
        <v>45959</v>
      </c>
      <c r="K8" s="193"/>
      <c r="L8" s="194"/>
      <c r="Q8" s="80"/>
      <c r="R8" s="80"/>
      <c r="S8" s="1">
        <f>17-2.57</f>
        <v>14.43</v>
      </c>
      <c r="T8" s="133" t="s">
        <v>14</v>
      </c>
      <c r="U8" s="80"/>
      <c r="V8" s="80"/>
      <c r="W8" s="80"/>
      <c r="X8" s="80"/>
      <c r="Y8" s="80"/>
      <c r="Z8" s="80"/>
      <c r="AA8" s="80"/>
      <c r="AB8" s="80"/>
    </row>
    <row r="9" spans="1:28" s="1" customFormat="1" ht="22.5" customHeight="1">
      <c r="A9" s="5"/>
      <c r="B9" s="9" t="s">
        <v>15</v>
      </c>
      <c r="C9" s="202" t="s">
        <v>93</v>
      </c>
      <c r="D9" s="202"/>
      <c r="E9" s="202"/>
      <c r="F9" s="202"/>
      <c r="G9" s="202"/>
      <c r="H9" s="192" t="s">
        <v>16</v>
      </c>
      <c r="I9" s="192"/>
      <c r="J9" s="82" t="s">
        <v>17</v>
      </c>
      <c r="K9" s="83" t="s">
        <v>90</v>
      </c>
      <c r="L9" s="84" t="s">
        <v>85</v>
      </c>
      <c r="Q9" s="80"/>
      <c r="R9" s="80"/>
      <c r="T9" s="133" t="s">
        <v>18</v>
      </c>
      <c r="U9" s="80"/>
      <c r="V9" s="80"/>
      <c r="W9" s="80"/>
      <c r="X9" s="80"/>
      <c r="Y9" s="80"/>
      <c r="Z9" s="80"/>
      <c r="AA9" s="80"/>
      <c r="AB9" s="80"/>
    </row>
    <row r="10" spans="1:28" s="1" customFormat="1" ht="22.5" customHeight="1">
      <c r="A10" s="5"/>
      <c r="B10" s="10" t="s">
        <v>19</v>
      </c>
      <c r="C10" s="202" t="s">
        <v>20</v>
      </c>
      <c r="D10" s="202"/>
      <c r="E10" s="202"/>
      <c r="F10" s="202"/>
      <c r="G10" s="202"/>
      <c r="H10" s="196" t="s">
        <v>21</v>
      </c>
      <c r="I10" s="196"/>
      <c r="J10" s="197" t="str">
        <f>CONCATENATE(K9,," ",L9,"-",D12,"-",F12)</f>
        <v>056 25-:P-CERRITO AP3-2</v>
      </c>
      <c r="K10" s="197"/>
      <c r="L10" s="198"/>
      <c r="Q10" s="80"/>
      <c r="R10" s="80"/>
      <c r="T10" s="133" t="s">
        <v>22</v>
      </c>
      <c r="U10" s="80"/>
      <c r="V10" s="80"/>
      <c r="W10" s="80"/>
      <c r="X10" s="80"/>
      <c r="Y10" s="80"/>
      <c r="Z10" s="80"/>
      <c r="AA10" s="80"/>
      <c r="AB10" s="80"/>
    </row>
    <row r="11" spans="1:28" s="1" customFormat="1" ht="3.95" customHeight="1" thickBot="1">
      <c r="A11" s="11"/>
      <c r="B11" s="199"/>
      <c r="C11" s="199"/>
      <c r="D11" s="199"/>
      <c r="E11" s="199"/>
      <c r="F11" s="199"/>
      <c r="G11" s="199"/>
      <c r="H11" s="199"/>
      <c r="I11" s="199"/>
      <c r="J11" s="199"/>
      <c r="K11" s="199"/>
      <c r="L11" s="85"/>
      <c r="Q11" s="80"/>
      <c r="R11" s="80"/>
      <c r="T11" s="133"/>
      <c r="U11" s="80"/>
      <c r="V11" s="80"/>
      <c r="W11" s="80"/>
      <c r="X11" s="80"/>
      <c r="Y11" s="80"/>
      <c r="Z11" s="80"/>
      <c r="AA11" s="80"/>
      <c r="AB11" s="80"/>
    </row>
    <row r="12" spans="1:28" s="1" customFormat="1" ht="22.5" customHeight="1">
      <c r="A12" s="6"/>
      <c r="B12" s="7" t="s">
        <v>23</v>
      </c>
      <c r="C12" s="12" t="s">
        <v>10</v>
      </c>
      <c r="D12" s="13" t="s">
        <v>121</v>
      </c>
      <c r="E12" s="14" t="s">
        <v>24</v>
      </c>
      <c r="F12" s="200">
        <v>2</v>
      </c>
      <c r="G12" s="200"/>
      <c r="H12" s="201" t="s">
        <v>25</v>
      </c>
      <c r="I12" s="201"/>
      <c r="J12" s="86">
        <v>1.3</v>
      </c>
      <c r="K12" s="87" t="s">
        <v>26</v>
      </c>
      <c r="L12" s="88">
        <v>1.5</v>
      </c>
      <c r="Q12" s="80"/>
      <c r="R12" s="80"/>
      <c r="T12" s="133"/>
      <c r="U12" s="80"/>
      <c r="V12" s="80"/>
      <c r="W12" s="80"/>
      <c r="X12" s="80"/>
      <c r="Y12" s="80"/>
      <c r="Z12" s="80"/>
      <c r="AA12" s="80"/>
      <c r="AB12" s="80"/>
    </row>
    <row r="13" spans="1:28" s="1" customFormat="1" ht="22.5" customHeight="1">
      <c r="A13" s="5"/>
      <c r="B13" s="9" t="s">
        <v>27</v>
      </c>
      <c r="C13" s="202" t="s">
        <v>123</v>
      </c>
      <c r="D13" s="202"/>
      <c r="E13" s="202"/>
      <c r="F13" s="202"/>
      <c r="G13" s="202"/>
      <c r="H13" s="202"/>
      <c r="I13" s="202"/>
      <c r="J13" s="202"/>
      <c r="K13" s="202"/>
      <c r="L13" s="203"/>
      <c r="O13" s="1">
        <f>-MOD1</f>
        <v>0</v>
      </c>
      <c r="Q13" s="80"/>
      <c r="R13" s="80"/>
      <c r="T13" s="133"/>
      <c r="U13" s="80"/>
      <c r="V13" s="80"/>
      <c r="W13" s="80"/>
      <c r="X13" s="80"/>
      <c r="Y13" s="80"/>
      <c r="Z13" s="80"/>
      <c r="AA13" s="80"/>
      <c r="AB13" s="80"/>
    </row>
    <row r="14" spans="1:28" s="1" customFormat="1" ht="6.95" customHeight="1" thickBot="1">
      <c r="A14" s="11"/>
      <c r="B14" s="15"/>
      <c r="C14" s="16"/>
      <c r="D14" s="16"/>
      <c r="E14" s="16"/>
      <c r="F14" s="16"/>
      <c r="G14" s="16"/>
      <c r="H14" s="16"/>
      <c r="I14" s="16"/>
      <c r="J14" s="16"/>
      <c r="K14" s="16"/>
      <c r="L14" s="89"/>
      <c r="P14" s="80"/>
      <c r="Q14" s="80"/>
      <c r="R14" s="80"/>
      <c r="S14" s="80"/>
      <c r="T14" s="80"/>
      <c r="U14" s="80"/>
      <c r="V14" s="80"/>
      <c r="W14" s="80"/>
      <c r="X14" s="80"/>
      <c r="Y14" s="80"/>
      <c r="Z14" s="80"/>
      <c r="AA14" s="80"/>
      <c r="AB14" s="80"/>
    </row>
    <row r="15" spans="1:28" ht="14.25" customHeight="1" thickBot="1">
      <c r="A15" s="17"/>
      <c r="B15" s="18"/>
      <c r="C15" s="18"/>
      <c r="D15" s="18"/>
      <c r="E15" s="18"/>
      <c r="F15" s="18"/>
      <c r="G15" s="18"/>
      <c r="H15" s="18"/>
      <c r="I15" s="18"/>
      <c r="J15" s="18"/>
      <c r="K15" s="18"/>
      <c r="L15" s="90"/>
    </row>
    <row r="16" spans="1:28" ht="22.5" customHeight="1" thickBot="1">
      <c r="A16" s="204"/>
      <c r="B16" s="205"/>
      <c r="C16" s="205"/>
      <c r="D16" s="205"/>
      <c r="E16" s="205"/>
      <c r="F16" s="205"/>
      <c r="G16" s="205"/>
      <c r="H16" s="205"/>
      <c r="I16" s="205"/>
      <c r="J16" s="205"/>
      <c r="K16" s="205"/>
      <c r="L16" s="206"/>
    </row>
    <row r="17" spans="1:19" ht="22.5" customHeight="1" thickBot="1">
      <c r="A17" s="17"/>
      <c r="B17" s="18"/>
      <c r="C17" s="18"/>
      <c r="D17" s="18"/>
      <c r="E17" s="18"/>
      <c r="F17" s="18"/>
      <c r="G17" s="19"/>
      <c r="H17" s="19"/>
      <c r="I17" s="19"/>
      <c r="J17" s="19"/>
      <c r="K17" s="19"/>
      <c r="L17" s="91"/>
    </row>
    <row r="18" spans="1:19" s="2" customFormat="1" ht="22.5" customHeight="1" thickBot="1">
      <c r="A18" s="207" t="s">
        <v>28</v>
      </c>
      <c r="B18" s="208"/>
      <c r="C18" s="208"/>
      <c r="D18" s="208"/>
      <c r="E18" s="209"/>
      <c r="F18" s="20"/>
      <c r="G18" s="207" t="s">
        <v>28</v>
      </c>
      <c r="H18" s="208"/>
      <c r="I18" s="208"/>
      <c r="J18" s="208"/>
      <c r="K18" s="208"/>
      <c r="L18" s="209"/>
      <c r="O18" s="92"/>
    </row>
    <row r="19" spans="1:19" s="2" customFormat="1" ht="27.75" customHeight="1" thickBot="1">
      <c r="A19" s="210"/>
      <c r="B19" s="211"/>
      <c r="C19" s="211"/>
      <c r="D19" s="22" t="s">
        <v>29</v>
      </c>
      <c r="E19" s="23" t="s">
        <v>30</v>
      </c>
      <c r="F19" s="24"/>
      <c r="G19" s="243" t="s">
        <v>31</v>
      </c>
      <c r="H19" s="244"/>
      <c r="I19" s="212" t="s">
        <v>32</v>
      </c>
      <c r="J19" s="213"/>
      <c r="K19" s="214" t="s">
        <v>33</v>
      </c>
      <c r="L19" s="215"/>
    </row>
    <row r="20" spans="1:19" s="2" customFormat="1" ht="22.5" customHeight="1">
      <c r="A20" s="216" t="s">
        <v>34</v>
      </c>
      <c r="B20" s="217"/>
      <c r="C20" s="25"/>
      <c r="D20" s="26">
        <v>555</v>
      </c>
      <c r="E20" s="27">
        <v>555</v>
      </c>
      <c r="F20" s="28"/>
      <c r="G20" s="245"/>
      <c r="H20" s="246"/>
      <c r="I20" s="93" t="s">
        <v>35</v>
      </c>
      <c r="J20" s="168" t="s">
        <v>36</v>
      </c>
      <c r="K20" s="95" t="s">
        <v>37</v>
      </c>
      <c r="L20" s="150" t="s">
        <v>36</v>
      </c>
      <c r="N20" s="92"/>
    </row>
    <row r="21" spans="1:19" s="2" customFormat="1" ht="22.5" customHeight="1">
      <c r="A21" s="216" t="s">
        <v>38</v>
      </c>
      <c r="B21" s="217"/>
      <c r="C21" s="25" t="s">
        <v>39</v>
      </c>
      <c r="D21" s="160">
        <v>15.5</v>
      </c>
      <c r="E21" s="161">
        <f>D21</f>
        <v>15.5</v>
      </c>
      <c r="F21" s="31"/>
      <c r="G21" s="96" t="s">
        <v>40</v>
      </c>
      <c r="H21" s="32" t="s">
        <v>41</v>
      </c>
      <c r="I21" s="96" t="s">
        <v>42</v>
      </c>
      <c r="J21" s="151" t="s">
        <v>43</v>
      </c>
      <c r="K21" s="96" t="s">
        <v>42</v>
      </c>
      <c r="L21" s="151" t="s">
        <v>43</v>
      </c>
      <c r="N21" s="97"/>
    </row>
    <row r="22" spans="1:19" s="2" customFormat="1" ht="22.5" customHeight="1">
      <c r="A22" s="216" t="s">
        <v>44</v>
      </c>
      <c r="B22" s="217"/>
      <c r="C22" s="25" t="s">
        <v>39</v>
      </c>
      <c r="D22" s="160">
        <v>15.8</v>
      </c>
      <c r="E22" s="161">
        <f>D22+E39</f>
        <v>15.8</v>
      </c>
      <c r="F22" s="31"/>
      <c r="G22" s="145">
        <v>0</v>
      </c>
      <c r="H22" s="33">
        <v>0</v>
      </c>
      <c r="I22" s="144">
        <v>0</v>
      </c>
      <c r="J22" s="152">
        <v>0</v>
      </c>
      <c r="K22" s="144">
        <v>0</v>
      </c>
      <c r="L22" s="152">
        <v>0</v>
      </c>
      <c r="N22" s="97"/>
      <c r="O22" s="2">
        <v>0.128</v>
      </c>
      <c r="S22" s="2">
        <v>2.7E-2</v>
      </c>
    </row>
    <row r="23" spans="1:19" s="2" customFormat="1" ht="22.5" customHeight="1">
      <c r="A23" s="216" t="s">
        <v>45</v>
      </c>
      <c r="B23" s="217"/>
      <c r="C23" s="34" t="s">
        <v>46</v>
      </c>
      <c r="D23" s="35">
        <v>10836</v>
      </c>
      <c r="E23" s="36">
        <v>10944</v>
      </c>
      <c r="F23" s="31"/>
      <c r="G23" s="145">
        <v>5.0000000000000001E-3</v>
      </c>
      <c r="H23" s="33">
        <v>0.127</v>
      </c>
      <c r="I23" s="144">
        <f>O22</f>
        <v>0.128</v>
      </c>
      <c r="J23" s="153">
        <f t="shared" ref="J23:J34" si="0">((I23/19.32)*10)</f>
        <v>6.6252587991718431E-2</v>
      </c>
      <c r="K23" s="98">
        <f>S22</f>
        <v>2.7E-2</v>
      </c>
      <c r="L23" s="153">
        <f t="shared" ref="L23:L34" si="1">((K23/19.32)*10)</f>
        <v>1.3975155279503104E-2</v>
      </c>
      <c r="N23" s="97"/>
      <c r="O23" s="2">
        <v>0.42099999999999999</v>
      </c>
      <c r="S23" s="2">
        <v>0.10299999999999999</v>
      </c>
    </row>
    <row r="24" spans="1:19" s="2" customFormat="1" ht="22.5" customHeight="1">
      <c r="A24" s="216" t="s">
        <v>47</v>
      </c>
      <c r="B24" s="217"/>
      <c r="C24" s="34" t="s">
        <v>46</v>
      </c>
      <c r="D24" s="167">
        <v>6128</v>
      </c>
      <c r="E24" s="37">
        <f>D24</f>
        <v>6128</v>
      </c>
      <c r="F24" s="38"/>
      <c r="G24" s="145">
        <v>2.5000000000000001E-2</v>
      </c>
      <c r="H24" s="33">
        <v>0.63500000000000001</v>
      </c>
      <c r="I24" s="144">
        <f t="shared" ref="I24:I34" si="2">O23</f>
        <v>0.42099999999999999</v>
      </c>
      <c r="J24" s="153">
        <f t="shared" si="0"/>
        <v>0.21790890269151139</v>
      </c>
      <c r="K24" s="98">
        <f t="shared" ref="K24:K34" si="3">S23</f>
        <v>0.10299999999999999</v>
      </c>
      <c r="L24" s="153">
        <f t="shared" si="1"/>
        <v>5.331262939958592E-2</v>
      </c>
      <c r="N24" s="97"/>
      <c r="O24" s="2">
        <v>0.78500000000000003</v>
      </c>
      <c r="S24" s="2">
        <v>0.13800000000000001</v>
      </c>
    </row>
    <row r="25" spans="1:19" s="2" customFormat="1" ht="22.5" customHeight="1">
      <c r="A25" s="216" t="s">
        <v>48</v>
      </c>
      <c r="B25" s="217"/>
      <c r="C25" s="34" t="s">
        <v>46</v>
      </c>
      <c r="D25" s="39">
        <f>+D23-D24</f>
        <v>4708</v>
      </c>
      <c r="E25" s="40">
        <f>E23-E24</f>
        <v>4816</v>
      </c>
      <c r="F25" s="41"/>
      <c r="G25" s="145">
        <v>0.05</v>
      </c>
      <c r="H25" s="33">
        <v>1.27</v>
      </c>
      <c r="I25" s="144">
        <f t="shared" si="2"/>
        <v>0.78500000000000003</v>
      </c>
      <c r="J25" s="153">
        <f t="shared" si="0"/>
        <v>0.40631469979296064</v>
      </c>
      <c r="K25" s="98">
        <f t="shared" si="3"/>
        <v>0.13800000000000001</v>
      </c>
      <c r="L25" s="153">
        <f t="shared" si="1"/>
        <v>7.1428571428571438E-2</v>
      </c>
      <c r="N25" s="97"/>
      <c r="O25" s="2">
        <v>1.143</v>
      </c>
      <c r="S25" s="2">
        <v>0.16300000000000001</v>
      </c>
    </row>
    <row r="26" spans="1:19" s="2" customFormat="1" ht="22.5" customHeight="1">
      <c r="A26" s="216" t="s">
        <v>49</v>
      </c>
      <c r="B26" s="217"/>
      <c r="C26" s="34" t="s">
        <v>50</v>
      </c>
      <c r="D26" s="39">
        <f>((PI()*(D21*D21))/4)*D22</f>
        <v>2981.332158348544</v>
      </c>
      <c r="E26" s="174">
        <f>((PI()*(E21*E21))/4)*E22</f>
        <v>2981.332158348544</v>
      </c>
      <c r="F26" s="41"/>
      <c r="G26" s="145">
        <v>7.4999999999999997E-2</v>
      </c>
      <c r="H26" s="33">
        <v>1.905</v>
      </c>
      <c r="I26" s="144">
        <f t="shared" si="2"/>
        <v>1.143</v>
      </c>
      <c r="J26" s="153">
        <f t="shared" si="0"/>
        <v>0.59161490683229823</v>
      </c>
      <c r="K26" s="98">
        <f t="shared" si="3"/>
        <v>0.16300000000000001</v>
      </c>
      <c r="L26" s="153">
        <f t="shared" si="1"/>
        <v>8.4368530020703936E-2</v>
      </c>
      <c r="N26" s="97"/>
      <c r="O26" s="2">
        <v>1.4550000000000001</v>
      </c>
      <c r="S26" s="2">
        <v>0.183</v>
      </c>
    </row>
    <row r="27" spans="1:19" s="2" customFormat="1" ht="22.5" customHeight="1">
      <c r="A27" s="216" t="s">
        <v>51</v>
      </c>
      <c r="B27" s="217"/>
      <c r="C27" s="34" t="s">
        <v>52</v>
      </c>
      <c r="D27" s="42">
        <f>D25/D26</f>
        <v>1.579159835248922</v>
      </c>
      <c r="E27" s="175">
        <f>E25/E26</f>
        <v>1.6153852520303331</v>
      </c>
      <c r="F27" s="44"/>
      <c r="G27" s="146">
        <v>0.1</v>
      </c>
      <c r="H27" s="45">
        <v>2.54</v>
      </c>
      <c r="I27" s="154">
        <f t="shared" si="2"/>
        <v>1.4550000000000001</v>
      </c>
      <c r="J27" s="155">
        <f t="shared" si="0"/>
        <v>0.75310559006211186</v>
      </c>
      <c r="K27" s="158">
        <f t="shared" si="3"/>
        <v>0.183</v>
      </c>
      <c r="L27" s="155">
        <f t="shared" si="1"/>
        <v>9.4720496894409936E-2</v>
      </c>
      <c r="N27" s="97"/>
      <c r="O27" s="2">
        <v>1.6439999999999999</v>
      </c>
      <c r="S27" s="2">
        <v>0.20499999999999999</v>
      </c>
    </row>
    <row r="28" spans="1:19" s="2" customFormat="1" ht="22.5" customHeight="1" thickBot="1">
      <c r="A28" s="218" t="s">
        <v>53</v>
      </c>
      <c r="B28" s="219"/>
      <c r="C28" s="46" t="s">
        <v>52</v>
      </c>
      <c r="D28" s="47">
        <f>D27/(1+D34/100)</f>
        <v>1.3899863841401654</v>
      </c>
      <c r="E28" s="48">
        <f>E27/(1+E34/100)</f>
        <v>1.2864657563671593</v>
      </c>
      <c r="F28" s="49"/>
      <c r="G28" s="145">
        <v>0.125</v>
      </c>
      <c r="H28" s="33">
        <v>3.1749999999999998</v>
      </c>
      <c r="I28" s="144">
        <f t="shared" si="2"/>
        <v>1.6439999999999999</v>
      </c>
      <c r="J28" s="153">
        <f t="shared" si="0"/>
        <v>0.85093167701863348</v>
      </c>
      <c r="K28" s="98">
        <f t="shared" si="3"/>
        <v>0.20499999999999999</v>
      </c>
      <c r="L28" s="153">
        <f t="shared" si="1"/>
        <v>0.10610766045548654</v>
      </c>
      <c r="N28" s="97"/>
      <c r="O28" s="2">
        <v>1.7869999999999999</v>
      </c>
      <c r="S28" s="2">
        <v>0.22600000000000001</v>
      </c>
    </row>
    <row r="29" spans="1:19" s="2" customFormat="1" ht="22.5" customHeight="1" thickBot="1">
      <c r="A29" s="207" t="s">
        <v>54</v>
      </c>
      <c r="B29" s="208" t="s">
        <v>54</v>
      </c>
      <c r="C29" s="208"/>
      <c r="D29" s="208"/>
      <c r="E29" s="209"/>
      <c r="F29" s="49"/>
      <c r="G29" s="147">
        <v>0.15</v>
      </c>
      <c r="H29" s="33">
        <v>3.81</v>
      </c>
      <c r="I29" s="144">
        <f t="shared" si="2"/>
        <v>1.7869999999999999</v>
      </c>
      <c r="J29" s="153">
        <f t="shared" si="0"/>
        <v>0.92494824016563149</v>
      </c>
      <c r="K29" s="98">
        <f t="shared" si="3"/>
        <v>0.22600000000000001</v>
      </c>
      <c r="L29" s="153">
        <f>((K29/19.32)*10)</f>
        <v>0.11697722567287785</v>
      </c>
      <c r="N29" s="97"/>
      <c r="O29" s="2">
        <v>1.9179999999999999</v>
      </c>
      <c r="S29" s="2">
        <v>0.249</v>
      </c>
    </row>
    <row r="30" spans="1:19" s="2" customFormat="1" ht="22.5" customHeight="1">
      <c r="A30" s="258" t="s">
        <v>55</v>
      </c>
      <c r="B30" s="259"/>
      <c r="C30" s="50"/>
      <c r="D30" s="51">
        <v>350</v>
      </c>
      <c r="E30" s="52">
        <v>355</v>
      </c>
      <c r="F30" s="44"/>
      <c r="G30" s="145">
        <v>0.17499999999999999</v>
      </c>
      <c r="H30" s="33">
        <v>4.4450000000000003</v>
      </c>
      <c r="I30" s="144">
        <f t="shared" si="2"/>
        <v>1.9179999999999999</v>
      </c>
      <c r="J30" s="153">
        <f t="shared" si="0"/>
        <v>0.99275362318840576</v>
      </c>
      <c r="K30" s="98">
        <f t="shared" si="3"/>
        <v>0.249</v>
      </c>
      <c r="L30" s="153">
        <f t="shared" si="1"/>
        <v>0.12888198757763975</v>
      </c>
      <c r="N30" s="97"/>
      <c r="O30" s="2">
        <v>2.0179999999999998</v>
      </c>
      <c r="S30" s="2">
        <v>0.27</v>
      </c>
    </row>
    <row r="31" spans="1:19" s="2" customFormat="1" ht="22.5" customHeight="1">
      <c r="A31" s="216" t="s">
        <v>56</v>
      </c>
      <c r="B31" s="217"/>
      <c r="C31" s="25" t="s">
        <v>46</v>
      </c>
      <c r="D31" s="53">
        <v>379.23</v>
      </c>
      <c r="E31" s="54">
        <v>836.05</v>
      </c>
      <c r="F31" s="41"/>
      <c r="G31" s="146">
        <v>0.2</v>
      </c>
      <c r="H31" s="45">
        <v>5.08</v>
      </c>
      <c r="I31" s="154">
        <f t="shared" si="2"/>
        <v>2.0179999999999998</v>
      </c>
      <c r="J31" s="155">
        <f t="shared" si="0"/>
        <v>1.0445134575569357</v>
      </c>
      <c r="K31" s="158">
        <f t="shared" si="3"/>
        <v>0.27</v>
      </c>
      <c r="L31" s="155">
        <f t="shared" si="1"/>
        <v>0.13975155279503107</v>
      </c>
      <c r="N31" s="97"/>
      <c r="O31" s="2">
        <v>2.3410000000000002</v>
      </c>
      <c r="S31" s="2">
        <v>0.36599999999999999</v>
      </c>
    </row>
    <row r="32" spans="1:19" s="2" customFormat="1" ht="22.5" customHeight="1">
      <c r="A32" s="216" t="s">
        <v>57</v>
      </c>
      <c r="B32" s="217"/>
      <c r="C32" s="25" t="s">
        <v>46</v>
      </c>
      <c r="D32" s="53">
        <v>346.01</v>
      </c>
      <c r="E32" s="54">
        <v>687.31</v>
      </c>
      <c r="F32" s="49"/>
      <c r="G32" s="145">
        <v>0.3</v>
      </c>
      <c r="H32" s="33">
        <v>7.62</v>
      </c>
      <c r="I32" s="144">
        <f t="shared" si="2"/>
        <v>2.3410000000000002</v>
      </c>
      <c r="J32" s="153">
        <f t="shared" si="0"/>
        <v>1.2116977225672878</v>
      </c>
      <c r="K32" s="98">
        <f t="shared" si="3"/>
        <v>0.36599999999999999</v>
      </c>
      <c r="L32" s="153">
        <f t="shared" si="1"/>
        <v>0.18944099378881987</v>
      </c>
      <c r="N32" s="97"/>
      <c r="O32" s="2">
        <v>2.61</v>
      </c>
      <c r="S32" s="2">
        <v>0.47099999999999997</v>
      </c>
    </row>
    <row r="33" spans="1:19" s="2" customFormat="1" ht="22.5" customHeight="1">
      <c r="A33" s="216" t="s">
        <v>58</v>
      </c>
      <c r="B33" s="217"/>
      <c r="C33" s="25" t="s">
        <v>46</v>
      </c>
      <c r="D33" s="53">
        <v>101.92</v>
      </c>
      <c r="E33" s="54">
        <v>105.56</v>
      </c>
      <c r="F33" s="49"/>
      <c r="G33" s="145">
        <v>0.4</v>
      </c>
      <c r="H33" s="33">
        <v>10.16</v>
      </c>
      <c r="I33" s="144">
        <f t="shared" si="2"/>
        <v>2.61</v>
      </c>
      <c r="J33" s="153">
        <f t="shared" si="0"/>
        <v>1.3509316770186337</v>
      </c>
      <c r="K33" s="98">
        <f t="shared" si="3"/>
        <v>0.47099999999999997</v>
      </c>
      <c r="L33" s="153">
        <f t="shared" si="1"/>
        <v>0.24378881987577639</v>
      </c>
      <c r="N33" s="97"/>
      <c r="O33" s="2">
        <v>2.8450000000000002</v>
      </c>
      <c r="S33" s="2">
        <v>0.56699999999999995</v>
      </c>
    </row>
    <row r="34" spans="1:19" s="2" customFormat="1" ht="22.5" customHeight="1" thickBot="1">
      <c r="A34" s="218" t="s">
        <v>59</v>
      </c>
      <c r="B34" s="219"/>
      <c r="C34" s="46" t="s">
        <v>60</v>
      </c>
      <c r="D34" s="47">
        <f>((D31-D32)/(D32-D33))*100</f>
        <v>13.609734114465988</v>
      </c>
      <c r="E34" s="48">
        <f>((E31-E32)/(E32-E33))*100</f>
        <v>25.567683712935114</v>
      </c>
      <c r="F34" s="49"/>
      <c r="G34" s="148">
        <v>0.5</v>
      </c>
      <c r="H34" s="149">
        <v>12.7</v>
      </c>
      <c r="I34" s="156">
        <f t="shared" si="2"/>
        <v>2.8450000000000002</v>
      </c>
      <c r="J34" s="157">
        <f t="shared" si="0"/>
        <v>1.4725672877846789</v>
      </c>
      <c r="K34" s="159">
        <f t="shared" si="3"/>
        <v>0.56699999999999995</v>
      </c>
      <c r="L34" s="157">
        <f t="shared" si="1"/>
        <v>0.29347826086956519</v>
      </c>
      <c r="N34" s="97"/>
    </row>
    <row r="35" spans="1:19" s="2" customFormat="1" ht="11.25" customHeight="1" thickBot="1">
      <c r="A35" s="55"/>
      <c r="B35" s="56"/>
      <c r="C35" s="57"/>
      <c r="D35" s="58"/>
      <c r="E35" s="58"/>
      <c r="F35" s="59"/>
      <c r="G35" s="58"/>
      <c r="H35" s="58"/>
      <c r="I35" s="58"/>
      <c r="J35" s="58"/>
      <c r="K35" s="58"/>
      <c r="L35" s="99"/>
      <c r="N35" s="97"/>
    </row>
    <row r="36" spans="1:19" s="2" customFormat="1" ht="22.5" customHeight="1" thickBot="1">
      <c r="A36" s="247" t="s">
        <v>61</v>
      </c>
      <c r="B36" s="248"/>
      <c r="C36" s="248"/>
      <c r="D36" s="248"/>
      <c r="E36" s="249"/>
      <c r="F36" s="60"/>
      <c r="G36" s="60"/>
      <c r="H36" s="207" t="s">
        <v>62</v>
      </c>
      <c r="I36" s="208"/>
      <c r="J36" s="208"/>
      <c r="K36" s="209"/>
      <c r="L36" s="100"/>
    </row>
    <row r="37" spans="1:19" s="2" customFormat="1" ht="22.5" customHeight="1" thickBot="1">
      <c r="A37" s="250" t="s">
        <v>63</v>
      </c>
      <c r="B37" s="251"/>
      <c r="C37" s="61" t="s">
        <v>64</v>
      </c>
      <c r="D37" s="277">
        <v>0.84350000000000003</v>
      </c>
      <c r="E37" s="278"/>
      <c r="F37" s="62"/>
      <c r="G37" s="62"/>
      <c r="H37" s="63" t="s">
        <v>65</v>
      </c>
      <c r="I37" s="101" t="s">
        <v>86</v>
      </c>
      <c r="J37" s="63" t="s">
        <v>66</v>
      </c>
      <c r="K37" s="102" t="s">
        <v>67</v>
      </c>
      <c r="L37" s="99"/>
    </row>
    <row r="38" spans="1:19" s="2" customFormat="1" ht="22.5" customHeight="1" thickBot="1">
      <c r="A38" s="224" t="s">
        <v>68</v>
      </c>
      <c r="B38" s="225"/>
      <c r="C38" s="64" t="s">
        <v>64</v>
      </c>
      <c r="D38" s="279">
        <v>0.83250000000000002</v>
      </c>
      <c r="E38" s="280"/>
      <c r="F38" s="62"/>
      <c r="G38" s="62"/>
      <c r="H38" s="256" t="s">
        <v>69</v>
      </c>
      <c r="I38" s="257"/>
      <c r="J38" s="256" t="s">
        <v>70</v>
      </c>
      <c r="K38" s="257"/>
      <c r="L38" s="99"/>
    </row>
    <row r="39" spans="1:19" s="2" customFormat="1" ht="22.5" customHeight="1" thickBot="1">
      <c r="A39" s="224" t="s">
        <v>71</v>
      </c>
      <c r="B39" s="225"/>
      <c r="C39" s="65" t="s">
        <v>39</v>
      </c>
      <c r="D39" s="226">
        <f>(D38-D37)*2.54</f>
        <v>-2.7940000000000024E-2</v>
      </c>
      <c r="E39" s="227"/>
      <c r="F39" s="31"/>
      <c r="G39" s="31"/>
      <c r="H39" s="163" t="s">
        <v>72</v>
      </c>
      <c r="I39" s="164">
        <v>4554</v>
      </c>
      <c r="J39" s="275">
        <v>4</v>
      </c>
      <c r="K39" s="229"/>
      <c r="L39" s="99"/>
    </row>
    <row r="40" spans="1:19" s="2" customFormat="1" ht="22.5" customHeight="1" thickBot="1">
      <c r="A40" s="230" t="s">
        <v>73</v>
      </c>
      <c r="B40" s="231"/>
      <c r="C40" s="67" t="s">
        <v>60</v>
      </c>
      <c r="D40" s="232">
        <f>IF(D39&lt;&gt;"",IF(D22&lt;&gt;"",D39/D22*100,""),"")</f>
        <v>-0.17683544303797483</v>
      </c>
      <c r="E40" s="233"/>
      <c r="F40" s="68"/>
      <c r="G40" s="68"/>
      <c r="H40" s="165" t="s">
        <v>33</v>
      </c>
      <c r="I40" s="166">
        <v>4554</v>
      </c>
      <c r="J40" s="276">
        <v>4</v>
      </c>
      <c r="K40" s="235"/>
      <c r="L40" s="99"/>
      <c r="P40" s="105"/>
      <c r="Q40" s="105"/>
      <c r="R40" s="134"/>
    </row>
    <row r="41" spans="1:19" s="2" customFormat="1" ht="33" customHeight="1" thickBot="1">
      <c r="A41" s="70"/>
      <c r="B41" s="58"/>
      <c r="C41" s="58"/>
      <c r="D41" s="58"/>
      <c r="E41" s="58"/>
      <c r="F41" s="71"/>
      <c r="G41" s="58"/>
      <c r="H41" s="70"/>
      <c r="I41" s="58"/>
      <c r="J41" s="107" t="str">
        <f>I19</f>
        <v>ANTES DE INMERSIÓN</v>
      </c>
      <c r="K41" s="107" t="str">
        <f>K19</f>
        <v xml:space="preserve">DESPUÉS DE INMERSIÓN </v>
      </c>
      <c r="L41" s="108"/>
      <c r="M41" s="20"/>
      <c r="P41" s="109"/>
      <c r="Q41" s="135"/>
      <c r="R41" s="136"/>
    </row>
    <row r="42" spans="1:19" s="2" customFormat="1" ht="22.5" customHeight="1">
      <c r="A42" s="70"/>
      <c r="B42" s="58"/>
      <c r="C42" s="58"/>
      <c r="D42" s="58"/>
      <c r="E42" s="58"/>
      <c r="F42" s="58"/>
      <c r="G42" s="58"/>
      <c r="H42" s="21" t="s">
        <v>74</v>
      </c>
      <c r="I42" s="110" t="s">
        <v>60</v>
      </c>
      <c r="J42" s="111">
        <f>(J27/6.9)*100</f>
        <v>10.914573769016114</v>
      </c>
      <c r="K42" s="112">
        <f>(L27/6.9)*100</f>
        <v>1.3727608245566656</v>
      </c>
      <c r="L42" s="99"/>
      <c r="P42" s="113"/>
      <c r="Q42" s="137"/>
      <c r="R42" s="136"/>
    </row>
    <row r="43" spans="1:19" s="2" customFormat="1" ht="22.5" customHeight="1" thickBot="1">
      <c r="A43" s="70"/>
      <c r="B43" s="73"/>
      <c r="C43" s="58"/>
      <c r="D43" s="58"/>
      <c r="E43" s="58"/>
      <c r="F43" s="58"/>
      <c r="G43" s="58"/>
      <c r="H43" s="74" t="s">
        <v>75</v>
      </c>
      <c r="I43" s="114" t="s">
        <v>60</v>
      </c>
      <c r="J43" s="115">
        <f>(J31/10.3)*100</f>
        <v>10.140907354921705</v>
      </c>
      <c r="K43" s="116">
        <f>(L31/10.3)*100</f>
        <v>1.3568111921847676</v>
      </c>
      <c r="L43" s="99"/>
      <c r="P43" s="117"/>
      <c r="Q43" s="138"/>
      <c r="R43" s="139"/>
    </row>
    <row r="44" spans="1:19" s="2" customFormat="1" ht="22.5" customHeight="1" thickBot="1">
      <c r="A44" s="70"/>
      <c r="B44" s="73"/>
      <c r="C44" s="73"/>
      <c r="D44" s="73"/>
      <c r="E44" s="58"/>
      <c r="F44" s="58"/>
      <c r="G44" s="58"/>
      <c r="H44" s="74" t="s">
        <v>76</v>
      </c>
      <c r="I44" s="114"/>
      <c r="J44" s="118">
        <f>IF(J42&lt;J43,J42,J43)</f>
        <v>10.140907354921705</v>
      </c>
      <c r="K44" s="119">
        <f>IF(K42&lt;K43,K42,K43)</f>
        <v>1.3568111921847676</v>
      </c>
      <c r="L44" s="120"/>
      <c r="M44" s="121"/>
    </row>
    <row r="45" spans="1:19" s="2" customFormat="1" ht="22.5" customHeight="1">
      <c r="A45" s="70"/>
      <c r="B45" s="58"/>
      <c r="C45" s="58"/>
      <c r="D45" s="59"/>
      <c r="E45" s="59"/>
      <c r="F45" s="59"/>
      <c r="G45" s="58"/>
      <c r="H45" s="4"/>
      <c r="I45" s="122"/>
      <c r="J45" s="122"/>
      <c r="K45" s="122"/>
      <c r="L45" s="99"/>
    </row>
    <row r="46" spans="1:19" s="2" customFormat="1" ht="22.5" customHeight="1">
      <c r="A46" s="70"/>
      <c r="B46" s="58"/>
      <c r="C46" s="58"/>
      <c r="D46" s="59"/>
      <c r="E46" s="59"/>
      <c r="F46" s="59"/>
      <c r="G46" s="58"/>
      <c r="H46" s="222" t="s">
        <v>77</v>
      </c>
      <c r="I46" s="222"/>
      <c r="J46" s="222" t="s">
        <v>78</v>
      </c>
      <c r="K46" s="222"/>
      <c r="L46" s="223"/>
    </row>
    <row r="47" spans="1:19" s="2" customFormat="1" ht="22.5" customHeight="1">
      <c r="A47" s="70"/>
      <c r="B47" s="56"/>
      <c r="C47" s="75"/>
      <c r="D47" s="76"/>
      <c r="E47" s="59"/>
      <c r="F47" s="59"/>
      <c r="G47" s="59"/>
      <c r="H47" s="77"/>
      <c r="I47" s="123"/>
      <c r="J47" s="77"/>
      <c r="K47" s="123"/>
      <c r="L47" s="124"/>
    </row>
    <row r="48" spans="1:19" s="2" customFormat="1" ht="22.5" customHeight="1">
      <c r="A48" s="70"/>
      <c r="B48" s="56"/>
      <c r="C48" s="75"/>
      <c r="D48" s="76"/>
      <c r="E48" s="59"/>
      <c r="F48" s="59"/>
      <c r="G48" s="59"/>
      <c r="H48" s="77"/>
      <c r="I48" s="123"/>
      <c r="J48" s="77"/>
      <c r="K48" s="123"/>
      <c r="L48" s="124"/>
    </row>
    <row r="49" spans="1:15" s="2" customFormat="1" ht="22.5" customHeight="1">
      <c r="A49" s="70"/>
      <c r="B49" s="56"/>
      <c r="C49" s="75"/>
      <c r="D49" s="76"/>
      <c r="E49" s="59"/>
      <c r="F49" s="59"/>
      <c r="G49" s="59"/>
      <c r="H49" s="77"/>
      <c r="I49" s="123"/>
      <c r="J49" s="77"/>
      <c r="K49"/>
      <c r="L49" s="124"/>
    </row>
    <row r="50" spans="1:15" s="2" customFormat="1" ht="22.5" customHeight="1">
      <c r="A50" s="70"/>
      <c r="B50" s="56"/>
      <c r="C50" s="75"/>
      <c r="D50" s="76"/>
      <c r="E50" s="59"/>
      <c r="F50" s="59"/>
      <c r="G50" s="59"/>
      <c r="H50" s="78"/>
      <c r="I50" s="78"/>
      <c r="J50" s="77"/>
      <c r="K50" s="123"/>
      <c r="L50" s="124"/>
    </row>
    <row r="51" spans="1:15" s="2" customFormat="1" ht="22.5" customHeight="1">
      <c r="A51" s="70"/>
      <c r="B51" s="56"/>
      <c r="C51" s="75"/>
      <c r="D51" s="76"/>
      <c r="E51" s="59"/>
      <c r="F51" s="59"/>
      <c r="G51" s="59"/>
      <c r="H51" s="220" t="s">
        <v>79</v>
      </c>
      <c r="I51" s="220"/>
      <c r="J51" s="220" t="s">
        <v>87</v>
      </c>
      <c r="K51" s="220"/>
      <c r="L51" s="221"/>
    </row>
    <row r="52" spans="1:15" s="2" customFormat="1" ht="22.5" customHeight="1">
      <c r="A52" s="70"/>
      <c r="B52" s="56"/>
      <c r="C52" s="75"/>
      <c r="D52" s="76"/>
      <c r="E52" s="59"/>
      <c r="F52" s="59"/>
      <c r="G52" s="59"/>
      <c r="H52" s="222" t="s">
        <v>80</v>
      </c>
      <c r="I52" s="222"/>
      <c r="J52" s="222" t="s">
        <v>81</v>
      </c>
      <c r="K52" s="222"/>
      <c r="L52" s="223"/>
    </row>
    <row r="53" spans="1:15" s="2" customFormat="1" ht="22.5" customHeight="1">
      <c r="A53" s="70"/>
      <c r="B53" s="56"/>
      <c r="C53" s="75"/>
      <c r="D53" s="76"/>
      <c r="E53" s="59"/>
      <c r="F53" s="59"/>
      <c r="G53" s="59"/>
      <c r="H53" s="186"/>
      <c r="I53" s="186"/>
      <c r="J53" s="186"/>
      <c r="K53" s="186"/>
      <c r="L53" s="99"/>
    </row>
    <row r="54" spans="1:15" s="2" customFormat="1" ht="22.5" customHeight="1">
      <c r="A54" s="70"/>
      <c r="B54" s="56"/>
      <c r="C54" s="75"/>
      <c r="D54" s="76"/>
      <c r="E54" s="59"/>
      <c r="F54" s="59"/>
      <c r="G54" s="59"/>
      <c r="H54" s="58"/>
      <c r="I54" s="58"/>
      <c r="J54" s="125"/>
      <c r="K54" s="58"/>
      <c r="L54" s="99"/>
      <c r="M54" s="126"/>
      <c r="N54" s="3"/>
    </row>
    <row r="55" spans="1:15" s="2" customFormat="1" ht="22.5" customHeight="1">
      <c r="A55" s="70"/>
      <c r="B55" s="56"/>
      <c r="C55" s="75"/>
      <c r="D55" s="76"/>
      <c r="E55" s="59"/>
      <c r="F55" s="59"/>
      <c r="G55" s="59"/>
      <c r="H55" s="58"/>
      <c r="I55" s="58"/>
      <c r="J55" s="127"/>
      <c r="K55" s="125"/>
      <c r="L55" s="128"/>
      <c r="M55" s="129"/>
      <c r="N55" s="3"/>
    </row>
    <row r="56" spans="1:15" s="2" customFormat="1" ht="22.5" customHeight="1">
      <c r="A56" s="264" t="s">
        <v>82</v>
      </c>
      <c r="B56" s="265"/>
      <c r="C56" s="265"/>
      <c r="D56" s="265"/>
      <c r="E56" s="265"/>
      <c r="F56" s="265"/>
      <c r="G56" s="265"/>
      <c r="H56" s="265"/>
      <c r="I56" s="265"/>
      <c r="J56" s="265"/>
      <c r="K56" s="265"/>
      <c r="L56" s="266"/>
      <c r="M56" s="130"/>
      <c r="N56" s="3"/>
      <c r="O56" s="3"/>
    </row>
    <row r="57" spans="1:15" s="2" customFormat="1" ht="22.5" customHeight="1">
      <c r="A57" s="261" t="s">
        <v>83</v>
      </c>
      <c r="B57" s="262"/>
      <c r="C57" s="262"/>
      <c r="D57" s="262"/>
      <c r="E57" s="262"/>
      <c r="F57" s="262"/>
      <c r="G57" s="262"/>
      <c r="H57" s="262"/>
      <c r="I57" s="262"/>
      <c r="J57" s="262"/>
      <c r="K57" s="262"/>
      <c r="L57" s="263"/>
      <c r="M57" s="3"/>
      <c r="N57" s="3"/>
      <c r="O57" s="3"/>
    </row>
    <row r="58" spans="1:15" s="2" customFormat="1" ht="22.5" customHeight="1">
      <c r="A58" s="261"/>
      <c r="B58" s="262"/>
      <c r="C58" s="262"/>
      <c r="D58" s="262"/>
      <c r="E58" s="262"/>
      <c r="F58" s="262"/>
      <c r="G58" s="262"/>
      <c r="H58" s="262"/>
      <c r="I58" s="262"/>
      <c r="J58" s="262"/>
      <c r="K58" s="262"/>
      <c r="L58" s="263"/>
      <c r="M58" s="3"/>
      <c r="N58" s="3"/>
      <c r="O58" s="3"/>
    </row>
    <row r="59" spans="1:15" ht="15" thickBot="1">
      <c r="A59" s="267" t="s">
        <v>84</v>
      </c>
      <c r="B59" s="268"/>
      <c r="C59" s="268"/>
      <c r="D59" s="268"/>
      <c r="E59" s="268"/>
      <c r="F59" s="268"/>
      <c r="G59" s="268"/>
      <c r="H59" s="268"/>
      <c r="I59" s="268"/>
      <c r="J59" s="268"/>
      <c r="K59" s="268"/>
      <c r="L59" s="269"/>
    </row>
    <row r="63" spans="1:15">
      <c r="I63" s="79"/>
      <c r="J63" s="79"/>
      <c r="K63" s="79"/>
      <c r="L63" s="79"/>
      <c r="M63" s="79"/>
      <c r="N63" s="79"/>
    </row>
    <row r="64" spans="1:15" ht="15" customHeight="1">
      <c r="E64" s="79"/>
      <c r="F64" s="79"/>
      <c r="G64" s="79"/>
      <c r="H64" s="79"/>
      <c r="I64" s="131"/>
      <c r="J64" s="131"/>
      <c r="K64" s="131"/>
      <c r="L64" s="131"/>
      <c r="M64" s="131"/>
      <c r="N64" s="131"/>
    </row>
    <row r="65" spans="2:18" ht="15" customHeight="1">
      <c r="E65" s="131"/>
      <c r="F65" s="131"/>
      <c r="G65" s="131"/>
      <c r="H65" s="131"/>
      <c r="I65" s="131"/>
      <c r="J65" s="131"/>
      <c r="K65" s="131"/>
      <c r="L65" s="131"/>
      <c r="M65" s="131"/>
      <c r="N65" s="131"/>
    </row>
    <row r="66" spans="2:18" ht="15" customHeight="1">
      <c r="E66" s="131"/>
      <c r="F66" s="131"/>
      <c r="G66" s="131"/>
      <c r="H66" s="131"/>
      <c r="I66" s="131"/>
      <c r="J66" s="131"/>
      <c r="K66" s="131"/>
      <c r="L66" s="131"/>
      <c r="M66" s="131"/>
      <c r="N66" s="131"/>
    </row>
    <row r="67" spans="2:18" ht="30.75" customHeight="1">
      <c r="E67" s="131"/>
      <c r="F67" s="131"/>
      <c r="G67" s="131"/>
      <c r="H67" s="131"/>
      <c r="I67" s="140"/>
      <c r="J67" s="140"/>
      <c r="K67" s="140"/>
      <c r="L67" s="140"/>
      <c r="M67" s="140"/>
      <c r="N67" s="140"/>
    </row>
    <row r="68" spans="2:18" ht="15" customHeight="1">
      <c r="E68" s="140"/>
      <c r="F68" s="140"/>
      <c r="G68" s="140"/>
      <c r="H68" s="140"/>
      <c r="I68" s="140"/>
      <c r="J68" s="140"/>
      <c r="K68" s="140"/>
      <c r="L68" s="140"/>
      <c r="M68" s="140"/>
      <c r="N68" s="140"/>
    </row>
    <row r="69" spans="2:18" ht="15" customHeight="1">
      <c r="E69" s="140"/>
      <c r="F69" s="140"/>
      <c r="G69" s="140"/>
      <c r="H69" s="140"/>
    </row>
    <row r="70" spans="2:18" ht="31.5" customHeight="1">
      <c r="E70" s="270"/>
      <c r="F70" s="270"/>
      <c r="G70" s="270"/>
      <c r="H70" s="270"/>
      <c r="I70" s="270"/>
      <c r="J70" s="270"/>
      <c r="K70" s="270"/>
      <c r="L70" s="270"/>
      <c r="M70" s="270"/>
      <c r="N70" s="270"/>
      <c r="O70" s="270"/>
      <c r="P70" s="270"/>
    </row>
    <row r="71" spans="2:18" ht="24" customHeight="1">
      <c r="B71" s="141"/>
      <c r="C71" s="142"/>
      <c r="D71" s="142"/>
      <c r="E71" s="142"/>
      <c r="F71" s="142"/>
      <c r="G71" s="142"/>
      <c r="H71" s="142"/>
      <c r="I71" s="142"/>
      <c r="J71" s="142"/>
      <c r="K71" s="142"/>
      <c r="L71" s="142"/>
      <c r="M71" s="142"/>
      <c r="N71" s="142"/>
      <c r="O71" s="142"/>
      <c r="P71" s="142"/>
      <c r="Q71" s="142"/>
      <c r="R71" s="142"/>
    </row>
    <row r="72" spans="2:18" ht="15" customHeight="1">
      <c r="B72" s="142"/>
      <c r="C72" s="142"/>
      <c r="D72" s="260"/>
      <c r="E72" s="260"/>
      <c r="F72" s="260"/>
      <c r="G72" s="260"/>
      <c r="H72" s="260"/>
      <c r="I72" s="260"/>
      <c r="J72" s="260"/>
      <c r="K72" s="260"/>
      <c r="L72" s="260"/>
      <c r="M72" s="260"/>
      <c r="N72" s="260"/>
      <c r="O72" s="260"/>
      <c r="P72" s="142"/>
      <c r="Q72" s="142"/>
      <c r="R72" s="142"/>
    </row>
    <row r="73" spans="2:18">
      <c r="D73" s="260"/>
      <c r="E73" s="260"/>
      <c r="F73" s="260"/>
      <c r="G73" s="260"/>
      <c r="H73" s="260"/>
      <c r="I73" s="260"/>
      <c r="J73" s="260"/>
      <c r="K73" s="260"/>
      <c r="L73" s="260"/>
      <c r="M73" s="260"/>
      <c r="N73" s="260"/>
      <c r="O73" s="260"/>
    </row>
  </sheetData>
  <sheetProtection formatCells="0" formatColumns="0" insertColumns="0" insertRows="0" deleteColumns="0" deleteRows="0"/>
  <mergeCells count="74">
    <mergeCell ref="D72:O73"/>
    <mergeCell ref="H46:I46"/>
    <mergeCell ref="J46:L46"/>
    <mergeCell ref="H51:I51"/>
    <mergeCell ref="J51:L51"/>
    <mergeCell ref="H52:I52"/>
    <mergeCell ref="J52:L52"/>
    <mergeCell ref="H53:K53"/>
    <mergeCell ref="A56:L56"/>
    <mergeCell ref="A57:L58"/>
    <mergeCell ref="A59:L59"/>
    <mergeCell ref="E70:P70"/>
    <mergeCell ref="A39:B39"/>
    <mergeCell ref="D39:E39"/>
    <mergeCell ref="J39:K39"/>
    <mergeCell ref="A40:B40"/>
    <mergeCell ref="D40:E40"/>
    <mergeCell ref="J40:K40"/>
    <mergeCell ref="A38:B38"/>
    <mergeCell ref="D38:E38"/>
    <mergeCell ref="H38:I38"/>
    <mergeCell ref="J38:K38"/>
    <mergeCell ref="A28:B28"/>
    <mergeCell ref="A29:E29"/>
    <mergeCell ref="A30:B30"/>
    <mergeCell ref="A31:B31"/>
    <mergeCell ref="A32:B32"/>
    <mergeCell ref="A33:B33"/>
    <mergeCell ref="A34:B34"/>
    <mergeCell ref="A36:E36"/>
    <mergeCell ref="H36:K36"/>
    <mergeCell ref="A37:B37"/>
    <mergeCell ref="D37:E37"/>
    <mergeCell ref="A27:B27"/>
    <mergeCell ref="A19:C19"/>
    <mergeCell ref="G19:H20"/>
    <mergeCell ref="I19:J19"/>
    <mergeCell ref="K19:L19"/>
    <mergeCell ref="A20:B20"/>
    <mergeCell ref="A21:B21"/>
    <mergeCell ref="A22:B22"/>
    <mergeCell ref="A23:B23"/>
    <mergeCell ref="A24:B24"/>
    <mergeCell ref="A25:B25"/>
    <mergeCell ref="A26:B26"/>
    <mergeCell ref="A18:E18"/>
    <mergeCell ref="G18:L18"/>
    <mergeCell ref="C8:G8"/>
    <mergeCell ref="H8:I8"/>
    <mergeCell ref="J8:L8"/>
    <mergeCell ref="C9:G9"/>
    <mergeCell ref="H9:I9"/>
    <mergeCell ref="C10:G10"/>
    <mergeCell ref="H10:I10"/>
    <mergeCell ref="J10:L10"/>
    <mergeCell ref="B11:K11"/>
    <mergeCell ref="F12:G12"/>
    <mergeCell ref="H12:I12"/>
    <mergeCell ref="C13:L13"/>
    <mergeCell ref="A16:L16"/>
    <mergeCell ref="B5:K5"/>
    <mergeCell ref="C6:G6"/>
    <mergeCell ref="H6:I6"/>
    <mergeCell ref="J6:L6"/>
    <mergeCell ref="C7:G7"/>
    <mergeCell ref="H7:I7"/>
    <mergeCell ref="J7:L7"/>
    <mergeCell ref="A1:B4"/>
    <mergeCell ref="C1:J1"/>
    <mergeCell ref="K1:L1"/>
    <mergeCell ref="C2:J4"/>
    <mergeCell ref="K2:L2"/>
    <mergeCell ref="K3:L3"/>
    <mergeCell ref="K4:L4"/>
  </mergeCells>
  <conditionalFormatting sqref="C6:G10">
    <cfRule type="containsBlanks" dxfId="79" priority="10">
      <formula>LEN(TRIM(C6))=0</formula>
    </cfRule>
  </conditionalFormatting>
  <conditionalFormatting sqref="C13:L13">
    <cfRule type="containsBlanks" dxfId="78" priority="9">
      <formula>LEN(TRIM(C13))=0</formula>
    </cfRule>
  </conditionalFormatting>
  <conditionalFormatting sqref="D20:D24">
    <cfRule type="containsBlanks" dxfId="77" priority="4">
      <formula>LEN(TRIM(D20))=0</formula>
    </cfRule>
  </conditionalFormatting>
  <conditionalFormatting sqref="D37:D38">
    <cfRule type="containsBlanks" dxfId="76" priority="3">
      <formula>LEN(TRIM(D37))=0</formula>
    </cfRule>
  </conditionalFormatting>
  <conditionalFormatting sqref="D30:E33">
    <cfRule type="containsBlanks" dxfId="75" priority="1">
      <formula>LEN(TRIM(D30))=0</formula>
    </cfRule>
  </conditionalFormatting>
  <conditionalFormatting sqref="E23">
    <cfRule type="containsBlanks" dxfId="74" priority="5">
      <formula>LEN(TRIM(E23))=0</formula>
    </cfRule>
  </conditionalFormatting>
  <conditionalFormatting sqref="F12:G12">
    <cfRule type="containsBlanks" dxfId="73" priority="8">
      <formula>LEN(TRIM(F12))=0</formula>
    </cfRule>
  </conditionalFormatting>
  <conditionalFormatting sqref="I22:I34">
    <cfRule type="containsBlanks" dxfId="72" priority="7">
      <formula>LEN(TRIM(I22))=0</formula>
    </cfRule>
  </conditionalFormatting>
  <conditionalFormatting sqref="I37">
    <cfRule type="containsBlanks" dxfId="71" priority="2">
      <formula>LEN(TRIM(I37))=0</formula>
    </cfRule>
  </conditionalFormatting>
  <conditionalFormatting sqref="K22:K34">
    <cfRule type="containsBlanks" dxfId="70" priority="6">
      <formula>LEN(TRIM(K22))=0</formula>
    </cfRule>
  </conditionalFormatting>
  <dataValidations count="2">
    <dataValidation type="list" allowBlank="1" showInputMessage="1" showErrorMessage="1" sqref="I37" xr:uid="{CFEC31FF-FCEC-4EA1-ADD6-FF5250BD79FB}">
      <formula1>"5 kN, 50 kN"</formula1>
    </dataValidation>
    <dataValidation type="list" allowBlank="1" showInputMessage="1" showErrorMessage="1" sqref="C12" xr:uid="{F3A290C3-3BAC-42EC-B6EF-4F7D830F426C}">
      <formula1>$T$6:$T$13</formula1>
    </dataValidation>
  </dataValidations>
  <printOptions horizontalCentered="1" verticalCentered="1"/>
  <pageMargins left="0.31496062992126" right="0.31496062992126" top="0.15748031496063" bottom="0.55118110236220497" header="0" footer="0.118110236220472"/>
  <pageSetup scale="42" fitToWidth="0" fitToHeight="0" orientation="landscape" r:id="rId1"/>
  <headerFooter>
    <oddFooter>&amp;C&amp;"Arial,Normal"&amp;10GEODELTA S.A.S. Calle 68 B bis No 70 C 95, Móvil: 318 7902368 Bogotá DC - Colombia
e-mail: laboratoriogeodelta@gmail.com</oddFooter>
  </headerFooter>
  <drawing r:id="rId2"/>
  <legacyDrawing r:id="rId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3438F-FF9D-4E53-9E93-17A880ABAFA8}">
  <sheetPr>
    <tabColor theme="7" tint="0.79998168889431442"/>
  </sheetPr>
  <dimension ref="A1:AB73"/>
  <sheetViews>
    <sheetView showGridLines="0" view="pageBreakPreview" zoomScale="96" zoomScaleNormal="50" zoomScaleSheetLayoutView="96" zoomScalePageLayoutView="50" workbookViewId="0">
      <selection activeCell="J15" sqref="J15"/>
    </sheetView>
  </sheetViews>
  <sheetFormatPr baseColWidth="10" defaultColWidth="11" defaultRowHeight="14.25"/>
  <cols>
    <col min="1" max="1" width="10.5703125" style="3" customWidth="1"/>
    <col min="2" max="2" width="35.42578125" style="3" customWidth="1"/>
    <col min="3" max="3" width="20.85546875" style="3" customWidth="1"/>
    <col min="4" max="5" width="26.7109375" style="3" customWidth="1"/>
    <col min="6" max="6" width="3.7109375" style="3" customWidth="1"/>
    <col min="7" max="7" width="29.140625" style="3" customWidth="1"/>
    <col min="8" max="8" width="27.140625" style="3" customWidth="1"/>
    <col min="9" max="10" width="24.28515625" style="3" customWidth="1"/>
    <col min="11" max="12" width="22.42578125" style="3" customWidth="1"/>
    <col min="13" max="13" width="1.85546875" style="3" customWidth="1"/>
    <col min="14" max="16" width="12.85546875" style="3" customWidth="1"/>
    <col min="17" max="17" width="6.5703125" style="3" customWidth="1"/>
    <col min="18" max="18" width="6.28515625" style="3" customWidth="1"/>
    <col min="19" max="184" width="11" style="3"/>
    <col min="185" max="185" width="0.7109375" style="3" customWidth="1"/>
    <col min="186" max="186" width="6.5703125" style="3" customWidth="1"/>
    <col min="187" max="187" width="13.5703125" style="3" customWidth="1"/>
    <col min="188" max="188" width="13.42578125" style="3" customWidth="1"/>
    <col min="189" max="190" width="12.5703125" style="3" customWidth="1"/>
    <col min="191" max="191" width="14.85546875" style="3" customWidth="1"/>
    <col min="192" max="192" width="20.7109375" style="3" customWidth="1"/>
    <col min="193" max="193" width="12.5703125" style="3" customWidth="1"/>
    <col min="194" max="194" width="13" style="3" customWidth="1"/>
    <col min="195" max="195" width="16" style="3" customWidth="1"/>
    <col min="196" max="196" width="6.42578125" style="3" customWidth="1"/>
    <col min="197" max="197" width="16" style="3" customWidth="1"/>
    <col min="198" max="198" width="2.85546875" style="3" customWidth="1"/>
    <col min="199" max="199" width="0.85546875" style="3" customWidth="1"/>
    <col min="200" max="200" width="11" style="3"/>
    <col min="201" max="201" width="15.42578125" style="3" customWidth="1"/>
    <col min="202" max="204" width="14.85546875" style="3" customWidth="1"/>
    <col min="205" max="205" width="0.7109375" style="3" customWidth="1"/>
    <col min="206" max="206" width="11" style="3"/>
    <col min="207" max="207" width="15.7109375" style="3" customWidth="1"/>
    <col min="208" max="209" width="14.85546875" style="3" customWidth="1"/>
    <col min="210" max="210" width="3.28515625" style="3" customWidth="1"/>
    <col min="211" max="211" width="20.140625" style="3" customWidth="1"/>
    <col min="212" max="212" width="3.28515625" style="3" customWidth="1"/>
    <col min="213" max="217" width="11" style="3"/>
    <col min="218" max="230" width="4.7109375" style="3" customWidth="1"/>
    <col min="231" max="440" width="11" style="3"/>
    <col min="441" max="441" width="0.7109375" style="3" customWidth="1"/>
    <col min="442" max="442" width="6.5703125" style="3" customWidth="1"/>
    <col min="443" max="443" width="13.5703125" style="3" customWidth="1"/>
    <col min="444" max="444" width="13.42578125" style="3" customWidth="1"/>
    <col min="445" max="446" width="12.5703125" style="3" customWidth="1"/>
    <col min="447" max="447" width="14.85546875" style="3" customWidth="1"/>
    <col min="448" max="448" width="20.7109375" style="3" customWidth="1"/>
    <col min="449" max="449" width="12.5703125" style="3" customWidth="1"/>
    <col min="450" max="450" width="13" style="3" customWidth="1"/>
    <col min="451" max="451" width="16" style="3" customWidth="1"/>
    <col min="452" max="452" width="6.42578125" style="3" customWidth="1"/>
    <col min="453" max="453" width="16" style="3" customWidth="1"/>
    <col min="454" max="454" width="2.85546875" style="3" customWidth="1"/>
    <col min="455" max="455" width="0.85546875" style="3" customWidth="1"/>
    <col min="456" max="456" width="11" style="3"/>
    <col min="457" max="457" width="15.42578125" style="3" customWidth="1"/>
    <col min="458" max="460" width="14.85546875" style="3" customWidth="1"/>
    <col min="461" max="461" width="0.7109375" style="3" customWidth="1"/>
    <col min="462" max="462" width="11" style="3"/>
    <col min="463" max="463" width="15.7109375" style="3" customWidth="1"/>
    <col min="464" max="465" width="14.85546875" style="3" customWidth="1"/>
    <col min="466" max="466" width="3.28515625" style="3" customWidth="1"/>
    <col min="467" max="467" width="20.140625" style="3" customWidth="1"/>
    <col min="468" max="468" width="3.28515625" style="3" customWidth="1"/>
    <col min="469" max="473" width="11" style="3"/>
    <col min="474" max="486" width="4.7109375" style="3" customWidth="1"/>
    <col min="487" max="696" width="11" style="3"/>
    <col min="697" max="697" width="0.7109375" style="3" customWidth="1"/>
    <col min="698" max="698" width="6.5703125" style="3" customWidth="1"/>
    <col min="699" max="699" width="13.5703125" style="3" customWidth="1"/>
    <col min="700" max="700" width="13.42578125" style="3" customWidth="1"/>
    <col min="701" max="702" width="12.5703125" style="3" customWidth="1"/>
    <col min="703" max="703" width="14.85546875" style="3" customWidth="1"/>
    <col min="704" max="704" width="20.7109375" style="3" customWidth="1"/>
    <col min="705" max="705" width="12.5703125" style="3" customWidth="1"/>
    <col min="706" max="706" width="13" style="3" customWidth="1"/>
    <col min="707" max="707" width="16" style="3" customWidth="1"/>
    <col min="708" max="708" width="6.42578125" style="3" customWidth="1"/>
    <col min="709" max="709" width="16" style="3" customWidth="1"/>
    <col min="710" max="710" width="2.85546875" style="3" customWidth="1"/>
    <col min="711" max="711" width="0.85546875" style="3" customWidth="1"/>
    <col min="712" max="712" width="11" style="3"/>
    <col min="713" max="713" width="15.42578125" style="3" customWidth="1"/>
    <col min="714" max="716" width="14.85546875" style="3" customWidth="1"/>
    <col min="717" max="717" width="0.7109375" style="3" customWidth="1"/>
    <col min="718" max="718" width="11" style="3"/>
    <col min="719" max="719" width="15.7109375" style="3" customWidth="1"/>
    <col min="720" max="721" width="14.85546875" style="3" customWidth="1"/>
    <col min="722" max="722" width="3.28515625" style="3" customWidth="1"/>
    <col min="723" max="723" width="20.140625" style="3" customWidth="1"/>
    <col min="724" max="724" width="3.28515625" style="3" customWidth="1"/>
    <col min="725" max="729" width="11" style="3"/>
    <col min="730" max="742" width="4.7109375" style="3" customWidth="1"/>
    <col min="743" max="952" width="11" style="3"/>
    <col min="953" max="953" width="0.7109375" style="3" customWidth="1"/>
    <col min="954" max="954" width="6.5703125" style="3" customWidth="1"/>
    <col min="955" max="955" width="13.5703125" style="3" customWidth="1"/>
    <col min="956" max="956" width="13.42578125" style="3" customWidth="1"/>
    <col min="957" max="958" width="12.5703125" style="3" customWidth="1"/>
    <col min="959" max="959" width="14.85546875" style="3" customWidth="1"/>
    <col min="960" max="960" width="20.7109375" style="3" customWidth="1"/>
    <col min="961" max="961" width="12.5703125" style="3" customWidth="1"/>
    <col min="962" max="962" width="13" style="3" customWidth="1"/>
    <col min="963" max="963" width="16" style="3" customWidth="1"/>
    <col min="964" max="964" width="6.42578125" style="3" customWidth="1"/>
    <col min="965" max="965" width="16" style="3" customWidth="1"/>
    <col min="966" max="966" width="2.85546875" style="3" customWidth="1"/>
    <col min="967" max="967" width="0.85546875" style="3" customWidth="1"/>
    <col min="968" max="968" width="11" style="3"/>
    <col min="969" max="969" width="15.42578125" style="3" customWidth="1"/>
    <col min="970" max="972" width="14.85546875" style="3" customWidth="1"/>
    <col min="973" max="973" width="0.7109375" style="3" customWidth="1"/>
    <col min="974" max="974" width="11" style="3"/>
    <col min="975" max="975" width="15.7109375" style="3" customWidth="1"/>
    <col min="976" max="977" width="14.85546875" style="3" customWidth="1"/>
    <col min="978" max="978" width="3.28515625" style="3" customWidth="1"/>
    <col min="979" max="979" width="20.140625" style="3" customWidth="1"/>
    <col min="980" max="980" width="3.28515625" style="3" customWidth="1"/>
    <col min="981" max="985" width="11" style="3"/>
    <col min="986" max="998" width="4.7109375" style="3" customWidth="1"/>
    <col min="999" max="1208" width="11" style="3"/>
    <col min="1209" max="1209" width="0.7109375" style="3" customWidth="1"/>
    <col min="1210" max="1210" width="6.5703125" style="3" customWidth="1"/>
    <col min="1211" max="1211" width="13.5703125" style="3" customWidth="1"/>
    <col min="1212" max="1212" width="13.42578125" style="3" customWidth="1"/>
    <col min="1213" max="1214" width="12.5703125" style="3" customWidth="1"/>
    <col min="1215" max="1215" width="14.85546875" style="3" customWidth="1"/>
    <col min="1216" max="1216" width="20.7109375" style="3" customWidth="1"/>
    <col min="1217" max="1217" width="12.5703125" style="3" customWidth="1"/>
    <col min="1218" max="1218" width="13" style="3" customWidth="1"/>
    <col min="1219" max="1219" width="16" style="3" customWidth="1"/>
    <col min="1220" max="1220" width="6.42578125" style="3" customWidth="1"/>
    <col min="1221" max="1221" width="16" style="3" customWidth="1"/>
    <col min="1222" max="1222" width="2.85546875" style="3" customWidth="1"/>
    <col min="1223" max="1223" width="0.85546875" style="3" customWidth="1"/>
    <col min="1224" max="1224" width="11" style="3"/>
    <col min="1225" max="1225" width="15.42578125" style="3" customWidth="1"/>
    <col min="1226" max="1228" width="14.85546875" style="3" customWidth="1"/>
    <col min="1229" max="1229" width="0.7109375" style="3" customWidth="1"/>
    <col min="1230" max="1230" width="11" style="3"/>
    <col min="1231" max="1231" width="15.7109375" style="3" customWidth="1"/>
    <col min="1232" max="1233" width="14.85546875" style="3" customWidth="1"/>
    <col min="1234" max="1234" width="3.28515625" style="3" customWidth="1"/>
    <col min="1235" max="1235" width="20.140625" style="3" customWidth="1"/>
    <col min="1236" max="1236" width="3.28515625" style="3" customWidth="1"/>
    <col min="1237" max="1241" width="11" style="3"/>
    <col min="1242" max="1254" width="4.7109375" style="3" customWidth="1"/>
    <col min="1255" max="1464" width="11" style="3"/>
    <col min="1465" max="1465" width="0.7109375" style="3" customWidth="1"/>
    <col min="1466" max="1466" width="6.5703125" style="3" customWidth="1"/>
    <col min="1467" max="1467" width="13.5703125" style="3" customWidth="1"/>
    <col min="1468" max="1468" width="13.42578125" style="3" customWidth="1"/>
    <col min="1469" max="1470" width="12.5703125" style="3" customWidth="1"/>
    <col min="1471" max="1471" width="14.85546875" style="3" customWidth="1"/>
    <col min="1472" max="1472" width="20.7109375" style="3" customWidth="1"/>
    <col min="1473" max="1473" width="12.5703125" style="3" customWidth="1"/>
    <col min="1474" max="1474" width="13" style="3" customWidth="1"/>
    <col min="1475" max="1475" width="16" style="3" customWidth="1"/>
    <col min="1476" max="1476" width="6.42578125" style="3" customWidth="1"/>
    <col min="1477" max="1477" width="16" style="3" customWidth="1"/>
    <col min="1478" max="1478" width="2.85546875" style="3" customWidth="1"/>
    <col min="1479" max="1479" width="0.85546875" style="3" customWidth="1"/>
    <col min="1480" max="1480" width="11" style="3"/>
    <col min="1481" max="1481" width="15.42578125" style="3" customWidth="1"/>
    <col min="1482" max="1484" width="14.85546875" style="3" customWidth="1"/>
    <col min="1485" max="1485" width="0.7109375" style="3" customWidth="1"/>
    <col min="1486" max="1486" width="11" style="3"/>
    <col min="1487" max="1487" width="15.7109375" style="3" customWidth="1"/>
    <col min="1488" max="1489" width="14.85546875" style="3" customWidth="1"/>
    <col min="1490" max="1490" width="3.28515625" style="3" customWidth="1"/>
    <col min="1491" max="1491" width="20.140625" style="3" customWidth="1"/>
    <col min="1492" max="1492" width="3.28515625" style="3" customWidth="1"/>
    <col min="1493" max="1497" width="11" style="3"/>
    <col min="1498" max="1510" width="4.7109375" style="3" customWidth="1"/>
    <col min="1511" max="1720" width="11" style="3"/>
    <col min="1721" max="1721" width="0.7109375" style="3" customWidth="1"/>
    <col min="1722" max="1722" width="6.5703125" style="3" customWidth="1"/>
    <col min="1723" max="1723" width="13.5703125" style="3" customWidth="1"/>
    <col min="1724" max="1724" width="13.42578125" style="3" customWidth="1"/>
    <col min="1725" max="1726" width="12.5703125" style="3" customWidth="1"/>
    <col min="1727" max="1727" width="14.85546875" style="3" customWidth="1"/>
    <col min="1728" max="1728" width="20.7109375" style="3" customWidth="1"/>
    <col min="1729" max="1729" width="12.5703125" style="3" customWidth="1"/>
    <col min="1730" max="1730" width="13" style="3" customWidth="1"/>
    <col min="1731" max="1731" width="16" style="3" customWidth="1"/>
    <col min="1732" max="1732" width="6.42578125" style="3" customWidth="1"/>
    <col min="1733" max="1733" width="16" style="3" customWidth="1"/>
    <col min="1734" max="1734" width="2.85546875" style="3" customWidth="1"/>
    <col min="1735" max="1735" width="0.85546875" style="3" customWidth="1"/>
    <col min="1736" max="1736" width="11" style="3"/>
    <col min="1737" max="1737" width="15.42578125" style="3" customWidth="1"/>
    <col min="1738" max="1740" width="14.85546875" style="3" customWidth="1"/>
    <col min="1741" max="1741" width="0.7109375" style="3" customWidth="1"/>
    <col min="1742" max="1742" width="11" style="3"/>
    <col min="1743" max="1743" width="15.7109375" style="3" customWidth="1"/>
    <col min="1744" max="1745" width="14.85546875" style="3" customWidth="1"/>
    <col min="1746" max="1746" width="3.28515625" style="3" customWidth="1"/>
    <col min="1747" max="1747" width="20.140625" style="3" customWidth="1"/>
    <col min="1748" max="1748" width="3.28515625" style="3" customWidth="1"/>
    <col min="1749" max="1753" width="11" style="3"/>
    <col min="1754" max="1766" width="4.7109375" style="3" customWidth="1"/>
    <col min="1767" max="1976" width="11" style="3"/>
    <col min="1977" max="1977" width="0.7109375" style="3" customWidth="1"/>
    <col min="1978" max="1978" width="6.5703125" style="3" customWidth="1"/>
    <col min="1979" max="1979" width="13.5703125" style="3" customWidth="1"/>
    <col min="1980" max="1980" width="13.42578125" style="3" customWidth="1"/>
    <col min="1981" max="1982" width="12.5703125" style="3" customWidth="1"/>
    <col min="1983" max="1983" width="14.85546875" style="3" customWidth="1"/>
    <col min="1984" max="1984" width="20.7109375" style="3" customWidth="1"/>
    <col min="1985" max="1985" width="12.5703125" style="3" customWidth="1"/>
    <col min="1986" max="1986" width="13" style="3" customWidth="1"/>
    <col min="1987" max="1987" width="16" style="3" customWidth="1"/>
    <col min="1988" max="1988" width="6.42578125" style="3" customWidth="1"/>
    <col min="1989" max="1989" width="16" style="3" customWidth="1"/>
    <col min="1990" max="1990" width="2.85546875" style="3" customWidth="1"/>
    <col min="1991" max="1991" width="0.85546875" style="3" customWidth="1"/>
    <col min="1992" max="1992" width="11" style="3"/>
    <col min="1993" max="1993" width="15.42578125" style="3" customWidth="1"/>
    <col min="1994" max="1996" width="14.85546875" style="3" customWidth="1"/>
    <col min="1997" max="1997" width="0.7109375" style="3" customWidth="1"/>
    <col min="1998" max="1998" width="11" style="3"/>
    <col min="1999" max="1999" width="15.7109375" style="3" customWidth="1"/>
    <col min="2000" max="2001" width="14.85546875" style="3" customWidth="1"/>
    <col min="2002" max="2002" width="3.28515625" style="3" customWidth="1"/>
    <col min="2003" max="2003" width="20.140625" style="3" customWidth="1"/>
    <col min="2004" max="2004" width="3.28515625" style="3" customWidth="1"/>
    <col min="2005" max="2009" width="11" style="3"/>
    <col min="2010" max="2022" width="4.7109375" style="3" customWidth="1"/>
    <col min="2023" max="2232" width="11" style="3"/>
    <col min="2233" max="2233" width="0.7109375" style="3" customWidth="1"/>
    <col min="2234" max="2234" width="6.5703125" style="3" customWidth="1"/>
    <col min="2235" max="2235" width="13.5703125" style="3" customWidth="1"/>
    <col min="2236" max="2236" width="13.42578125" style="3" customWidth="1"/>
    <col min="2237" max="2238" width="12.5703125" style="3" customWidth="1"/>
    <col min="2239" max="2239" width="14.85546875" style="3" customWidth="1"/>
    <col min="2240" max="2240" width="20.7109375" style="3" customWidth="1"/>
    <col min="2241" max="2241" width="12.5703125" style="3" customWidth="1"/>
    <col min="2242" max="2242" width="13" style="3" customWidth="1"/>
    <col min="2243" max="2243" width="16" style="3" customWidth="1"/>
    <col min="2244" max="2244" width="6.42578125" style="3" customWidth="1"/>
    <col min="2245" max="2245" width="16" style="3" customWidth="1"/>
    <col min="2246" max="2246" width="2.85546875" style="3" customWidth="1"/>
    <col min="2247" max="2247" width="0.85546875" style="3" customWidth="1"/>
    <col min="2248" max="2248" width="11" style="3"/>
    <col min="2249" max="2249" width="15.42578125" style="3" customWidth="1"/>
    <col min="2250" max="2252" width="14.85546875" style="3" customWidth="1"/>
    <col min="2253" max="2253" width="0.7109375" style="3" customWidth="1"/>
    <col min="2254" max="2254" width="11" style="3"/>
    <col min="2255" max="2255" width="15.7109375" style="3" customWidth="1"/>
    <col min="2256" max="2257" width="14.85546875" style="3" customWidth="1"/>
    <col min="2258" max="2258" width="3.28515625" style="3" customWidth="1"/>
    <col min="2259" max="2259" width="20.140625" style="3" customWidth="1"/>
    <col min="2260" max="2260" width="3.28515625" style="3" customWidth="1"/>
    <col min="2261" max="2265" width="11" style="3"/>
    <col min="2266" max="2278" width="4.7109375" style="3" customWidth="1"/>
    <col min="2279" max="2488" width="11" style="3"/>
    <col min="2489" max="2489" width="0.7109375" style="3" customWidth="1"/>
    <col min="2490" max="2490" width="6.5703125" style="3" customWidth="1"/>
    <col min="2491" max="2491" width="13.5703125" style="3" customWidth="1"/>
    <col min="2492" max="2492" width="13.42578125" style="3" customWidth="1"/>
    <col min="2493" max="2494" width="12.5703125" style="3" customWidth="1"/>
    <col min="2495" max="2495" width="14.85546875" style="3" customWidth="1"/>
    <col min="2496" max="2496" width="20.7109375" style="3" customWidth="1"/>
    <col min="2497" max="2497" width="12.5703125" style="3" customWidth="1"/>
    <col min="2498" max="2498" width="13" style="3" customWidth="1"/>
    <col min="2499" max="2499" width="16" style="3" customWidth="1"/>
    <col min="2500" max="2500" width="6.42578125" style="3" customWidth="1"/>
    <col min="2501" max="2501" width="16" style="3" customWidth="1"/>
    <col min="2502" max="2502" width="2.85546875" style="3" customWidth="1"/>
    <col min="2503" max="2503" width="0.85546875" style="3" customWidth="1"/>
    <col min="2504" max="2504" width="11" style="3"/>
    <col min="2505" max="2505" width="15.42578125" style="3" customWidth="1"/>
    <col min="2506" max="2508" width="14.85546875" style="3" customWidth="1"/>
    <col min="2509" max="2509" width="0.7109375" style="3" customWidth="1"/>
    <col min="2510" max="2510" width="11" style="3"/>
    <col min="2511" max="2511" width="15.7109375" style="3" customWidth="1"/>
    <col min="2512" max="2513" width="14.85546875" style="3" customWidth="1"/>
    <col min="2514" max="2514" width="3.28515625" style="3" customWidth="1"/>
    <col min="2515" max="2515" width="20.140625" style="3" customWidth="1"/>
    <col min="2516" max="2516" width="3.28515625" style="3" customWidth="1"/>
    <col min="2517" max="2521" width="11" style="3"/>
    <col min="2522" max="2534" width="4.7109375" style="3" customWidth="1"/>
    <col min="2535" max="2744" width="11" style="3"/>
    <col min="2745" max="2745" width="0.7109375" style="3" customWidth="1"/>
    <col min="2746" max="2746" width="6.5703125" style="3" customWidth="1"/>
    <col min="2747" max="2747" width="13.5703125" style="3" customWidth="1"/>
    <col min="2748" max="2748" width="13.42578125" style="3" customWidth="1"/>
    <col min="2749" max="2750" width="12.5703125" style="3" customWidth="1"/>
    <col min="2751" max="2751" width="14.85546875" style="3" customWidth="1"/>
    <col min="2752" max="2752" width="20.7109375" style="3" customWidth="1"/>
    <col min="2753" max="2753" width="12.5703125" style="3" customWidth="1"/>
    <col min="2754" max="2754" width="13" style="3" customWidth="1"/>
    <col min="2755" max="2755" width="16" style="3" customWidth="1"/>
    <col min="2756" max="2756" width="6.42578125" style="3" customWidth="1"/>
    <col min="2757" max="2757" width="16" style="3" customWidth="1"/>
    <col min="2758" max="2758" width="2.85546875" style="3" customWidth="1"/>
    <col min="2759" max="2759" width="0.85546875" style="3" customWidth="1"/>
    <col min="2760" max="2760" width="11" style="3"/>
    <col min="2761" max="2761" width="15.42578125" style="3" customWidth="1"/>
    <col min="2762" max="2764" width="14.85546875" style="3" customWidth="1"/>
    <col min="2765" max="2765" width="0.7109375" style="3" customWidth="1"/>
    <col min="2766" max="2766" width="11" style="3"/>
    <col min="2767" max="2767" width="15.7109375" style="3" customWidth="1"/>
    <col min="2768" max="2769" width="14.85546875" style="3" customWidth="1"/>
    <col min="2770" max="2770" width="3.28515625" style="3" customWidth="1"/>
    <col min="2771" max="2771" width="20.140625" style="3" customWidth="1"/>
    <col min="2772" max="2772" width="3.28515625" style="3" customWidth="1"/>
    <col min="2773" max="2777" width="11" style="3"/>
    <col min="2778" max="2790" width="4.7109375" style="3" customWidth="1"/>
    <col min="2791" max="3000" width="11" style="3"/>
    <col min="3001" max="3001" width="0.7109375" style="3" customWidth="1"/>
    <col min="3002" max="3002" width="6.5703125" style="3" customWidth="1"/>
    <col min="3003" max="3003" width="13.5703125" style="3" customWidth="1"/>
    <col min="3004" max="3004" width="13.42578125" style="3" customWidth="1"/>
    <col min="3005" max="3006" width="12.5703125" style="3" customWidth="1"/>
    <col min="3007" max="3007" width="14.85546875" style="3" customWidth="1"/>
    <col min="3008" max="3008" width="20.7109375" style="3" customWidth="1"/>
    <col min="3009" max="3009" width="12.5703125" style="3" customWidth="1"/>
    <col min="3010" max="3010" width="13" style="3" customWidth="1"/>
    <col min="3011" max="3011" width="16" style="3" customWidth="1"/>
    <col min="3012" max="3012" width="6.42578125" style="3" customWidth="1"/>
    <col min="3013" max="3013" width="16" style="3" customWidth="1"/>
    <col min="3014" max="3014" width="2.85546875" style="3" customWidth="1"/>
    <col min="3015" max="3015" width="0.85546875" style="3" customWidth="1"/>
    <col min="3016" max="3016" width="11" style="3"/>
    <col min="3017" max="3017" width="15.42578125" style="3" customWidth="1"/>
    <col min="3018" max="3020" width="14.85546875" style="3" customWidth="1"/>
    <col min="3021" max="3021" width="0.7109375" style="3" customWidth="1"/>
    <col min="3022" max="3022" width="11" style="3"/>
    <col min="3023" max="3023" width="15.7109375" style="3" customWidth="1"/>
    <col min="3024" max="3025" width="14.85546875" style="3" customWidth="1"/>
    <col min="3026" max="3026" width="3.28515625" style="3" customWidth="1"/>
    <col min="3027" max="3027" width="20.140625" style="3" customWidth="1"/>
    <col min="3028" max="3028" width="3.28515625" style="3" customWidth="1"/>
    <col min="3029" max="3033" width="11" style="3"/>
    <col min="3034" max="3046" width="4.7109375" style="3" customWidth="1"/>
    <col min="3047" max="3256" width="11" style="3"/>
    <col min="3257" max="3257" width="0.7109375" style="3" customWidth="1"/>
    <col min="3258" max="3258" width="6.5703125" style="3" customWidth="1"/>
    <col min="3259" max="3259" width="13.5703125" style="3" customWidth="1"/>
    <col min="3260" max="3260" width="13.42578125" style="3" customWidth="1"/>
    <col min="3261" max="3262" width="12.5703125" style="3" customWidth="1"/>
    <col min="3263" max="3263" width="14.85546875" style="3" customWidth="1"/>
    <col min="3264" max="3264" width="20.7109375" style="3" customWidth="1"/>
    <col min="3265" max="3265" width="12.5703125" style="3" customWidth="1"/>
    <col min="3266" max="3266" width="13" style="3" customWidth="1"/>
    <col min="3267" max="3267" width="16" style="3" customWidth="1"/>
    <col min="3268" max="3268" width="6.42578125" style="3" customWidth="1"/>
    <col min="3269" max="3269" width="16" style="3" customWidth="1"/>
    <col min="3270" max="3270" width="2.85546875" style="3" customWidth="1"/>
    <col min="3271" max="3271" width="0.85546875" style="3" customWidth="1"/>
    <col min="3272" max="3272" width="11" style="3"/>
    <col min="3273" max="3273" width="15.42578125" style="3" customWidth="1"/>
    <col min="3274" max="3276" width="14.85546875" style="3" customWidth="1"/>
    <col min="3277" max="3277" width="0.7109375" style="3" customWidth="1"/>
    <col min="3278" max="3278" width="11" style="3"/>
    <col min="3279" max="3279" width="15.7109375" style="3" customWidth="1"/>
    <col min="3280" max="3281" width="14.85546875" style="3" customWidth="1"/>
    <col min="3282" max="3282" width="3.28515625" style="3" customWidth="1"/>
    <col min="3283" max="3283" width="20.140625" style="3" customWidth="1"/>
    <col min="3284" max="3284" width="3.28515625" style="3" customWidth="1"/>
    <col min="3285" max="3289" width="11" style="3"/>
    <col min="3290" max="3302" width="4.7109375" style="3" customWidth="1"/>
    <col min="3303" max="3512" width="11" style="3"/>
    <col min="3513" max="3513" width="0.7109375" style="3" customWidth="1"/>
    <col min="3514" max="3514" width="6.5703125" style="3" customWidth="1"/>
    <col min="3515" max="3515" width="13.5703125" style="3" customWidth="1"/>
    <col min="3516" max="3516" width="13.42578125" style="3" customWidth="1"/>
    <col min="3517" max="3518" width="12.5703125" style="3" customWidth="1"/>
    <col min="3519" max="3519" width="14.85546875" style="3" customWidth="1"/>
    <col min="3520" max="3520" width="20.7109375" style="3" customWidth="1"/>
    <col min="3521" max="3521" width="12.5703125" style="3" customWidth="1"/>
    <col min="3522" max="3522" width="13" style="3" customWidth="1"/>
    <col min="3523" max="3523" width="16" style="3" customWidth="1"/>
    <col min="3524" max="3524" width="6.42578125" style="3" customWidth="1"/>
    <col min="3525" max="3525" width="16" style="3" customWidth="1"/>
    <col min="3526" max="3526" width="2.85546875" style="3" customWidth="1"/>
    <col min="3527" max="3527" width="0.85546875" style="3" customWidth="1"/>
    <col min="3528" max="3528" width="11" style="3"/>
    <col min="3529" max="3529" width="15.42578125" style="3" customWidth="1"/>
    <col min="3530" max="3532" width="14.85546875" style="3" customWidth="1"/>
    <col min="3533" max="3533" width="0.7109375" style="3" customWidth="1"/>
    <col min="3534" max="3534" width="11" style="3"/>
    <col min="3535" max="3535" width="15.7109375" style="3" customWidth="1"/>
    <col min="3536" max="3537" width="14.85546875" style="3" customWidth="1"/>
    <col min="3538" max="3538" width="3.28515625" style="3" customWidth="1"/>
    <col min="3539" max="3539" width="20.140625" style="3" customWidth="1"/>
    <col min="3540" max="3540" width="3.28515625" style="3" customWidth="1"/>
    <col min="3541" max="3545" width="11" style="3"/>
    <col min="3546" max="3558" width="4.7109375" style="3" customWidth="1"/>
    <col min="3559" max="3768" width="11" style="3"/>
    <col min="3769" max="3769" width="0.7109375" style="3" customWidth="1"/>
    <col min="3770" max="3770" width="6.5703125" style="3" customWidth="1"/>
    <col min="3771" max="3771" width="13.5703125" style="3" customWidth="1"/>
    <col min="3772" max="3772" width="13.42578125" style="3" customWidth="1"/>
    <col min="3773" max="3774" width="12.5703125" style="3" customWidth="1"/>
    <col min="3775" max="3775" width="14.85546875" style="3" customWidth="1"/>
    <col min="3776" max="3776" width="20.7109375" style="3" customWidth="1"/>
    <col min="3777" max="3777" width="12.5703125" style="3" customWidth="1"/>
    <col min="3778" max="3778" width="13" style="3" customWidth="1"/>
    <col min="3779" max="3779" width="16" style="3" customWidth="1"/>
    <col min="3780" max="3780" width="6.42578125" style="3" customWidth="1"/>
    <col min="3781" max="3781" width="16" style="3" customWidth="1"/>
    <col min="3782" max="3782" width="2.85546875" style="3" customWidth="1"/>
    <col min="3783" max="3783" width="0.85546875" style="3" customWidth="1"/>
    <col min="3784" max="3784" width="11" style="3"/>
    <col min="3785" max="3785" width="15.42578125" style="3" customWidth="1"/>
    <col min="3786" max="3788" width="14.85546875" style="3" customWidth="1"/>
    <col min="3789" max="3789" width="0.7109375" style="3" customWidth="1"/>
    <col min="3790" max="3790" width="11" style="3"/>
    <col min="3791" max="3791" width="15.7109375" style="3" customWidth="1"/>
    <col min="3792" max="3793" width="14.85546875" style="3" customWidth="1"/>
    <col min="3794" max="3794" width="3.28515625" style="3" customWidth="1"/>
    <col min="3795" max="3795" width="20.140625" style="3" customWidth="1"/>
    <col min="3796" max="3796" width="3.28515625" style="3" customWidth="1"/>
    <col min="3797" max="3801" width="11" style="3"/>
    <col min="3802" max="3814" width="4.7109375" style="3" customWidth="1"/>
    <col min="3815" max="4024" width="11" style="3"/>
    <col min="4025" max="4025" width="0.7109375" style="3" customWidth="1"/>
    <col min="4026" max="4026" width="6.5703125" style="3" customWidth="1"/>
    <col min="4027" max="4027" width="13.5703125" style="3" customWidth="1"/>
    <col min="4028" max="4028" width="13.42578125" style="3" customWidth="1"/>
    <col min="4029" max="4030" width="12.5703125" style="3" customWidth="1"/>
    <col min="4031" max="4031" width="14.85546875" style="3" customWidth="1"/>
    <col min="4032" max="4032" width="20.7109375" style="3" customWidth="1"/>
    <col min="4033" max="4033" width="12.5703125" style="3" customWidth="1"/>
    <col min="4034" max="4034" width="13" style="3" customWidth="1"/>
    <col min="4035" max="4035" width="16" style="3" customWidth="1"/>
    <col min="4036" max="4036" width="6.42578125" style="3" customWidth="1"/>
    <col min="4037" max="4037" width="16" style="3" customWidth="1"/>
    <col min="4038" max="4038" width="2.85546875" style="3" customWidth="1"/>
    <col min="4039" max="4039" width="0.85546875" style="3" customWidth="1"/>
    <col min="4040" max="4040" width="11" style="3"/>
    <col min="4041" max="4041" width="15.42578125" style="3" customWidth="1"/>
    <col min="4042" max="4044" width="14.85546875" style="3" customWidth="1"/>
    <col min="4045" max="4045" width="0.7109375" style="3" customWidth="1"/>
    <col min="4046" max="4046" width="11" style="3"/>
    <col min="4047" max="4047" width="15.7109375" style="3" customWidth="1"/>
    <col min="4048" max="4049" width="14.85546875" style="3" customWidth="1"/>
    <col min="4050" max="4050" width="3.28515625" style="3" customWidth="1"/>
    <col min="4051" max="4051" width="20.140625" style="3" customWidth="1"/>
    <col min="4052" max="4052" width="3.28515625" style="3" customWidth="1"/>
    <col min="4053" max="4057" width="11" style="3"/>
    <col min="4058" max="4070" width="4.7109375" style="3" customWidth="1"/>
    <col min="4071" max="4280" width="11" style="3"/>
    <col min="4281" max="4281" width="0.7109375" style="3" customWidth="1"/>
    <col min="4282" max="4282" width="6.5703125" style="3" customWidth="1"/>
    <col min="4283" max="4283" width="13.5703125" style="3" customWidth="1"/>
    <col min="4284" max="4284" width="13.42578125" style="3" customWidth="1"/>
    <col min="4285" max="4286" width="12.5703125" style="3" customWidth="1"/>
    <col min="4287" max="4287" width="14.85546875" style="3" customWidth="1"/>
    <col min="4288" max="4288" width="20.7109375" style="3" customWidth="1"/>
    <col min="4289" max="4289" width="12.5703125" style="3" customWidth="1"/>
    <col min="4290" max="4290" width="13" style="3" customWidth="1"/>
    <col min="4291" max="4291" width="16" style="3" customWidth="1"/>
    <col min="4292" max="4292" width="6.42578125" style="3" customWidth="1"/>
    <col min="4293" max="4293" width="16" style="3" customWidth="1"/>
    <col min="4294" max="4294" width="2.85546875" style="3" customWidth="1"/>
    <col min="4295" max="4295" width="0.85546875" style="3" customWidth="1"/>
    <col min="4296" max="4296" width="11" style="3"/>
    <col min="4297" max="4297" width="15.42578125" style="3" customWidth="1"/>
    <col min="4298" max="4300" width="14.85546875" style="3" customWidth="1"/>
    <col min="4301" max="4301" width="0.7109375" style="3" customWidth="1"/>
    <col min="4302" max="4302" width="11" style="3"/>
    <col min="4303" max="4303" width="15.7109375" style="3" customWidth="1"/>
    <col min="4304" max="4305" width="14.85546875" style="3" customWidth="1"/>
    <col min="4306" max="4306" width="3.28515625" style="3" customWidth="1"/>
    <col min="4307" max="4307" width="20.140625" style="3" customWidth="1"/>
    <col min="4308" max="4308" width="3.28515625" style="3" customWidth="1"/>
    <col min="4309" max="4313" width="11" style="3"/>
    <col min="4314" max="4326" width="4.7109375" style="3" customWidth="1"/>
    <col min="4327" max="4536" width="11" style="3"/>
    <col min="4537" max="4537" width="0.7109375" style="3" customWidth="1"/>
    <col min="4538" max="4538" width="6.5703125" style="3" customWidth="1"/>
    <col min="4539" max="4539" width="13.5703125" style="3" customWidth="1"/>
    <col min="4540" max="4540" width="13.42578125" style="3" customWidth="1"/>
    <col min="4541" max="4542" width="12.5703125" style="3" customWidth="1"/>
    <col min="4543" max="4543" width="14.85546875" style="3" customWidth="1"/>
    <col min="4544" max="4544" width="20.7109375" style="3" customWidth="1"/>
    <col min="4545" max="4545" width="12.5703125" style="3" customWidth="1"/>
    <col min="4546" max="4546" width="13" style="3" customWidth="1"/>
    <col min="4547" max="4547" width="16" style="3" customWidth="1"/>
    <col min="4548" max="4548" width="6.42578125" style="3" customWidth="1"/>
    <col min="4549" max="4549" width="16" style="3" customWidth="1"/>
    <col min="4550" max="4550" width="2.85546875" style="3" customWidth="1"/>
    <col min="4551" max="4551" width="0.85546875" style="3" customWidth="1"/>
    <col min="4552" max="4552" width="11" style="3"/>
    <col min="4553" max="4553" width="15.42578125" style="3" customWidth="1"/>
    <col min="4554" max="4556" width="14.85546875" style="3" customWidth="1"/>
    <col min="4557" max="4557" width="0.7109375" style="3" customWidth="1"/>
    <col min="4558" max="4558" width="11" style="3"/>
    <col min="4559" max="4559" width="15.7109375" style="3" customWidth="1"/>
    <col min="4560" max="4561" width="14.85546875" style="3" customWidth="1"/>
    <col min="4562" max="4562" width="3.28515625" style="3" customWidth="1"/>
    <col min="4563" max="4563" width="20.140625" style="3" customWidth="1"/>
    <col min="4564" max="4564" width="3.28515625" style="3" customWidth="1"/>
    <col min="4565" max="4569" width="11" style="3"/>
    <col min="4570" max="4582" width="4.7109375" style="3" customWidth="1"/>
    <col min="4583" max="4792" width="11" style="3"/>
    <col min="4793" max="4793" width="0.7109375" style="3" customWidth="1"/>
    <col min="4794" max="4794" width="6.5703125" style="3" customWidth="1"/>
    <col min="4795" max="4795" width="13.5703125" style="3" customWidth="1"/>
    <col min="4796" max="4796" width="13.42578125" style="3" customWidth="1"/>
    <col min="4797" max="4798" width="12.5703125" style="3" customWidth="1"/>
    <col min="4799" max="4799" width="14.85546875" style="3" customWidth="1"/>
    <col min="4800" max="4800" width="20.7109375" style="3" customWidth="1"/>
    <col min="4801" max="4801" width="12.5703125" style="3" customWidth="1"/>
    <col min="4802" max="4802" width="13" style="3" customWidth="1"/>
    <col min="4803" max="4803" width="16" style="3" customWidth="1"/>
    <col min="4804" max="4804" width="6.42578125" style="3" customWidth="1"/>
    <col min="4805" max="4805" width="16" style="3" customWidth="1"/>
    <col min="4806" max="4806" width="2.85546875" style="3" customWidth="1"/>
    <col min="4807" max="4807" width="0.85546875" style="3" customWidth="1"/>
    <col min="4808" max="4808" width="11" style="3"/>
    <col min="4809" max="4809" width="15.42578125" style="3" customWidth="1"/>
    <col min="4810" max="4812" width="14.85546875" style="3" customWidth="1"/>
    <col min="4813" max="4813" width="0.7109375" style="3" customWidth="1"/>
    <col min="4814" max="4814" width="11" style="3"/>
    <col min="4815" max="4815" width="15.7109375" style="3" customWidth="1"/>
    <col min="4816" max="4817" width="14.85546875" style="3" customWidth="1"/>
    <col min="4818" max="4818" width="3.28515625" style="3" customWidth="1"/>
    <col min="4819" max="4819" width="20.140625" style="3" customWidth="1"/>
    <col min="4820" max="4820" width="3.28515625" style="3" customWidth="1"/>
    <col min="4821" max="4825" width="11" style="3"/>
    <col min="4826" max="4838" width="4.7109375" style="3" customWidth="1"/>
    <col min="4839" max="5048" width="11" style="3"/>
    <col min="5049" max="5049" width="0.7109375" style="3" customWidth="1"/>
    <col min="5050" max="5050" width="6.5703125" style="3" customWidth="1"/>
    <col min="5051" max="5051" width="13.5703125" style="3" customWidth="1"/>
    <col min="5052" max="5052" width="13.42578125" style="3" customWidth="1"/>
    <col min="5053" max="5054" width="12.5703125" style="3" customWidth="1"/>
    <col min="5055" max="5055" width="14.85546875" style="3" customWidth="1"/>
    <col min="5056" max="5056" width="20.7109375" style="3" customWidth="1"/>
    <col min="5057" max="5057" width="12.5703125" style="3" customWidth="1"/>
    <col min="5058" max="5058" width="13" style="3" customWidth="1"/>
    <col min="5059" max="5059" width="16" style="3" customWidth="1"/>
    <col min="5060" max="5060" width="6.42578125" style="3" customWidth="1"/>
    <col min="5061" max="5061" width="16" style="3" customWidth="1"/>
    <col min="5062" max="5062" width="2.85546875" style="3" customWidth="1"/>
    <col min="5063" max="5063" width="0.85546875" style="3" customWidth="1"/>
    <col min="5064" max="5064" width="11" style="3"/>
    <col min="5065" max="5065" width="15.42578125" style="3" customWidth="1"/>
    <col min="5066" max="5068" width="14.85546875" style="3" customWidth="1"/>
    <col min="5069" max="5069" width="0.7109375" style="3" customWidth="1"/>
    <col min="5070" max="5070" width="11" style="3"/>
    <col min="5071" max="5071" width="15.7109375" style="3" customWidth="1"/>
    <col min="5072" max="5073" width="14.85546875" style="3" customWidth="1"/>
    <col min="5074" max="5074" width="3.28515625" style="3" customWidth="1"/>
    <col min="5075" max="5075" width="20.140625" style="3" customWidth="1"/>
    <col min="5076" max="5076" width="3.28515625" style="3" customWidth="1"/>
    <col min="5077" max="5081" width="11" style="3"/>
    <col min="5082" max="5094" width="4.7109375" style="3" customWidth="1"/>
    <col min="5095" max="5304" width="11" style="3"/>
    <col min="5305" max="5305" width="0.7109375" style="3" customWidth="1"/>
    <col min="5306" max="5306" width="6.5703125" style="3" customWidth="1"/>
    <col min="5307" max="5307" width="13.5703125" style="3" customWidth="1"/>
    <col min="5308" max="5308" width="13.42578125" style="3" customWidth="1"/>
    <col min="5309" max="5310" width="12.5703125" style="3" customWidth="1"/>
    <col min="5311" max="5311" width="14.85546875" style="3" customWidth="1"/>
    <col min="5312" max="5312" width="20.7109375" style="3" customWidth="1"/>
    <col min="5313" max="5313" width="12.5703125" style="3" customWidth="1"/>
    <col min="5314" max="5314" width="13" style="3" customWidth="1"/>
    <col min="5315" max="5315" width="16" style="3" customWidth="1"/>
    <col min="5316" max="5316" width="6.42578125" style="3" customWidth="1"/>
    <col min="5317" max="5317" width="16" style="3" customWidth="1"/>
    <col min="5318" max="5318" width="2.85546875" style="3" customWidth="1"/>
    <col min="5319" max="5319" width="0.85546875" style="3" customWidth="1"/>
    <col min="5320" max="5320" width="11" style="3"/>
    <col min="5321" max="5321" width="15.42578125" style="3" customWidth="1"/>
    <col min="5322" max="5324" width="14.85546875" style="3" customWidth="1"/>
    <col min="5325" max="5325" width="0.7109375" style="3" customWidth="1"/>
    <col min="5326" max="5326" width="11" style="3"/>
    <col min="5327" max="5327" width="15.7109375" style="3" customWidth="1"/>
    <col min="5328" max="5329" width="14.85546875" style="3" customWidth="1"/>
    <col min="5330" max="5330" width="3.28515625" style="3" customWidth="1"/>
    <col min="5331" max="5331" width="20.140625" style="3" customWidth="1"/>
    <col min="5332" max="5332" width="3.28515625" style="3" customWidth="1"/>
    <col min="5333" max="5337" width="11" style="3"/>
    <col min="5338" max="5350" width="4.7109375" style="3" customWidth="1"/>
    <col min="5351" max="5560" width="11" style="3"/>
    <col min="5561" max="5561" width="0.7109375" style="3" customWidth="1"/>
    <col min="5562" max="5562" width="6.5703125" style="3" customWidth="1"/>
    <col min="5563" max="5563" width="13.5703125" style="3" customWidth="1"/>
    <col min="5564" max="5564" width="13.42578125" style="3" customWidth="1"/>
    <col min="5565" max="5566" width="12.5703125" style="3" customWidth="1"/>
    <col min="5567" max="5567" width="14.85546875" style="3" customWidth="1"/>
    <col min="5568" max="5568" width="20.7109375" style="3" customWidth="1"/>
    <col min="5569" max="5569" width="12.5703125" style="3" customWidth="1"/>
    <col min="5570" max="5570" width="13" style="3" customWidth="1"/>
    <col min="5571" max="5571" width="16" style="3" customWidth="1"/>
    <col min="5572" max="5572" width="6.42578125" style="3" customWidth="1"/>
    <col min="5573" max="5573" width="16" style="3" customWidth="1"/>
    <col min="5574" max="5574" width="2.85546875" style="3" customWidth="1"/>
    <col min="5575" max="5575" width="0.85546875" style="3" customWidth="1"/>
    <col min="5576" max="5576" width="11" style="3"/>
    <col min="5577" max="5577" width="15.42578125" style="3" customWidth="1"/>
    <col min="5578" max="5580" width="14.85546875" style="3" customWidth="1"/>
    <col min="5581" max="5581" width="0.7109375" style="3" customWidth="1"/>
    <col min="5582" max="5582" width="11" style="3"/>
    <col min="5583" max="5583" width="15.7109375" style="3" customWidth="1"/>
    <col min="5584" max="5585" width="14.85546875" style="3" customWidth="1"/>
    <col min="5586" max="5586" width="3.28515625" style="3" customWidth="1"/>
    <col min="5587" max="5587" width="20.140625" style="3" customWidth="1"/>
    <col min="5588" max="5588" width="3.28515625" style="3" customWidth="1"/>
    <col min="5589" max="5593" width="11" style="3"/>
    <col min="5594" max="5606" width="4.7109375" style="3" customWidth="1"/>
    <col min="5607" max="5816" width="11" style="3"/>
    <col min="5817" max="5817" width="0.7109375" style="3" customWidth="1"/>
    <col min="5818" max="5818" width="6.5703125" style="3" customWidth="1"/>
    <col min="5819" max="5819" width="13.5703125" style="3" customWidth="1"/>
    <col min="5820" max="5820" width="13.42578125" style="3" customWidth="1"/>
    <col min="5821" max="5822" width="12.5703125" style="3" customWidth="1"/>
    <col min="5823" max="5823" width="14.85546875" style="3" customWidth="1"/>
    <col min="5824" max="5824" width="20.7109375" style="3" customWidth="1"/>
    <col min="5825" max="5825" width="12.5703125" style="3" customWidth="1"/>
    <col min="5826" max="5826" width="13" style="3" customWidth="1"/>
    <col min="5827" max="5827" width="16" style="3" customWidth="1"/>
    <col min="5828" max="5828" width="6.42578125" style="3" customWidth="1"/>
    <col min="5829" max="5829" width="16" style="3" customWidth="1"/>
    <col min="5830" max="5830" width="2.85546875" style="3" customWidth="1"/>
    <col min="5831" max="5831" width="0.85546875" style="3" customWidth="1"/>
    <col min="5832" max="5832" width="11" style="3"/>
    <col min="5833" max="5833" width="15.42578125" style="3" customWidth="1"/>
    <col min="5834" max="5836" width="14.85546875" style="3" customWidth="1"/>
    <col min="5837" max="5837" width="0.7109375" style="3" customWidth="1"/>
    <col min="5838" max="5838" width="11" style="3"/>
    <col min="5839" max="5839" width="15.7109375" style="3" customWidth="1"/>
    <col min="5840" max="5841" width="14.85546875" style="3" customWidth="1"/>
    <col min="5842" max="5842" width="3.28515625" style="3" customWidth="1"/>
    <col min="5843" max="5843" width="20.140625" style="3" customWidth="1"/>
    <col min="5844" max="5844" width="3.28515625" style="3" customWidth="1"/>
    <col min="5845" max="5849" width="11" style="3"/>
    <col min="5850" max="5862" width="4.7109375" style="3" customWidth="1"/>
    <col min="5863" max="6072" width="11" style="3"/>
    <col min="6073" max="6073" width="0.7109375" style="3" customWidth="1"/>
    <col min="6074" max="6074" width="6.5703125" style="3" customWidth="1"/>
    <col min="6075" max="6075" width="13.5703125" style="3" customWidth="1"/>
    <col min="6076" max="6076" width="13.42578125" style="3" customWidth="1"/>
    <col min="6077" max="6078" width="12.5703125" style="3" customWidth="1"/>
    <col min="6079" max="6079" width="14.85546875" style="3" customWidth="1"/>
    <col min="6080" max="6080" width="20.7109375" style="3" customWidth="1"/>
    <col min="6081" max="6081" width="12.5703125" style="3" customWidth="1"/>
    <col min="6082" max="6082" width="13" style="3" customWidth="1"/>
    <col min="6083" max="6083" width="16" style="3" customWidth="1"/>
    <col min="6084" max="6084" width="6.42578125" style="3" customWidth="1"/>
    <col min="6085" max="6085" width="16" style="3" customWidth="1"/>
    <col min="6086" max="6086" width="2.85546875" style="3" customWidth="1"/>
    <col min="6087" max="6087" width="0.85546875" style="3" customWidth="1"/>
    <col min="6088" max="6088" width="11" style="3"/>
    <col min="6089" max="6089" width="15.42578125" style="3" customWidth="1"/>
    <col min="6090" max="6092" width="14.85546875" style="3" customWidth="1"/>
    <col min="6093" max="6093" width="0.7109375" style="3" customWidth="1"/>
    <col min="6094" max="6094" width="11" style="3"/>
    <col min="6095" max="6095" width="15.7109375" style="3" customWidth="1"/>
    <col min="6096" max="6097" width="14.85546875" style="3" customWidth="1"/>
    <col min="6098" max="6098" width="3.28515625" style="3" customWidth="1"/>
    <col min="6099" max="6099" width="20.140625" style="3" customWidth="1"/>
    <col min="6100" max="6100" width="3.28515625" style="3" customWidth="1"/>
    <col min="6101" max="6105" width="11" style="3"/>
    <col min="6106" max="6118" width="4.7109375" style="3" customWidth="1"/>
    <col min="6119" max="6328" width="11" style="3"/>
    <col min="6329" max="6329" width="0.7109375" style="3" customWidth="1"/>
    <col min="6330" max="6330" width="6.5703125" style="3" customWidth="1"/>
    <col min="6331" max="6331" width="13.5703125" style="3" customWidth="1"/>
    <col min="6332" max="6332" width="13.42578125" style="3" customWidth="1"/>
    <col min="6333" max="6334" width="12.5703125" style="3" customWidth="1"/>
    <col min="6335" max="6335" width="14.85546875" style="3" customWidth="1"/>
    <col min="6336" max="6336" width="20.7109375" style="3" customWidth="1"/>
    <col min="6337" max="6337" width="12.5703125" style="3" customWidth="1"/>
    <col min="6338" max="6338" width="13" style="3" customWidth="1"/>
    <col min="6339" max="6339" width="16" style="3" customWidth="1"/>
    <col min="6340" max="6340" width="6.42578125" style="3" customWidth="1"/>
    <col min="6341" max="6341" width="16" style="3" customWidth="1"/>
    <col min="6342" max="6342" width="2.85546875" style="3" customWidth="1"/>
    <col min="6343" max="6343" width="0.85546875" style="3" customWidth="1"/>
    <col min="6344" max="6344" width="11" style="3"/>
    <col min="6345" max="6345" width="15.42578125" style="3" customWidth="1"/>
    <col min="6346" max="6348" width="14.85546875" style="3" customWidth="1"/>
    <col min="6349" max="6349" width="0.7109375" style="3" customWidth="1"/>
    <col min="6350" max="6350" width="11" style="3"/>
    <col min="6351" max="6351" width="15.7109375" style="3" customWidth="1"/>
    <col min="6352" max="6353" width="14.85546875" style="3" customWidth="1"/>
    <col min="6354" max="6354" width="3.28515625" style="3" customWidth="1"/>
    <col min="6355" max="6355" width="20.140625" style="3" customWidth="1"/>
    <col min="6356" max="6356" width="3.28515625" style="3" customWidth="1"/>
    <col min="6357" max="6361" width="11" style="3"/>
    <col min="6362" max="6374" width="4.7109375" style="3" customWidth="1"/>
    <col min="6375" max="6584" width="11" style="3"/>
    <col min="6585" max="6585" width="0.7109375" style="3" customWidth="1"/>
    <col min="6586" max="6586" width="6.5703125" style="3" customWidth="1"/>
    <col min="6587" max="6587" width="13.5703125" style="3" customWidth="1"/>
    <col min="6588" max="6588" width="13.42578125" style="3" customWidth="1"/>
    <col min="6589" max="6590" width="12.5703125" style="3" customWidth="1"/>
    <col min="6591" max="6591" width="14.85546875" style="3" customWidth="1"/>
    <col min="6592" max="6592" width="20.7109375" style="3" customWidth="1"/>
    <col min="6593" max="6593" width="12.5703125" style="3" customWidth="1"/>
    <col min="6594" max="6594" width="13" style="3" customWidth="1"/>
    <col min="6595" max="6595" width="16" style="3" customWidth="1"/>
    <col min="6596" max="6596" width="6.42578125" style="3" customWidth="1"/>
    <col min="6597" max="6597" width="16" style="3" customWidth="1"/>
    <col min="6598" max="6598" width="2.85546875" style="3" customWidth="1"/>
    <col min="6599" max="6599" width="0.85546875" style="3" customWidth="1"/>
    <col min="6600" max="6600" width="11" style="3"/>
    <col min="6601" max="6601" width="15.42578125" style="3" customWidth="1"/>
    <col min="6602" max="6604" width="14.85546875" style="3" customWidth="1"/>
    <col min="6605" max="6605" width="0.7109375" style="3" customWidth="1"/>
    <col min="6606" max="6606" width="11" style="3"/>
    <col min="6607" max="6607" width="15.7109375" style="3" customWidth="1"/>
    <col min="6608" max="6609" width="14.85546875" style="3" customWidth="1"/>
    <col min="6610" max="6610" width="3.28515625" style="3" customWidth="1"/>
    <col min="6611" max="6611" width="20.140625" style="3" customWidth="1"/>
    <col min="6612" max="6612" width="3.28515625" style="3" customWidth="1"/>
    <col min="6613" max="6617" width="11" style="3"/>
    <col min="6618" max="6630" width="4.7109375" style="3" customWidth="1"/>
    <col min="6631" max="6840" width="11" style="3"/>
    <col min="6841" max="6841" width="0.7109375" style="3" customWidth="1"/>
    <col min="6842" max="6842" width="6.5703125" style="3" customWidth="1"/>
    <col min="6843" max="6843" width="13.5703125" style="3" customWidth="1"/>
    <col min="6844" max="6844" width="13.42578125" style="3" customWidth="1"/>
    <col min="6845" max="6846" width="12.5703125" style="3" customWidth="1"/>
    <col min="6847" max="6847" width="14.85546875" style="3" customWidth="1"/>
    <col min="6848" max="6848" width="20.7109375" style="3" customWidth="1"/>
    <col min="6849" max="6849" width="12.5703125" style="3" customWidth="1"/>
    <col min="6850" max="6850" width="13" style="3" customWidth="1"/>
    <col min="6851" max="6851" width="16" style="3" customWidth="1"/>
    <col min="6852" max="6852" width="6.42578125" style="3" customWidth="1"/>
    <col min="6853" max="6853" width="16" style="3" customWidth="1"/>
    <col min="6854" max="6854" width="2.85546875" style="3" customWidth="1"/>
    <col min="6855" max="6855" width="0.85546875" style="3" customWidth="1"/>
    <col min="6856" max="6856" width="11" style="3"/>
    <col min="6857" max="6857" width="15.42578125" style="3" customWidth="1"/>
    <col min="6858" max="6860" width="14.85546875" style="3" customWidth="1"/>
    <col min="6861" max="6861" width="0.7109375" style="3" customWidth="1"/>
    <col min="6862" max="6862" width="11" style="3"/>
    <col min="6863" max="6863" width="15.7109375" style="3" customWidth="1"/>
    <col min="6864" max="6865" width="14.85546875" style="3" customWidth="1"/>
    <col min="6866" max="6866" width="3.28515625" style="3" customWidth="1"/>
    <col min="6867" max="6867" width="20.140625" style="3" customWidth="1"/>
    <col min="6868" max="6868" width="3.28515625" style="3" customWidth="1"/>
    <col min="6869" max="6873" width="11" style="3"/>
    <col min="6874" max="6886" width="4.7109375" style="3" customWidth="1"/>
    <col min="6887" max="7096" width="11" style="3"/>
    <col min="7097" max="7097" width="0.7109375" style="3" customWidth="1"/>
    <col min="7098" max="7098" width="6.5703125" style="3" customWidth="1"/>
    <col min="7099" max="7099" width="13.5703125" style="3" customWidth="1"/>
    <col min="7100" max="7100" width="13.42578125" style="3" customWidth="1"/>
    <col min="7101" max="7102" width="12.5703125" style="3" customWidth="1"/>
    <col min="7103" max="7103" width="14.85546875" style="3" customWidth="1"/>
    <col min="7104" max="7104" width="20.7109375" style="3" customWidth="1"/>
    <col min="7105" max="7105" width="12.5703125" style="3" customWidth="1"/>
    <col min="7106" max="7106" width="13" style="3" customWidth="1"/>
    <col min="7107" max="7107" width="16" style="3" customWidth="1"/>
    <col min="7108" max="7108" width="6.42578125" style="3" customWidth="1"/>
    <col min="7109" max="7109" width="16" style="3" customWidth="1"/>
    <col min="7110" max="7110" width="2.85546875" style="3" customWidth="1"/>
    <col min="7111" max="7111" width="0.85546875" style="3" customWidth="1"/>
    <col min="7112" max="7112" width="11" style="3"/>
    <col min="7113" max="7113" width="15.42578125" style="3" customWidth="1"/>
    <col min="7114" max="7116" width="14.85546875" style="3" customWidth="1"/>
    <col min="7117" max="7117" width="0.7109375" style="3" customWidth="1"/>
    <col min="7118" max="7118" width="11" style="3"/>
    <col min="7119" max="7119" width="15.7109375" style="3" customWidth="1"/>
    <col min="7120" max="7121" width="14.85546875" style="3" customWidth="1"/>
    <col min="7122" max="7122" width="3.28515625" style="3" customWidth="1"/>
    <col min="7123" max="7123" width="20.140625" style="3" customWidth="1"/>
    <col min="7124" max="7124" width="3.28515625" style="3" customWidth="1"/>
    <col min="7125" max="7129" width="11" style="3"/>
    <col min="7130" max="7142" width="4.7109375" style="3" customWidth="1"/>
    <col min="7143" max="7352" width="11" style="3"/>
    <col min="7353" max="7353" width="0.7109375" style="3" customWidth="1"/>
    <col min="7354" max="7354" width="6.5703125" style="3" customWidth="1"/>
    <col min="7355" max="7355" width="13.5703125" style="3" customWidth="1"/>
    <col min="7356" max="7356" width="13.42578125" style="3" customWidth="1"/>
    <col min="7357" max="7358" width="12.5703125" style="3" customWidth="1"/>
    <col min="7359" max="7359" width="14.85546875" style="3" customWidth="1"/>
    <col min="7360" max="7360" width="20.7109375" style="3" customWidth="1"/>
    <col min="7361" max="7361" width="12.5703125" style="3" customWidth="1"/>
    <col min="7362" max="7362" width="13" style="3" customWidth="1"/>
    <col min="7363" max="7363" width="16" style="3" customWidth="1"/>
    <col min="7364" max="7364" width="6.42578125" style="3" customWidth="1"/>
    <col min="7365" max="7365" width="16" style="3" customWidth="1"/>
    <col min="7366" max="7366" width="2.85546875" style="3" customWidth="1"/>
    <col min="7367" max="7367" width="0.85546875" style="3" customWidth="1"/>
    <col min="7368" max="7368" width="11" style="3"/>
    <col min="7369" max="7369" width="15.42578125" style="3" customWidth="1"/>
    <col min="7370" max="7372" width="14.85546875" style="3" customWidth="1"/>
    <col min="7373" max="7373" width="0.7109375" style="3" customWidth="1"/>
    <col min="7374" max="7374" width="11" style="3"/>
    <col min="7375" max="7375" width="15.7109375" style="3" customWidth="1"/>
    <col min="7376" max="7377" width="14.85546875" style="3" customWidth="1"/>
    <col min="7378" max="7378" width="3.28515625" style="3" customWidth="1"/>
    <col min="7379" max="7379" width="20.140625" style="3" customWidth="1"/>
    <col min="7380" max="7380" width="3.28515625" style="3" customWidth="1"/>
    <col min="7381" max="7385" width="11" style="3"/>
    <col min="7386" max="7398" width="4.7109375" style="3" customWidth="1"/>
    <col min="7399" max="7608" width="11" style="3"/>
    <col min="7609" max="7609" width="0.7109375" style="3" customWidth="1"/>
    <col min="7610" max="7610" width="6.5703125" style="3" customWidth="1"/>
    <col min="7611" max="7611" width="13.5703125" style="3" customWidth="1"/>
    <col min="7612" max="7612" width="13.42578125" style="3" customWidth="1"/>
    <col min="7613" max="7614" width="12.5703125" style="3" customWidth="1"/>
    <col min="7615" max="7615" width="14.85546875" style="3" customWidth="1"/>
    <col min="7616" max="7616" width="20.7109375" style="3" customWidth="1"/>
    <col min="7617" max="7617" width="12.5703125" style="3" customWidth="1"/>
    <col min="7618" max="7618" width="13" style="3" customWidth="1"/>
    <col min="7619" max="7619" width="16" style="3" customWidth="1"/>
    <col min="7620" max="7620" width="6.42578125" style="3" customWidth="1"/>
    <col min="7621" max="7621" width="16" style="3" customWidth="1"/>
    <col min="7622" max="7622" width="2.85546875" style="3" customWidth="1"/>
    <col min="7623" max="7623" width="0.85546875" style="3" customWidth="1"/>
    <col min="7624" max="7624" width="11" style="3"/>
    <col min="7625" max="7625" width="15.42578125" style="3" customWidth="1"/>
    <col min="7626" max="7628" width="14.85546875" style="3" customWidth="1"/>
    <col min="7629" max="7629" width="0.7109375" style="3" customWidth="1"/>
    <col min="7630" max="7630" width="11" style="3"/>
    <col min="7631" max="7631" width="15.7109375" style="3" customWidth="1"/>
    <col min="7632" max="7633" width="14.85546875" style="3" customWidth="1"/>
    <col min="7634" max="7634" width="3.28515625" style="3" customWidth="1"/>
    <col min="7635" max="7635" width="20.140625" style="3" customWidth="1"/>
    <col min="7636" max="7636" width="3.28515625" style="3" customWidth="1"/>
    <col min="7637" max="7641" width="11" style="3"/>
    <col min="7642" max="7654" width="4.7109375" style="3" customWidth="1"/>
    <col min="7655" max="7864" width="11" style="3"/>
    <col min="7865" max="7865" width="0.7109375" style="3" customWidth="1"/>
    <col min="7866" max="7866" width="6.5703125" style="3" customWidth="1"/>
    <col min="7867" max="7867" width="13.5703125" style="3" customWidth="1"/>
    <col min="7868" max="7868" width="13.42578125" style="3" customWidth="1"/>
    <col min="7869" max="7870" width="12.5703125" style="3" customWidth="1"/>
    <col min="7871" max="7871" width="14.85546875" style="3" customWidth="1"/>
    <col min="7872" max="7872" width="20.7109375" style="3" customWidth="1"/>
    <col min="7873" max="7873" width="12.5703125" style="3" customWidth="1"/>
    <col min="7874" max="7874" width="13" style="3" customWidth="1"/>
    <col min="7875" max="7875" width="16" style="3" customWidth="1"/>
    <col min="7876" max="7876" width="6.42578125" style="3" customWidth="1"/>
    <col min="7877" max="7877" width="16" style="3" customWidth="1"/>
    <col min="7878" max="7878" width="2.85546875" style="3" customWidth="1"/>
    <col min="7879" max="7879" width="0.85546875" style="3" customWidth="1"/>
    <col min="7880" max="7880" width="11" style="3"/>
    <col min="7881" max="7881" width="15.42578125" style="3" customWidth="1"/>
    <col min="7882" max="7884" width="14.85546875" style="3" customWidth="1"/>
    <col min="7885" max="7885" width="0.7109375" style="3" customWidth="1"/>
    <col min="7886" max="7886" width="11" style="3"/>
    <col min="7887" max="7887" width="15.7109375" style="3" customWidth="1"/>
    <col min="7888" max="7889" width="14.85546875" style="3" customWidth="1"/>
    <col min="7890" max="7890" width="3.28515625" style="3" customWidth="1"/>
    <col min="7891" max="7891" width="20.140625" style="3" customWidth="1"/>
    <col min="7892" max="7892" width="3.28515625" style="3" customWidth="1"/>
    <col min="7893" max="7897" width="11" style="3"/>
    <col min="7898" max="7910" width="4.7109375" style="3" customWidth="1"/>
    <col min="7911" max="8120" width="11" style="3"/>
    <col min="8121" max="8121" width="0.7109375" style="3" customWidth="1"/>
    <col min="8122" max="8122" width="6.5703125" style="3" customWidth="1"/>
    <col min="8123" max="8123" width="13.5703125" style="3" customWidth="1"/>
    <col min="8124" max="8124" width="13.42578125" style="3" customWidth="1"/>
    <col min="8125" max="8126" width="12.5703125" style="3" customWidth="1"/>
    <col min="8127" max="8127" width="14.85546875" style="3" customWidth="1"/>
    <col min="8128" max="8128" width="20.7109375" style="3" customWidth="1"/>
    <col min="8129" max="8129" width="12.5703125" style="3" customWidth="1"/>
    <col min="8130" max="8130" width="13" style="3" customWidth="1"/>
    <col min="8131" max="8131" width="16" style="3" customWidth="1"/>
    <col min="8132" max="8132" width="6.42578125" style="3" customWidth="1"/>
    <col min="8133" max="8133" width="16" style="3" customWidth="1"/>
    <col min="8134" max="8134" width="2.85546875" style="3" customWidth="1"/>
    <col min="8135" max="8135" width="0.85546875" style="3" customWidth="1"/>
    <col min="8136" max="8136" width="11" style="3"/>
    <col min="8137" max="8137" width="15.42578125" style="3" customWidth="1"/>
    <col min="8138" max="8140" width="14.85546875" style="3" customWidth="1"/>
    <col min="8141" max="8141" width="0.7109375" style="3" customWidth="1"/>
    <col min="8142" max="8142" width="11" style="3"/>
    <col min="8143" max="8143" width="15.7109375" style="3" customWidth="1"/>
    <col min="8144" max="8145" width="14.85546875" style="3" customWidth="1"/>
    <col min="8146" max="8146" width="3.28515625" style="3" customWidth="1"/>
    <col min="8147" max="8147" width="20.140625" style="3" customWidth="1"/>
    <col min="8148" max="8148" width="3.28515625" style="3" customWidth="1"/>
    <col min="8149" max="8153" width="11" style="3"/>
    <col min="8154" max="8166" width="4.7109375" style="3" customWidth="1"/>
    <col min="8167" max="8376" width="11" style="3"/>
    <col min="8377" max="8377" width="0.7109375" style="3" customWidth="1"/>
    <col min="8378" max="8378" width="6.5703125" style="3" customWidth="1"/>
    <col min="8379" max="8379" width="13.5703125" style="3" customWidth="1"/>
    <col min="8380" max="8380" width="13.42578125" style="3" customWidth="1"/>
    <col min="8381" max="8382" width="12.5703125" style="3" customWidth="1"/>
    <col min="8383" max="8383" width="14.85546875" style="3" customWidth="1"/>
    <col min="8384" max="8384" width="20.7109375" style="3" customWidth="1"/>
    <col min="8385" max="8385" width="12.5703125" style="3" customWidth="1"/>
    <col min="8386" max="8386" width="13" style="3" customWidth="1"/>
    <col min="8387" max="8387" width="16" style="3" customWidth="1"/>
    <col min="8388" max="8388" width="6.42578125" style="3" customWidth="1"/>
    <col min="8389" max="8389" width="16" style="3" customWidth="1"/>
    <col min="8390" max="8390" width="2.85546875" style="3" customWidth="1"/>
    <col min="8391" max="8391" width="0.85546875" style="3" customWidth="1"/>
    <col min="8392" max="8392" width="11" style="3"/>
    <col min="8393" max="8393" width="15.42578125" style="3" customWidth="1"/>
    <col min="8394" max="8396" width="14.85546875" style="3" customWidth="1"/>
    <col min="8397" max="8397" width="0.7109375" style="3" customWidth="1"/>
    <col min="8398" max="8398" width="11" style="3"/>
    <col min="8399" max="8399" width="15.7109375" style="3" customWidth="1"/>
    <col min="8400" max="8401" width="14.85546875" style="3" customWidth="1"/>
    <col min="8402" max="8402" width="3.28515625" style="3" customWidth="1"/>
    <col min="8403" max="8403" width="20.140625" style="3" customWidth="1"/>
    <col min="8404" max="8404" width="3.28515625" style="3" customWidth="1"/>
    <col min="8405" max="8409" width="11" style="3"/>
    <col min="8410" max="8422" width="4.7109375" style="3" customWidth="1"/>
    <col min="8423" max="8632" width="11" style="3"/>
    <col min="8633" max="8633" width="0.7109375" style="3" customWidth="1"/>
    <col min="8634" max="8634" width="6.5703125" style="3" customWidth="1"/>
    <col min="8635" max="8635" width="13.5703125" style="3" customWidth="1"/>
    <col min="8636" max="8636" width="13.42578125" style="3" customWidth="1"/>
    <col min="8637" max="8638" width="12.5703125" style="3" customWidth="1"/>
    <col min="8639" max="8639" width="14.85546875" style="3" customWidth="1"/>
    <col min="8640" max="8640" width="20.7109375" style="3" customWidth="1"/>
    <col min="8641" max="8641" width="12.5703125" style="3" customWidth="1"/>
    <col min="8642" max="8642" width="13" style="3" customWidth="1"/>
    <col min="8643" max="8643" width="16" style="3" customWidth="1"/>
    <col min="8644" max="8644" width="6.42578125" style="3" customWidth="1"/>
    <col min="8645" max="8645" width="16" style="3" customWidth="1"/>
    <col min="8646" max="8646" width="2.85546875" style="3" customWidth="1"/>
    <col min="8647" max="8647" width="0.85546875" style="3" customWidth="1"/>
    <col min="8648" max="8648" width="11" style="3"/>
    <col min="8649" max="8649" width="15.42578125" style="3" customWidth="1"/>
    <col min="8650" max="8652" width="14.85546875" style="3" customWidth="1"/>
    <col min="8653" max="8653" width="0.7109375" style="3" customWidth="1"/>
    <col min="8654" max="8654" width="11" style="3"/>
    <col min="8655" max="8655" width="15.7109375" style="3" customWidth="1"/>
    <col min="8656" max="8657" width="14.85546875" style="3" customWidth="1"/>
    <col min="8658" max="8658" width="3.28515625" style="3" customWidth="1"/>
    <col min="8659" max="8659" width="20.140625" style="3" customWidth="1"/>
    <col min="8660" max="8660" width="3.28515625" style="3" customWidth="1"/>
    <col min="8661" max="8665" width="11" style="3"/>
    <col min="8666" max="8678" width="4.7109375" style="3" customWidth="1"/>
    <col min="8679" max="8888" width="11" style="3"/>
    <col min="8889" max="8889" width="0.7109375" style="3" customWidth="1"/>
    <col min="8890" max="8890" width="6.5703125" style="3" customWidth="1"/>
    <col min="8891" max="8891" width="13.5703125" style="3" customWidth="1"/>
    <col min="8892" max="8892" width="13.42578125" style="3" customWidth="1"/>
    <col min="8893" max="8894" width="12.5703125" style="3" customWidth="1"/>
    <col min="8895" max="8895" width="14.85546875" style="3" customWidth="1"/>
    <col min="8896" max="8896" width="20.7109375" style="3" customWidth="1"/>
    <col min="8897" max="8897" width="12.5703125" style="3" customWidth="1"/>
    <col min="8898" max="8898" width="13" style="3" customWidth="1"/>
    <col min="8899" max="8899" width="16" style="3" customWidth="1"/>
    <col min="8900" max="8900" width="6.42578125" style="3" customWidth="1"/>
    <col min="8901" max="8901" width="16" style="3" customWidth="1"/>
    <col min="8902" max="8902" width="2.85546875" style="3" customWidth="1"/>
    <col min="8903" max="8903" width="0.85546875" style="3" customWidth="1"/>
    <col min="8904" max="8904" width="11" style="3"/>
    <col min="8905" max="8905" width="15.42578125" style="3" customWidth="1"/>
    <col min="8906" max="8908" width="14.85546875" style="3" customWidth="1"/>
    <col min="8909" max="8909" width="0.7109375" style="3" customWidth="1"/>
    <col min="8910" max="8910" width="11" style="3"/>
    <col min="8911" max="8911" width="15.7109375" style="3" customWidth="1"/>
    <col min="8912" max="8913" width="14.85546875" style="3" customWidth="1"/>
    <col min="8914" max="8914" width="3.28515625" style="3" customWidth="1"/>
    <col min="8915" max="8915" width="20.140625" style="3" customWidth="1"/>
    <col min="8916" max="8916" width="3.28515625" style="3" customWidth="1"/>
    <col min="8917" max="8921" width="11" style="3"/>
    <col min="8922" max="8934" width="4.7109375" style="3" customWidth="1"/>
    <col min="8935" max="9144" width="11" style="3"/>
    <col min="9145" max="9145" width="0.7109375" style="3" customWidth="1"/>
    <col min="9146" max="9146" width="6.5703125" style="3" customWidth="1"/>
    <col min="9147" max="9147" width="13.5703125" style="3" customWidth="1"/>
    <col min="9148" max="9148" width="13.42578125" style="3" customWidth="1"/>
    <col min="9149" max="9150" width="12.5703125" style="3" customWidth="1"/>
    <col min="9151" max="9151" width="14.85546875" style="3" customWidth="1"/>
    <col min="9152" max="9152" width="20.7109375" style="3" customWidth="1"/>
    <col min="9153" max="9153" width="12.5703125" style="3" customWidth="1"/>
    <col min="9154" max="9154" width="13" style="3" customWidth="1"/>
    <col min="9155" max="9155" width="16" style="3" customWidth="1"/>
    <col min="9156" max="9156" width="6.42578125" style="3" customWidth="1"/>
    <col min="9157" max="9157" width="16" style="3" customWidth="1"/>
    <col min="9158" max="9158" width="2.85546875" style="3" customWidth="1"/>
    <col min="9159" max="9159" width="0.85546875" style="3" customWidth="1"/>
    <col min="9160" max="9160" width="11" style="3"/>
    <col min="9161" max="9161" width="15.42578125" style="3" customWidth="1"/>
    <col min="9162" max="9164" width="14.85546875" style="3" customWidth="1"/>
    <col min="9165" max="9165" width="0.7109375" style="3" customWidth="1"/>
    <col min="9166" max="9166" width="11" style="3"/>
    <col min="9167" max="9167" width="15.7109375" style="3" customWidth="1"/>
    <col min="9168" max="9169" width="14.85546875" style="3" customWidth="1"/>
    <col min="9170" max="9170" width="3.28515625" style="3" customWidth="1"/>
    <col min="9171" max="9171" width="20.140625" style="3" customWidth="1"/>
    <col min="9172" max="9172" width="3.28515625" style="3" customWidth="1"/>
    <col min="9173" max="9177" width="11" style="3"/>
    <col min="9178" max="9190" width="4.7109375" style="3" customWidth="1"/>
    <col min="9191" max="9400" width="11" style="3"/>
    <col min="9401" max="9401" width="0.7109375" style="3" customWidth="1"/>
    <col min="9402" max="9402" width="6.5703125" style="3" customWidth="1"/>
    <col min="9403" max="9403" width="13.5703125" style="3" customWidth="1"/>
    <col min="9404" max="9404" width="13.42578125" style="3" customWidth="1"/>
    <col min="9405" max="9406" width="12.5703125" style="3" customWidth="1"/>
    <col min="9407" max="9407" width="14.85546875" style="3" customWidth="1"/>
    <col min="9408" max="9408" width="20.7109375" style="3" customWidth="1"/>
    <col min="9409" max="9409" width="12.5703125" style="3" customWidth="1"/>
    <col min="9410" max="9410" width="13" style="3" customWidth="1"/>
    <col min="9411" max="9411" width="16" style="3" customWidth="1"/>
    <col min="9412" max="9412" width="6.42578125" style="3" customWidth="1"/>
    <col min="9413" max="9413" width="16" style="3" customWidth="1"/>
    <col min="9414" max="9414" width="2.85546875" style="3" customWidth="1"/>
    <col min="9415" max="9415" width="0.85546875" style="3" customWidth="1"/>
    <col min="9416" max="9416" width="11" style="3"/>
    <col min="9417" max="9417" width="15.42578125" style="3" customWidth="1"/>
    <col min="9418" max="9420" width="14.85546875" style="3" customWidth="1"/>
    <col min="9421" max="9421" width="0.7109375" style="3" customWidth="1"/>
    <col min="9422" max="9422" width="11" style="3"/>
    <col min="9423" max="9423" width="15.7109375" style="3" customWidth="1"/>
    <col min="9424" max="9425" width="14.85546875" style="3" customWidth="1"/>
    <col min="9426" max="9426" width="3.28515625" style="3" customWidth="1"/>
    <col min="9427" max="9427" width="20.140625" style="3" customWidth="1"/>
    <col min="9428" max="9428" width="3.28515625" style="3" customWidth="1"/>
    <col min="9429" max="9433" width="11" style="3"/>
    <col min="9434" max="9446" width="4.7109375" style="3" customWidth="1"/>
    <col min="9447" max="9656" width="11" style="3"/>
    <col min="9657" max="9657" width="0.7109375" style="3" customWidth="1"/>
    <col min="9658" max="9658" width="6.5703125" style="3" customWidth="1"/>
    <col min="9659" max="9659" width="13.5703125" style="3" customWidth="1"/>
    <col min="9660" max="9660" width="13.42578125" style="3" customWidth="1"/>
    <col min="9661" max="9662" width="12.5703125" style="3" customWidth="1"/>
    <col min="9663" max="9663" width="14.85546875" style="3" customWidth="1"/>
    <col min="9664" max="9664" width="20.7109375" style="3" customWidth="1"/>
    <col min="9665" max="9665" width="12.5703125" style="3" customWidth="1"/>
    <col min="9666" max="9666" width="13" style="3" customWidth="1"/>
    <col min="9667" max="9667" width="16" style="3" customWidth="1"/>
    <col min="9668" max="9668" width="6.42578125" style="3" customWidth="1"/>
    <col min="9669" max="9669" width="16" style="3" customWidth="1"/>
    <col min="9670" max="9670" width="2.85546875" style="3" customWidth="1"/>
    <col min="9671" max="9671" width="0.85546875" style="3" customWidth="1"/>
    <col min="9672" max="9672" width="11" style="3"/>
    <col min="9673" max="9673" width="15.42578125" style="3" customWidth="1"/>
    <col min="9674" max="9676" width="14.85546875" style="3" customWidth="1"/>
    <col min="9677" max="9677" width="0.7109375" style="3" customWidth="1"/>
    <col min="9678" max="9678" width="11" style="3"/>
    <col min="9679" max="9679" width="15.7109375" style="3" customWidth="1"/>
    <col min="9680" max="9681" width="14.85546875" style="3" customWidth="1"/>
    <col min="9682" max="9682" width="3.28515625" style="3" customWidth="1"/>
    <col min="9683" max="9683" width="20.140625" style="3" customWidth="1"/>
    <col min="9684" max="9684" width="3.28515625" style="3" customWidth="1"/>
    <col min="9685" max="9689" width="11" style="3"/>
    <col min="9690" max="9702" width="4.7109375" style="3" customWidth="1"/>
    <col min="9703" max="9912" width="11" style="3"/>
    <col min="9913" max="9913" width="0.7109375" style="3" customWidth="1"/>
    <col min="9914" max="9914" width="6.5703125" style="3" customWidth="1"/>
    <col min="9915" max="9915" width="13.5703125" style="3" customWidth="1"/>
    <col min="9916" max="9916" width="13.42578125" style="3" customWidth="1"/>
    <col min="9917" max="9918" width="12.5703125" style="3" customWidth="1"/>
    <col min="9919" max="9919" width="14.85546875" style="3" customWidth="1"/>
    <col min="9920" max="9920" width="20.7109375" style="3" customWidth="1"/>
    <col min="9921" max="9921" width="12.5703125" style="3" customWidth="1"/>
    <col min="9922" max="9922" width="13" style="3" customWidth="1"/>
    <col min="9923" max="9923" width="16" style="3" customWidth="1"/>
    <col min="9924" max="9924" width="6.42578125" style="3" customWidth="1"/>
    <col min="9925" max="9925" width="16" style="3" customWidth="1"/>
    <col min="9926" max="9926" width="2.85546875" style="3" customWidth="1"/>
    <col min="9927" max="9927" width="0.85546875" style="3" customWidth="1"/>
    <col min="9928" max="9928" width="11" style="3"/>
    <col min="9929" max="9929" width="15.42578125" style="3" customWidth="1"/>
    <col min="9930" max="9932" width="14.85546875" style="3" customWidth="1"/>
    <col min="9933" max="9933" width="0.7109375" style="3" customWidth="1"/>
    <col min="9934" max="9934" width="11" style="3"/>
    <col min="9935" max="9935" width="15.7109375" style="3" customWidth="1"/>
    <col min="9936" max="9937" width="14.85546875" style="3" customWidth="1"/>
    <col min="9938" max="9938" width="3.28515625" style="3" customWidth="1"/>
    <col min="9939" max="9939" width="20.140625" style="3" customWidth="1"/>
    <col min="9940" max="9940" width="3.28515625" style="3" customWidth="1"/>
    <col min="9941" max="9945" width="11" style="3"/>
    <col min="9946" max="9958" width="4.7109375" style="3" customWidth="1"/>
    <col min="9959" max="10168" width="11" style="3"/>
    <col min="10169" max="10169" width="0.7109375" style="3" customWidth="1"/>
    <col min="10170" max="10170" width="6.5703125" style="3" customWidth="1"/>
    <col min="10171" max="10171" width="13.5703125" style="3" customWidth="1"/>
    <col min="10172" max="10172" width="13.42578125" style="3" customWidth="1"/>
    <col min="10173" max="10174" width="12.5703125" style="3" customWidth="1"/>
    <col min="10175" max="10175" width="14.85546875" style="3" customWidth="1"/>
    <col min="10176" max="10176" width="20.7109375" style="3" customWidth="1"/>
    <col min="10177" max="10177" width="12.5703125" style="3" customWidth="1"/>
    <col min="10178" max="10178" width="13" style="3" customWidth="1"/>
    <col min="10179" max="10179" width="16" style="3" customWidth="1"/>
    <col min="10180" max="10180" width="6.42578125" style="3" customWidth="1"/>
    <col min="10181" max="10181" width="16" style="3" customWidth="1"/>
    <col min="10182" max="10182" width="2.85546875" style="3" customWidth="1"/>
    <col min="10183" max="10183" width="0.85546875" style="3" customWidth="1"/>
    <col min="10184" max="10184" width="11" style="3"/>
    <col min="10185" max="10185" width="15.42578125" style="3" customWidth="1"/>
    <col min="10186" max="10188" width="14.85546875" style="3" customWidth="1"/>
    <col min="10189" max="10189" width="0.7109375" style="3" customWidth="1"/>
    <col min="10190" max="10190" width="11" style="3"/>
    <col min="10191" max="10191" width="15.7109375" style="3" customWidth="1"/>
    <col min="10192" max="10193" width="14.85546875" style="3" customWidth="1"/>
    <col min="10194" max="10194" width="3.28515625" style="3" customWidth="1"/>
    <col min="10195" max="10195" width="20.140625" style="3" customWidth="1"/>
    <col min="10196" max="10196" width="3.28515625" style="3" customWidth="1"/>
    <col min="10197" max="10201" width="11" style="3"/>
    <col min="10202" max="10214" width="4.7109375" style="3" customWidth="1"/>
    <col min="10215" max="10424" width="11" style="3"/>
    <col min="10425" max="10425" width="0.7109375" style="3" customWidth="1"/>
    <col min="10426" max="10426" width="6.5703125" style="3" customWidth="1"/>
    <col min="10427" max="10427" width="13.5703125" style="3" customWidth="1"/>
    <col min="10428" max="10428" width="13.42578125" style="3" customWidth="1"/>
    <col min="10429" max="10430" width="12.5703125" style="3" customWidth="1"/>
    <col min="10431" max="10431" width="14.85546875" style="3" customWidth="1"/>
    <col min="10432" max="10432" width="20.7109375" style="3" customWidth="1"/>
    <col min="10433" max="10433" width="12.5703125" style="3" customWidth="1"/>
    <col min="10434" max="10434" width="13" style="3" customWidth="1"/>
    <col min="10435" max="10435" width="16" style="3" customWidth="1"/>
    <col min="10436" max="10436" width="6.42578125" style="3" customWidth="1"/>
    <col min="10437" max="10437" width="16" style="3" customWidth="1"/>
    <col min="10438" max="10438" width="2.85546875" style="3" customWidth="1"/>
    <col min="10439" max="10439" width="0.85546875" style="3" customWidth="1"/>
    <col min="10440" max="10440" width="11" style="3"/>
    <col min="10441" max="10441" width="15.42578125" style="3" customWidth="1"/>
    <col min="10442" max="10444" width="14.85546875" style="3" customWidth="1"/>
    <col min="10445" max="10445" width="0.7109375" style="3" customWidth="1"/>
    <col min="10446" max="10446" width="11" style="3"/>
    <col min="10447" max="10447" width="15.7109375" style="3" customWidth="1"/>
    <col min="10448" max="10449" width="14.85546875" style="3" customWidth="1"/>
    <col min="10450" max="10450" width="3.28515625" style="3" customWidth="1"/>
    <col min="10451" max="10451" width="20.140625" style="3" customWidth="1"/>
    <col min="10452" max="10452" width="3.28515625" style="3" customWidth="1"/>
    <col min="10453" max="10457" width="11" style="3"/>
    <col min="10458" max="10470" width="4.7109375" style="3" customWidth="1"/>
    <col min="10471" max="10680" width="11" style="3"/>
    <col min="10681" max="10681" width="0.7109375" style="3" customWidth="1"/>
    <col min="10682" max="10682" width="6.5703125" style="3" customWidth="1"/>
    <col min="10683" max="10683" width="13.5703125" style="3" customWidth="1"/>
    <col min="10684" max="10684" width="13.42578125" style="3" customWidth="1"/>
    <col min="10685" max="10686" width="12.5703125" style="3" customWidth="1"/>
    <col min="10687" max="10687" width="14.85546875" style="3" customWidth="1"/>
    <col min="10688" max="10688" width="20.7109375" style="3" customWidth="1"/>
    <col min="10689" max="10689" width="12.5703125" style="3" customWidth="1"/>
    <col min="10690" max="10690" width="13" style="3" customWidth="1"/>
    <col min="10691" max="10691" width="16" style="3" customWidth="1"/>
    <col min="10692" max="10692" width="6.42578125" style="3" customWidth="1"/>
    <col min="10693" max="10693" width="16" style="3" customWidth="1"/>
    <col min="10694" max="10694" width="2.85546875" style="3" customWidth="1"/>
    <col min="10695" max="10695" width="0.85546875" style="3" customWidth="1"/>
    <col min="10696" max="10696" width="11" style="3"/>
    <col min="10697" max="10697" width="15.42578125" style="3" customWidth="1"/>
    <col min="10698" max="10700" width="14.85546875" style="3" customWidth="1"/>
    <col min="10701" max="10701" width="0.7109375" style="3" customWidth="1"/>
    <col min="10702" max="10702" width="11" style="3"/>
    <col min="10703" max="10703" width="15.7109375" style="3" customWidth="1"/>
    <col min="10704" max="10705" width="14.85546875" style="3" customWidth="1"/>
    <col min="10706" max="10706" width="3.28515625" style="3" customWidth="1"/>
    <col min="10707" max="10707" width="20.140625" style="3" customWidth="1"/>
    <col min="10708" max="10708" width="3.28515625" style="3" customWidth="1"/>
    <col min="10709" max="10713" width="11" style="3"/>
    <col min="10714" max="10726" width="4.7109375" style="3" customWidth="1"/>
    <col min="10727" max="10936" width="11" style="3"/>
    <col min="10937" max="10937" width="0.7109375" style="3" customWidth="1"/>
    <col min="10938" max="10938" width="6.5703125" style="3" customWidth="1"/>
    <col min="10939" max="10939" width="13.5703125" style="3" customWidth="1"/>
    <col min="10940" max="10940" width="13.42578125" style="3" customWidth="1"/>
    <col min="10941" max="10942" width="12.5703125" style="3" customWidth="1"/>
    <col min="10943" max="10943" width="14.85546875" style="3" customWidth="1"/>
    <col min="10944" max="10944" width="20.7109375" style="3" customWidth="1"/>
    <col min="10945" max="10945" width="12.5703125" style="3" customWidth="1"/>
    <col min="10946" max="10946" width="13" style="3" customWidth="1"/>
    <col min="10947" max="10947" width="16" style="3" customWidth="1"/>
    <col min="10948" max="10948" width="6.42578125" style="3" customWidth="1"/>
    <col min="10949" max="10949" width="16" style="3" customWidth="1"/>
    <col min="10950" max="10950" width="2.85546875" style="3" customWidth="1"/>
    <col min="10951" max="10951" width="0.85546875" style="3" customWidth="1"/>
    <col min="10952" max="10952" width="11" style="3"/>
    <col min="10953" max="10953" width="15.42578125" style="3" customWidth="1"/>
    <col min="10954" max="10956" width="14.85546875" style="3" customWidth="1"/>
    <col min="10957" max="10957" width="0.7109375" style="3" customWidth="1"/>
    <col min="10958" max="10958" width="11" style="3"/>
    <col min="10959" max="10959" width="15.7109375" style="3" customWidth="1"/>
    <col min="10960" max="10961" width="14.85546875" style="3" customWidth="1"/>
    <col min="10962" max="10962" width="3.28515625" style="3" customWidth="1"/>
    <col min="10963" max="10963" width="20.140625" style="3" customWidth="1"/>
    <col min="10964" max="10964" width="3.28515625" style="3" customWidth="1"/>
    <col min="10965" max="10969" width="11" style="3"/>
    <col min="10970" max="10982" width="4.7109375" style="3" customWidth="1"/>
    <col min="10983" max="11192" width="11" style="3"/>
    <col min="11193" max="11193" width="0.7109375" style="3" customWidth="1"/>
    <col min="11194" max="11194" width="6.5703125" style="3" customWidth="1"/>
    <col min="11195" max="11195" width="13.5703125" style="3" customWidth="1"/>
    <col min="11196" max="11196" width="13.42578125" style="3" customWidth="1"/>
    <col min="11197" max="11198" width="12.5703125" style="3" customWidth="1"/>
    <col min="11199" max="11199" width="14.85546875" style="3" customWidth="1"/>
    <col min="11200" max="11200" width="20.7109375" style="3" customWidth="1"/>
    <col min="11201" max="11201" width="12.5703125" style="3" customWidth="1"/>
    <col min="11202" max="11202" width="13" style="3" customWidth="1"/>
    <col min="11203" max="11203" width="16" style="3" customWidth="1"/>
    <col min="11204" max="11204" width="6.42578125" style="3" customWidth="1"/>
    <col min="11205" max="11205" width="16" style="3" customWidth="1"/>
    <col min="11206" max="11206" width="2.85546875" style="3" customWidth="1"/>
    <col min="11207" max="11207" width="0.85546875" style="3" customWidth="1"/>
    <col min="11208" max="11208" width="11" style="3"/>
    <col min="11209" max="11209" width="15.42578125" style="3" customWidth="1"/>
    <col min="11210" max="11212" width="14.85546875" style="3" customWidth="1"/>
    <col min="11213" max="11213" width="0.7109375" style="3" customWidth="1"/>
    <col min="11214" max="11214" width="11" style="3"/>
    <col min="11215" max="11215" width="15.7109375" style="3" customWidth="1"/>
    <col min="11216" max="11217" width="14.85546875" style="3" customWidth="1"/>
    <col min="11218" max="11218" width="3.28515625" style="3" customWidth="1"/>
    <col min="11219" max="11219" width="20.140625" style="3" customWidth="1"/>
    <col min="11220" max="11220" width="3.28515625" style="3" customWidth="1"/>
    <col min="11221" max="11225" width="11" style="3"/>
    <col min="11226" max="11238" width="4.7109375" style="3" customWidth="1"/>
    <col min="11239" max="11448" width="11" style="3"/>
    <col min="11449" max="11449" width="0.7109375" style="3" customWidth="1"/>
    <col min="11450" max="11450" width="6.5703125" style="3" customWidth="1"/>
    <col min="11451" max="11451" width="13.5703125" style="3" customWidth="1"/>
    <col min="11452" max="11452" width="13.42578125" style="3" customWidth="1"/>
    <col min="11453" max="11454" width="12.5703125" style="3" customWidth="1"/>
    <col min="11455" max="11455" width="14.85546875" style="3" customWidth="1"/>
    <col min="11456" max="11456" width="20.7109375" style="3" customWidth="1"/>
    <col min="11457" max="11457" width="12.5703125" style="3" customWidth="1"/>
    <col min="11458" max="11458" width="13" style="3" customWidth="1"/>
    <col min="11459" max="11459" width="16" style="3" customWidth="1"/>
    <col min="11460" max="11460" width="6.42578125" style="3" customWidth="1"/>
    <col min="11461" max="11461" width="16" style="3" customWidth="1"/>
    <col min="11462" max="11462" width="2.85546875" style="3" customWidth="1"/>
    <col min="11463" max="11463" width="0.85546875" style="3" customWidth="1"/>
    <col min="11464" max="11464" width="11" style="3"/>
    <col min="11465" max="11465" width="15.42578125" style="3" customWidth="1"/>
    <col min="11466" max="11468" width="14.85546875" style="3" customWidth="1"/>
    <col min="11469" max="11469" width="0.7109375" style="3" customWidth="1"/>
    <col min="11470" max="11470" width="11" style="3"/>
    <col min="11471" max="11471" width="15.7109375" style="3" customWidth="1"/>
    <col min="11472" max="11473" width="14.85546875" style="3" customWidth="1"/>
    <col min="11474" max="11474" width="3.28515625" style="3" customWidth="1"/>
    <col min="11475" max="11475" width="20.140625" style="3" customWidth="1"/>
    <col min="11476" max="11476" width="3.28515625" style="3" customWidth="1"/>
    <col min="11477" max="11481" width="11" style="3"/>
    <col min="11482" max="11494" width="4.7109375" style="3" customWidth="1"/>
    <col min="11495" max="11704" width="11" style="3"/>
    <col min="11705" max="11705" width="0.7109375" style="3" customWidth="1"/>
    <col min="11706" max="11706" width="6.5703125" style="3" customWidth="1"/>
    <col min="11707" max="11707" width="13.5703125" style="3" customWidth="1"/>
    <col min="11708" max="11708" width="13.42578125" style="3" customWidth="1"/>
    <col min="11709" max="11710" width="12.5703125" style="3" customWidth="1"/>
    <col min="11711" max="11711" width="14.85546875" style="3" customWidth="1"/>
    <col min="11712" max="11712" width="20.7109375" style="3" customWidth="1"/>
    <col min="11713" max="11713" width="12.5703125" style="3" customWidth="1"/>
    <col min="11714" max="11714" width="13" style="3" customWidth="1"/>
    <col min="11715" max="11715" width="16" style="3" customWidth="1"/>
    <col min="11716" max="11716" width="6.42578125" style="3" customWidth="1"/>
    <col min="11717" max="11717" width="16" style="3" customWidth="1"/>
    <col min="11718" max="11718" width="2.85546875" style="3" customWidth="1"/>
    <col min="11719" max="11719" width="0.85546875" style="3" customWidth="1"/>
    <col min="11720" max="11720" width="11" style="3"/>
    <col min="11721" max="11721" width="15.42578125" style="3" customWidth="1"/>
    <col min="11722" max="11724" width="14.85546875" style="3" customWidth="1"/>
    <col min="11725" max="11725" width="0.7109375" style="3" customWidth="1"/>
    <col min="11726" max="11726" width="11" style="3"/>
    <col min="11727" max="11727" width="15.7109375" style="3" customWidth="1"/>
    <col min="11728" max="11729" width="14.85546875" style="3" customWidth="1"/>
    <col min="11730" max="11730" width="3.28515625" style="3" customWidth="1"/>
    <col min="11731" max="11731" width="20.140625" style="3" customWidth="1"/>
    <col min="11732" max="11732" width="3.28515625" style="3" customWidth="1"/>
    <col min="11733" max="11737" width="11" style="3"/>
    <col min="11738" max="11750" width="4.7109375" style="3" customWidth="1"/>
    <col min="11751" max="11960" width="11" style="3"/>
    <col min="11961" max="11961" width="0.7109375" style="3" customWidth="1"/>
    <col min="11962" max="11962" width="6.5703125" style="3" customWidth="1"/>
    <col min="11963" max="11963" width="13.5703125" style="3" customWidth="1"/>
    <col min="11964" max="11964" width="13.42578125" style="3" customWidth="1"/>
    <col min="11965" max="11966" width="12.5703125" style="3" customWidth="1"/>
    <col min="11967" max="11967" width="14.85546875" style="3" customWidth="1"/>
    <col min="11968" max="11968" width="20.7109375" style="3" customWidth="1"/>
    <col min="11969" max="11969" width="12.5703125" style="3" customWidth="1"/>
    <col min="11970" max="11970" width="13" style="3" customWidth="1"/>
    <col min="11971" max="11971" width="16" style="3" customWidth="1"/>
    <col min="11972" max="11972" width="6.42578125" style="3" customWidth="1"/>
    <col min="11973" max="11973" width="16" style="3" customWidth="1"/>
    <col min="11974" max="11974" width="2.85546875" style="3" customWidth="1"/>
    <col min="11975" max="11975" width="0.85546875" style="3" customWidth="1"/>
    <col min="11976" max="11976" width="11" style="3"/>
    <col min="11977" max="11977" width="15.42578125" style="3" customWidth="1"/>
    <col min="11978" max="11980" width="14.85546875" style="3" customWidth="1"/>
    <col min="11981" max="11981" width="0.7109375" style="3" customWidth="1"/>
    <col min="11982" max="11982" width="11" style="3"/>
    <col min="11983" max="11983" width="15.7109375" style="3" customWidth="1"/>
    <col min="11984" max="11985" width="14.85546875" style="3" customWidth="1"/>
    <col min="11986" max="11986" width="3.28515625" style="3" customWidth="1"/>
    <col min="11987" max="11987" width="20.140625" style="3" customWidth="1"/>
    <col min="11988" max="11988" width="3.28515625" style="3" customWidth="1"/>
    <col min="11989" max="11993" width="11" style="3"/>
    <col min="11994" max="12006" width="4.7109375" style="3" customWidth="1"/>
    <col min="12007" max="12216" width="11" style="3"/>
    <col min="12217" max="12217" width="0.7109375" style="3" customWidth="1"/>
    <col min="12218" max="12218" width="6.5703125" style="3" customWidth="1"/>
    <col min="12219" max="12219" width="13.5703125" style="3" customWidth="1"/>
    <col min="12220" max="12220" width="13.42578125" style="3" customWidth="1"/>
    <col min="12221" max="12222" width="12.5703125" style="3" customWidth="1"/>
    <col min="12223" max="12223" width="14.85546875" style="3" customWidth="1"/>
    <col min="12224" max="12224" width="20.7109375" style="3" customWidth="1"/>
    <col min="12225" max="12225" width="12.5703125" style="3" customWidth="1"/>
    <col min="12226" max="12226" width="13" style="3" customWidth="1"/>
    <col min="12227" max="12227" width="16" style="3" customWidth="1"/>
    <col min="12228" max="12228" width="6.42578125" style="3" customWidth="1"/>
    <col min="12229" max="12229" width="16" style="3" customWidth="1"/>
    <col min="12230" max="12230" width="2.85546875" style="3" customWidth="1"/>
    <col min="12231" max="12231" width="0.85546875" style="3" customWidth="1"/>
    <col min="12232" max="12232" width="11" style="3"/>
    <col min="12233" max="12233" width="15.42578125" style="3" customWidth="1"/>
    <col min="12234" max="12236" width="14.85546875" style="3" customWidth="1"/>
    <col min="12237" max="12237" width="0.7109375" style="3" customWidth="1"/>
    <col min="12238" max="12238" width="11" style="3"/>
    <col min="12239" max="12239" width="15.7109375" style="3" customWidth="1"/>
    <col min="12240" max="12241" width="14.85546875" style="3" customWidth="1"/>
    <col min="12242" max="12242" width="3.28515625" style="3" customWidth="1"/>
    <col min="12243" max="12243" width="20.140625" style="3" customWidth="1"/>
    <col min="12244" max="12244" width="3.28515625" style="3" customWidth="1"/>
    <col min="12245" max="12249" width="11" style="3"/>
    <col min="12250" max="12262" width="4.7109375" style="3" customWidth="1"/>
    <col min="12263" max="12472" width="11" style="3"/>
    <col min="12473" max="12473" width="0.7109375" style="3" customWidth="1"/>
    <col min="12474" max="12474" width="6.5703125" style="3" customWidth="1"/>
    <col min="12475" max="12475" width="13.5703125" style="3" customWidth="1"/>
    <col min="12476" max="12476" width="13.42578125" style="3" customWidth="1"/>
    <col min="12477" max="12478" width="12.5703125" style="3" customWidth="1"/>
    <col min="12479" max="12479" width="14.85546875" style="3" customWidth="1"/>
    <col min="12480" max="12480" width="20.7109375" style="3" customWidth="1"/>
    <col min="12481" max="12481" width="12.5703125" style="3" customWidth="1"/>
    <col min="12482" max="12482" width="13" style="3" customWidth="1"/>
    <col min="12483" max="12483" width="16" style="3" customWidth="1"/>
    <col min="12484" max="12484" width="6.42578125" style="3" customWidth="1"/>
    <col min="12485" max="12485" width="16" style="3" customWidth="1"/>
    <col min="12486" max="12486" width="2.85546875" style="3" customWidth="1"/>
    <col min="12487" max="12487" width="0.85546875" style="3" customWidth="1"/>
    <col min="12488" max="12488" width="11" style="3"/>
    <col min="12489" max="12489" width="15.42578125" style="3" customWidth="1"/>
    <col min="12490" max="12492" width="14.85546875" style="3" customWidth="1"/>
    <col min="12493" max="12493" width="0.7109375" style="3" customWidth="1"/>
    <col min="12494" max="12494" width="11" style="3"/>
    <col min="12495" max="12495" width="15.7109375" style="3" customWidth="1"/>
    <col min="12496" max="12497" width="14.85546875" style="3" customWidth="1"/>
    <col min="12498" max="12498" width="3.28515625" style="3" customWidth="1"/>
    <col min="12499" max="12499" width="20.140625" style="3" customWidth="1"/>
    <col min="12500" max="12500" width="3.28515625" style="3" customWidth="1"/>
    <col min="12501" max="12505" width="11" style="3"/>
    <col min="12506" max="12518" width="4.7109375" style="3" customWidth="1"/>
    <col min="12519" max="12728" width="11" style="3"/>
    <col min="12729" max="12729" width="0.7109375" style="3" customWidth="1"/>
    <col min="12730" max="12730" width="6.5703125" style="3" customWidth="1"/>
    <col min="12731" max="12731" width="13.5703125" style="3" customWidth="1"/>
    <col min="12732" max="12732" width="13.42578125" style="3" customWidth="1"/>
    <col min="12733" max="12734" width="12.5703125" style="3" customWidth="1"/>
    <col min="12735" max="12735" width="14.85546875" style="3" customWidth="1"/>
    <col min="12736" max="12736" width="20.7109375" style="3" customWidth="1"/>
    <col min="12737" max="12737" width="12.5703125" style="3" customWidth="1"/>
    <col min="12738" max="12738" width="13" style="3" customWidth="1"/>
    <col min="12739" max="12739" width="16" style="3" customWidth="1"/>
    <col min="12740" max="12740" width="6.42578125" style="3" customWidth="1"/>
    <col min="12741" max="12741" width="16" style="3" customWidth="1"/>
    <col min="12742" max="12742" width="2.85546875" style="3" customWidth="1"/>
    <col min="12743" max="12743" width="0.85546875" style="3" customWidth="1"/>
    <col min="12744" max="12744" width="11" style="3"/>
    <col min="12745" max="12745" width="15.42578125" style="3" customWidth="1"/>
    <col min="12746" max="12748" width="14.85546875" style="3" customWidth="1"/>
    <col min="12749" max="12749" width="0.7109375" style="3" customWidth="1"/>
    <col min="12750" max="12750" width="11" style="3"/>
    <col min="12751" max="12751" width="15.7109375" style="3" customWidth="1"/>
    <col min="12752" max="12753" width="14.85546875" style="3" customWidth="1"/>
    <col min="12754" max="12754" width="3.28515625" style="3" customWidth="1"/>
    <col min="12755" max="12755" width="20.140625" style="3" customWidth="1"/>
    <col min="12756" max="12756" width="3.28515625" style="3" customWidth="1"/>
    <col min="12757" max="12761" width="11" style="3"/>
    <col min="12762" max="12774" width="4.7109375" style="3" customWidth="1"/>
    <col min="12775" max="12984" width="11" style="3"/>
    <col min="12985" max="12985" width="0.7109375" style="3" customWidth="1"/>
    <col min="12986" max="12986" width="6.5703125" style="3" customWidth="1"/>
    <col min="12987" max="12987" width="13.5703125" style="3" customWidth="1"/>
    <col min="12988" max="12988" width="13.42578125" style="3" customWidth="1"/>
    <col min="12989" max="12990" width="12.5703125" style="3" customWidth="1"/>
    <col min="12991" max="12991" width="14.85546875" style="3" customWidth="1"/>
    <col min="12992" max="12992" width="20.7109375" style="3" customWidth="1"/>
    <col min="12993" max="12993" width="12.5703125" style="3" customWidth="1"/>
    <col min="12994" max="12994" width="13" style="3" customWidth="1"/>
    <col min="12995" max="12995" width="16" style="3" customWidth="1"/>
    <col min="12996" max="12996" width="6.42578125" style="3" customWidth="1"/>
    <col min="12997" max="12997" width="16" style="3" customWidth="1"/>
    <col min="12998" max="12998" width="2.85546875" style="3" customWidth="1"/>
    <col min="12999" max="12999" width="0.85546875" style="3" customWidth="1"/>
    <col min="13000" max="13000" width="11" style="3"/>
    <col min="13001" max="13001" width="15.42578125" style="3" customWidth="1"/>
    <col min="13002" max="13004" width="14.85546875" style="3" customWidth="1"/>
    <col min="13005" max="13005" width="0.7109375" style="3" customWidth="1"/>
    <col min="13006" max="13006" width="11" style="3"/>
    <col min="13007" max="13007" width="15.7109375" style="3" customWidth="1"/>
    <col min="13008" max="13009" width="14.85546875" style="3" customWidth="1"/>
    <col min="13010" max="13010" width="3.28515625" style="3" customWidth="1"/>
    <col min="13011" max="13011" width="20.140625" style="3" customWidth="1"/>
    <col min="13012" max="13012" width="3.28515625" style="3" customWidth="1"/>
    <col min="13013" max="13017" width="11" style="3"/>
    <col min="13018" max="13030" width="4.7109375" style="3" customWidth="1"/>
    <col min="13031" max="13240" width="11" style="3"/>
    <col min="13241" max="13241" width="0.7109375" style="3" customWidth="1"/>
    <col min="13242" max="13242" width="6.5703125" style="3" customWidth="1"/>
    <col min="13243" max="13243" width="13.5703125" style="3" customWidth="1"/>
    <col min="13244" max="13244" width="13.42578125" style="3" customWidth="1"/>
    <col min="13245" max="13246" width="12.5703125" style="3" customWidth="1"/>
    <col min="13247" max="13247" width="14.85546875" style="3" customWidth="1"/>
    <col min="13248" max="13248" width="20.7109375" style="3" customWidth="1"/>
    <col min="13249" max="13249" width="12.5703125" style="3" customWidth="1"/>
    <col min="13250" max="13250" width="13" style="3" customWidth="1"/>
    <col min="13251" max="13251" width="16" style="3" customWidth="1"/>
    <col min="13252" max="13252" width="6.42578125" style="3" customWidth="1"/>
    <col min="13253" max="13253" width="16" style="3" customWidth="1"/>
    <col min="13254" max="13254" width="2.85546875" style="3" customWidth="1"/>
    <col min="13255" max="13255" width="0.85546875" style="3" customWidth="1"/>
    <col min="13256" max="13256" width="11" style="3"/>
    <col min="13257" max="13257" width="15.42578125" style="3" customWidth="1"/>
    <col min="13258" max="13260" width="14.85546875" style="3" customWidth="1"/>
    <col min="13261" max="13261" width="0.7109375" style="3" customWidth="1"/>
    <col min="13262" max="13262" width="11" style="3"/>
    <col min="13263" max="13263" width="15.7109375" style="3" customWidth="1"/>
    <col min="13264" max="13265" width="14.85546875" style="3" customWidth="1"/>
    <col min="13266" max="13266" width="3.28515625" style="3" customWidth="1"/>
    <col min="13267" max="13267" width="20.140625" style="3" customWidth="1"/>
    <col min="13268" max="13268" width="3.28515625" style="3" customWidth="1"/>
    <col min="13269" max="13273" width="11" style="3"/>
    <col min="13274" max="13286" width="4.7109375" style="3" customWidth="1"/>
    <col min="13287" max="13496" width="11" style="3"/>
    <col min="13497" max="13497" width="0.7109375" style="3" customWidth="1"/>
    <col min="13498" max="13498" width="6.5703125" style="3" customWidth="1"/>
    <col min="13499" max="13499" width="13.5703125" style="3" customWidth="1"/>
    <col min="13500" max="13500" width="13.42578125" style="3" customWidth="1"/>
    <col min="13501" max="13502" width="12.5703125" style="3" customWidth="1"/>
    <col min="13503" max="13503" width="14.85546875" style="3" customWidth="1"/>
    <col min="13504" max="13504" width="20.7109375" style="3" customWidth="1"/>
    <col min="13505" max="13505" width="12.5703125" style="3" customWidth="1"/>
    <col min="13506" max="13506" width="13" style="3" customWidth="1"/>
    <col min="13507" max="13507" width="16" style="3" customWidth="1"/>
    <col min="13508" max="13508" width="6.42578125" style="3" customWidth="1"/>
    <col min="13509" max="13509" width="16" style="3" customWidth="1"/>
    <col min="13510" max="13510" width="2.85546875" style="3" customWidth="1"/>
    <col min="13511" max="13511" width="0.85546875" style="3" customWidth="1"/>
    <col min="13512" max="13512" width="11" style="3"/>
    <col min="13513" max="13513" width="15.42578125" style="3" customWidth="1"/>
    <col min="13514" max="13516" width="14.85546875" style="3" customWidth="1"/>
    <col min="13517" max="13517" width="0.7109375" style="3" customWidth="1"/>
    <col min="13518" max="13518" width="11" style="3"/>
    <col min="13519" max="13519" width="15.7109375" style="3" customWidth="1"/>
    <col min="13520" max="13521" width="14.85546875" style="3" customWidth="1"/>
    <col min="13522" max="13522" width="3.28515625" style="3" customWidth="1"/>
    <col min="13523" max="13523" width="20.140625" style="3" customWidth="1"/>
    <col min="13524" max="13524" width="3.28515625" style="3" customWidth="1"/>
    <col min="13525" max="13529" width="11" style="3"/>
    <col min="13530" max="13542" width="4.7109375" style="3" customWidth="1"/>
    <col min="13543" max="13752" width="11" style="3"/>
    <col min="13753" max="13753" width="0.7109375" style="3" customWidth="1"/>
    <col min="13754" max="13754" width="6.5703125" style="3" customWidth="1"/>
    <col min="13755" max="13755" width="13.5703125" style="3" customWidth="1"/>
    <col min="13756" max="13756" width="13.42578125" style="3" customWidth="1"/>
    <col min="13757" max="13758" width="12.5703125" style="3" customWidth="1"/>
    <col min="13759" max="13759" width="14.85546875" style="3" customWidth="1"/>
    <col min="13760" max="13760" width="20.7109375" style="3" customWidth="1"/>
    <col min="13761" max="13761" width="12.5703125" style="3" customWidth="1"/>
    <col min="13762" max="13762" width="13" style="3" customWidth="1"/>
    <col min="13763" max="13763" width="16" style="3" customWidth="1"/>
    <col min="13764" max="13764" width="6.42578125" style="3" customWidth="1"/>
    <col min="13765" max="13765" width="16" style="3" customWidth="1"/>
    <col min="13766" max="13766" width="2.85546875" style="3" customWidth="1"/>
    <col min="13767" max="13767" width="0.85546875" style="3" customWidth="1"/>
    <col min="13768" max="13768" width="11" style="3"/>
    <col min="13769" max="13769" width="15.42578125" style="3" customWidth="1"/>
    <col min="13770" max="13772" width="14.85546875" style="3" customWidth="1"/>
    <col min="13773" max="13773" width="0.7109375" style="3" customWidth="1"/>
    <col min="13774" max="13774" width="11" style="3"/>
    <col min="13775" max="13775" width="15.7109375" style="3" customWidth="1"/>
    <col min="13776" max="13777" width="14.85546875" style="3" customWidth="1"/>
    <col min="13778" max="13778" width="3.28515625" style="3" customWidth="1"/>
    <col min="13779" max="13779" width="20.140625" style="3" customWidth="1"/>
    <col min="13780" max="13780" width="3.28515625" style="3" customWidth="1"/>
    <col min="13781" max="13785" width="11" style="3"/>
    <col min="13786" max="13798" width="4.7109375" style="3" customWidth="1"/>
    <col min="13799" max="14008" width="11" style="3"/>
    <col min="14009" max="14009" width="0.7109375" style="3" customWidth="1"/>
    <col min="14010" max="14010" width="6.5703125" style="3" customWidth="1"/>
    <col min="14011" max="14011" width="13.5703125" style="3" customWidth="1"/>
    <col min="14012" max="14012" width="13.42578125" style="3" customWidth="1"/>
    <col min="14013" max="14014" width="12.5703125" style="3" customWidth="1"/>
    <col min="14015" max="14015" width="14.85546875" style="3" customWidth="1"/>
    <col min="14016" max="14016" width="20.7109375" style="3" customWidth="1"/>
    <col min="14017" max="14017" width="12.5703125" style="3" customWidth="1"/>
    <col min="14018" max="14018" width="13" style="3" customWidth="1"/>
    <col min="14019" max="14019" width="16" style="3" customWidth="1"/>
    <col min="14020" max="14020" width="6.42578125" style="3" customWidth="1"/>
    <col min="14021" max="14021" width="16" style="3" customWidth="1"/>
    <col min="14022" max="14022" width="2.85546875" style="3" customWidth="1"/>
    <col min="14023" max="14023" width="0.85546875" style="3" customWidth="1"/>
    <col min="14024" max="14024" width="11" style="3"/>
    <col min="14025" max="14025" width="15.42578125" style="3" customWidth="1"/>
    <col min="14026" max="14028" width="14.85546875" style="3" customWidth="1"/>
    <col min="14029" max="14029" width="0.7109375" style="3" customWidth="1"/>
    <col min="14030" max="14030" width="11" style="3"/>
    <col min="14031" max="14031" width="15.7109375" style="3" customWidth="1"/>
    <col min="14032" max="14033" width="14.85546875" style="3" customWidth="1"/>
    <col min="14034" max="14034" width="3.28515625" style="3" customWidth="1"/>
    <col min="14035" max="14035" width="20.140625" style="3" customWidth="1"/>
    <col min="14036" max="14036" width="3.28515625" style="3" customWidth="1"/>
    <col min="14037" max="14041" width="11" style="3"/>
    <col min="14042" max="14054" width="4.7109375" style="3" customWidth="1"/>
    <col min="14055" max="14264" width="11" style="3"/>
    <col min="14265" max="14265" width="0.7109375" style="3" customWidth="1"/>
    <col min="14266" max="14266" width="6.5703125" style="3" customWidth="1"/>
    <col min="14267" max="14267" width="13.5703125" style="3" customWidth="1"/>
    <col min="14268" max="14268" width="13.42578125" style="3" customWidth="1"/>
    <col min="14269" max="14270" width="12.5703125" style="3" customWidth="1"/>
    <col min="14271" max="14271" width="14.85546875" style="3" customWidth="1"/>
    <col min="14272" max="14272" width="20.7109375" style="3" customWidth="1"/>
    <col min="14273" max="14273" width="12.5703125" style="3" customWidth="1"/>
    <col min="14274" max="14274" width="13" style="3" customWidth="1"/>
    <col min="14275" max="14275" width="16" style="3" customWidth="1"/>
    <col min="14276" max="14276" width="6.42578125" style="3" customWidth="1"/>
    <col min="14277" max="14277" width="16" style="3" customWidth="1"/>
    <col min="14278" max="14278" width="2.85546875" style="3" customWidth="1"/>
    <col min="14279" max="14279" width="0.85546875" style="3" customWidth="1"/>
    <col min="14280" max="14280" width="11" style="3"/>
    <col min="14281" max="14281" width="15.42578125" style="3" customWidth="1"/>
    <col min="14282" max="14284" width="14.85546875" style="3" customWidth="1"/>
    <col min="14285" max="14285" width="0.7109375" style="3" customWidth="1"/>
    <col min="14286" max="14286" width="11" style="3"/>
    <col min="14287" max="14287" width="15.7109375" style="3" customWidth="1"/>
    <col min="14288" max="14289" width="14.85546875" style="3" customWidth="1"/>
    <col min="14290" max="14290" width="3.28515625" style="3" customWidth="1"/>
    <col min="14291" max="14291" width="20.140625" style="3" customWidth="1"/>
    <col min="14292" max="14292" width="3.28515625" style="3" customWidth="1"/>
    <col min="14293" max="14297" width="11" style="3"/>
    <col min="14298" max="14310" width="4.7109375" style="3" customWidth="1"/>
    <col min="14311" max="14520" width="11" style="3"/>
    <col min="14521" max="14521" width="0.7109375" style="3" customWidth="1"/>
    <col min="14522" max="14522" width="6.5703125" style="3" customWidth="1"/>
    <col min="14523" max="14523" width="13.5703125" style="3" customWidth="1"/>
    <col min="14524" max="14524" width="13.42578125" style="3" customWidth="1"/>
    <col min="14525" max="14526" width="12.5703125" style="3" customWidth="1"/>
    <col min="14527" max="14527" width="14.85546875" style="3" customWidth="1"/>
    <col min="14528" max="14528" width="20.7109375" style="3" customWidth="1"/>
    <col min="14529" max="14529" width="12.5703125" style="3" customWidth="1"/>
    <col min="14530" max="14530" width="13" style="3" customWidth="1"/>
    <col min="14531" max="14531" width="16" style="3" customWidth="1"/>
    <col min="14532" max="14532" width="6.42578125" style="3" customWidth="1"/>
    <col min="14533" max="14533" width="16" style="3" customWidth="1"/>
    <col min="14534" max="14534" width="2.85546875" style="3" customWidth="1"/>
    <col min="14535" max="14535" width="0.85546875" style="3" customWidth="1"/>
    <col min="14536" max="14536" width="11" style="3"/>
    <col min="14537" max="14537" width="15.42578125" style="3" customWidth="1"/>
    <col min="14538" max="14540" width="14.85546875" style="3" customWidth="1"/>
    <col min="14541" max="14541" width="0.7109375" style="3" customWidth="1"/>
    <col min="14542" max="14542" width="11" style="3"/>
    <col min="14543" max="14543" width="15.7109375" style="3" customWidth="1"/>
    <col min="14544" max="14545" width="14.85546875" style="3" customWidth="1"/>
    <col min="14546" max="14546" width="3.28515625" style="3" customWidth="1"/>
    <col min="14547" max="14547" width="20.140625" style="3" customWidth="1"/>
    <col min="14548" max="14548" width="3.28515625" style="3" customWidth="1"/>
    <col min="14549" max="14553" width="11" style="3"/>
    <col min="14554" max="14566" width="4.7109375" style="3" customWidth="1"/>
    <col min="14567" max="14776" width="11" style="3"/>
    <col min="14777" max="14777" width="0.7109375" style="3" customWidth="1"/>
    <col min="14778" max="14778" width="6.5703125" style="3" customWidth="1"/>
    <col min="14779" max="14779" width="13.5703125" style="3" customWidth="1"/>
    <col min="14780" max="14780" width="13.42578125" style="3" customWidth="1"/>
    <col min="14781" max="14782" width="12.5703125" style="3" customWidth="1"/>
    <col min="14783" max="14783" width="14.85546875" style="3" customWidth="1"/>
    <col min="14784" max="14784" width="20.7109375" style="3" customWidth="1"/>
    <col min="14785" max="14785" width="12.5703125" style="3" customWidth="1"/>
    <col min="14786" max="14786" width="13" style="3" customWidth="1"/>
    <col min="14787" max="14787" width="16" style="3" customWidth="1"/>
    <col min="14788" max="14788" width="6.42578125" style="3" customWidth="1"/>
    <col min="14789" max="14789" width="16" style="3" customWidth="1"/>
    <col min="14790" max="14790" width="2.85546875" style="3" customWidth="1"/>
    <col min="14791" max="14791" width="0.85546875" style="3" customWidth="1"/>
    <col min="14792" max="14792" width="11" style="3"/>
    <col min="14793" max="14793" width="15.42578125" style="3" customWidth="1"/>
    <col min="14794" max="14796" width="14.85546875" style="3" customWidth="1"/>
    <col min="14797" max="14797" width="0.7109375" style="3" customWidth="1"/>
    <col min="14798" max="14798" width="11" style="3"/>
    <col min="14799" max="14799" width="15.7109375" style="3" customWidth="1"/>
    <col min="14800" max="14801" width="14.85546875" style="3" customWidth="1"/>
    <col min="14802" max="14802" width="3.28515625" style="3" customWidth="1"/>
    <col min="14803" max="14803" width="20.140625" style="3" customWidth="1"/>
    <col min="14804" max="14804" width="3.28515625" style="3" customWidth="1"/>
    <col min="14805" max="14809" width="11" style="3"/>
    <col min="14810" max="14822" width="4.7109375" style="3" customWidth="1"/>
    <col min="14823" max="15032" width="11" style="3"/>
    <col min="15033" max="15033" width="0.7109375" style="3" customWidth="1"/>
    <col min="15034" max="15034" width="6.5703125" style="3" customWidth="1"/>
    <col min="15035" max="15035" width="13.5703125" style="3" customWidth="1"/>
    <col min="15036" max="15036" width="13.42578125" style="3" customWidth="1"/>
    <col min="15037" max="15038" width="12.5703125" style="3" customWidth="1"/>
    <col min="15039" max="15039" width="14.85546875" style="3" customWidth="1"/>
    <col min="15040" max="15040" width="20.7109375" style="3" customWidth="1"/>
    <col min="15041" max="15041" width="12.5703125" style="3" customWidth="1"/>
    <col min="15042" max="15042" width="13" style="3" customWidth="1"/>
    <col min="15043" max="15043" width="16" style="3" customWidth="1"/>
    <col min="15044" max="15044" width="6.42578125" style="3" customWidth="1"/>
    <col min="15045" max="15045" width="16" style="3" customWidth="1"/>
    <col min="15046" max="15046" width="2.85546875" style="3" customWidth="1"/>
    <col min="15047" max="15047" width="0.85546875" style="3" customWidth="1"/>
    <col min="15048" max="15048" width="11" style="3"/>
    <col min="15049" max="15049" width="15.42578125" style="3" customWidth="1"/>
    <col min="15050" max="15052" width="14.85546875" style="3" customWidth="1"/>
    <col min="15053" max="15053" width="0.7109375" style="3" customWidth="1"/>
    <col min="15054" max="15054" width="11" style="3"/>
    <col min="15055" max="15055" width="15.7109375" style="3" customWidth="1"/>
    <col min="15056" max="15057" width="14.85546875" style="3" customWidth="1"/>
    <col min="15058" max="15058" width="3.28515625" style="3" customWidth="1"/>
    <col min="15059" max="15059" width="20.140625" style="3" customWidth="1"/>
    <col min="15060" max="15060" width="3.28515625" style="3" customWidth="1"/>
    <col min="15061" max="15065" width="11" style="3"/>
    <col min="15066" max="15078" width="4.7109375" style="3" customWidth="1"/>
    <col min="15079" max="15288" width="11" style="3"/>
    <col min="15289" max="15289" width="0.7109375" style="3" customWidth="1"/>
    <col min="15290" max="15290" width="6.5703125" style="3" customWidth="1"/>
    <col min="15291" max="15291" width="13.5703125" style="3" customWidth="1"/>
    <col min="15292" max="15292" width="13.42578125" style="3" customWidth="1"/>
    <col min="15293" max="15294" width="12.5703125" style="3" customWidth="1"/>
    <col min="15295" max="15295" width="14.85546875" style="3" customWidth="1"/>
    <col min="15296" max="15296" width="20.7109375" style="3" customWidth="1"/>
    <col min="15297" max="15297" width="12.5703125" style="3" customWidth="1"/>
    <col min="15298" max="15298" width="13" style="3" customWidth="1"/>
    <col min="15299" max="15299" width="16" style="3" customWidth="1"/>
    <col min="15300" max="15300" width="6.42578125" style="3" customWidth="1"/>
    <col min="15301" max="15301" width="16" style="3" customWidth="1"/>
    <col min="15302" max="15302" width="2.85546875" style="3" customWidth="1"/>
    <col min="15303" max="15303" width="0.85546875" style="3" customWidth="1"/>
    <col min="15304" max="15304" width="11" style="3"/>
    <col min="15305" max="15305" width="15.42578125" style="3" customWidth="1"/>
    <col min="15306" max="15308" width="14.85546875" style="3" customWidth="1"/>
    <col min="15309" max="15309" width="0.7109375" style="3" customWidth="1"/>
    <col min="15310" max="15310" width="11" style="3"/>
    <col min="15311" max="15311" width="15.7109375" style="3" customWidth="1"/>
    <col min="15312" max="15313" width="14.85546875" style="3" customWidth="1"/>
    <col min="15314" max="15314" width="3.28515625" style="3" customWidth="1"/>
    <col min="15315" max="15315" width="20.140625" style="3" customWidth="1"/>
    <col min="15316" max="15316" width="3.28515625" style="3" customWidth="1"/>
    <col min="15317" max="15321" width="11" style="3"/>
    <col min="15322" max="15334" width="4.7109375" style="3" customWidth="1"/>
    <col min="15335" max="15544" width="11" style="3"/>
    <col min="15545" max="15545" width="0.7109375" style="3" customWidth="1"/>
    <col min="15546" max="15546" width="6.5703125" style="3" customWidth="1"/>
    <col min="15547" max="15547" width="13.5703125" style="3" customWidth="1"/>
    <col min="15548" max="15548" width="13.42578125" style="3" customWidth="1"/>
    <col min="15549" max="15550" width="12.5703125" style="3" customWidth="1"/>
    <col min="15551" max="15551" width="14.85546875" style="3" customWidth="1"/>
    <col min="15552" max="15552" width="20.7109375" style="3" customWidth="1"/>
    <col min="15553" max="15553" width="12.5703125" style="3" customWidth="1"/>
    <col min="15554" max="15554" width="13" style="3" customWidth="1"/>
    <col min="15555" max="15555" width="16" style="3" customWidth="1"/>
    <col min="15556" max="15556" width="6.42578125" style="3" customWidth="1"/>
    <col min="15557" max="15557" width="16" style="3" customWidth="1"/>
    <col min="15558" max="15558" width="2.85546875" style="3" customWidth="1"/>
    <col min="15559" max="15559" width="0.85546875" style="3" customWidth="1"/>
    <col min="15560" max="15560" width="11" style="3"/>
    <col min="15561" max="15561" width="15.42578125" style="3" customWidth="1"/>
    <col min="15562" max="15564" width="14.85546875" style="3" customWidth="1"/>
    <col min="15565" max="15565" width="0.7109375" style="3" customWidth="1"/>
    <col min="15566" max="15566" width="11" style="3"/>
    <col min="15567" max="15567" width="15.7109375" style="3" customWidth="1"/>
    <col min="15568" max="15569" width="14.85546875" style="3" customWidth="1"/>
    <col min="15570" max="15570" width="3.28515625" style="3" customWidth="1"/>
    <col min="15571" max="15571" width="20.140625" style="3" customWidth="1"/>
    <col min="15572" max="15572" width="3.28515625" style="3" customWidth="1"/>
    <col min="15573" max="15577" width="11" style="3"/>
    <col min="15578" max="15590" width="4.7109375" style="3" customWidth="1"/>
    <col min="15591" max="15800" width="11" style="3"/>
    <col min="15801" max="15801" width="0.7109375" style="3" customWidth="1"/>
    <col min="15802" max="15802" width="6.5703125" style="3" customWidth="1"/>
    <col min="15803" max="15803" width="13.5703125" style="3" customWidth="1"/>
    <col min="15804" max="15804" width="13.42578125" style="3" customWidth="1"/>
    <col min="15805" max="15806" width="12.5703125" style="3" customWidth="1"/>
    <col min="15807" max="15807" width="14.85546875" style="3" customWidth="1"/>
    <col min="15808" max="15808" width="20.7109375" style="3" customWidth="1"/>
    <col min="15809" max="15809" width="12.5703125" style="3" customWidth="1"/>
    <col min="15810" max="15810" width="13" style="3" customWidth="1"/>
    <col min="15811" max="15811" width="16" style="3" customWidth="1"/>
    <col min="15812" max="15812" width="6.42578125" style="3" customWidth="1"/>
    <col min="15813" max="15813" width="16" style="3" customWidth="1"/>
    <col min="15814" max="15814" width="2.85546875" style="3" customWidth="1"/>
    <col min="15815" max="15815" width="0.85546875" style="3" customWidth="1"/>
    <col min="15816" max="15816" width="11" style="3"/>
    <col min="15817" max="15817" width="15.42578125" style="3" customWidth="1"/>
    <col min="15818" max="15820" width="14.85546875" style="3" customWidth="1"/>
    <col min="15821" max="15821" width="0.7109375" style="3" customWidth="1"/>
    <col min="15822" max="15822" width="11" style="3"/>
    <col min="15823" max="15823" width="15.7109375" style="3" customWidth="1"/>
    <col min="15824" max="15825" width="14.85546875" style="3" customWidth="1"/>
    <col min="15826" max="15826" width="3.28515625" style="3" customWidth="1"/>
    <col min="15827" max="15827" width="20.140625" style="3" customWidth="1"/>
    <col min="15828" max="15828" width="3.28515625" style="3" customWidth="1"/>
    <col min="15829" max="15833" width="11" style="3"/>
    <col min="15834" max="15846" width="4.7109375" style="3" customWidth="1"/>
    <col min="15847" max="16056" width="11" style="3"/>
    <col min="16057" max="16057" width="0.7109375" style="3" customWidth="1"/>
    <col min="16058" max="16058" width="6.5703125" style="3" customWidth="1"/>
    <col min="16059" max="16059" width="13.5703125" style="3" customWidth="1"/>
    <col min="16060" max="16060" width="13.42578125" style="3" customWidth="1"/>
    <col min="16061" max="16062" width="12.5703125" style="3" customWidth="1"/>
    <col min="16063" max="16063" width="14.85546875" style="3" customWidth="1"/>
    <col min="16064" max="16064" width="20.7109375" style="3" customWidth="1"/>
    <col min="16065" max="16065" width="12.5703125" style="3" customWidth="1"/>
    <col min="16066" max="16066" width="13" style="3" customWidth="1"/>
    <col min="16067" max="16067" width="16" style="3" customWidth="1"/>
    <col min="16068" max="16068" width="6.42578125" style="3" customWidth="1"/>
    <col min="16069" max="16069" width="16" style="3" customWidth="1"/>
    <col min="16070" max="16070" width="2.85546875" style="3" customWidth="1"/>
    <col min="16071" max="16071" width="0.85546875" style="3" customWidth="1"/>
    <col min="16072" max="16072" width="11" style="3"/>
    <col min="16073" max="16073" width="15.42578125" style="3" customWidth="1"/>
    <col min="16074" max="16076" width="14.85546875" style="3" customWidth="1"/>
    <col min="16077" max="16077" width="0.7109375" style="3" customWidth="1"/>
    <col min="16078" max="16078" width="11" style="3"/>
    <col min="16079" max="16079" width="15.7109375" style="3" customWidth="1"/>
    <col min="16080" max="16081" width="14.85546875" style="3" customWidth="1"/>
    <col min="16082" max="16082" width="3.28515625" style="3" customWidth="1"/>
    <col min="16083" max="16083" width="20.140625" style="3" customWidth="1"/>
    <col min="16084" max="16084" width="3.28515625" style="3" customWidth="1"/>
    <col min="16085" max="16089" width="11" style="3"/>
    <col min="16090" max="16102" width="4.7109375" style="3" customWidth="1"/>
    <col min="16103" max="16384" width="11" style="3"/>
  </cols>
  <sheetData>
    <row r="1" spans="1:28" s="1" customFormat="1" ht="19.5" customHeight="1">
      <c r="A1" s="236"/>
      <c r="B1" s="237"/>
      <c r="C1" s="179" t="s">
        <v>0</v>
      </c>
      <c r="D1" s="179"/>
      <c r="E1" s="179"/>
      <c r="F1" s="179"/>
      <c r="G1" s="179"/>
      <c r="H1" s="179"/>
      <c r="I1" s="179"/>
      <c r="J1" s="179"/>
      <c r="K1" s="180" t="s">
        <v>1</v>
      </c>
      <c r="L1" s="181"/>
      <c r="O1" s="80"/>
      <c r="P1" s="80"/>
      <c r="Q1" s="80"/>
      <c r="R1" s="80"/>
      <c r="S1" s="80"/>
      <c r="T1" s="80"/>
      <c r="U1" s="80"/>
      <c r="V1" s="80"/>
      <c r="W1" s="80"/>
      <c r="X1" s="80"/>
      <c r="Y1" s="80"/>
      <c r="Z1" s="80"/>
      <c r="AA1" s="80"/>
    </row>
    <row r="2" spans="1:28" s="1" customFormat="1" ht="19.5" customHeight="1">
      <c r="A2" s="238"/>
      <c r="B2" s="186"/>
      <c r="C2" s="241" t="s">
        <v>2</v>
      </c>
      <c r="D2" s="241"/>
      <c r="E2" s="241"/>
      <c r="F2" s="241"/>
      <c r="G2" s="241"/>
      <c r="H2" s="241"/>
      <c r="I2" s="241"/>
      <c r="J2" s="241"/>
      <c r="K2" s="182" t="s">
        <v>89</v>
      </c>
      <c r="L2" s="183"/>
      <c r="O2" s="80"/>
      <c r="P2" s="80"/>
      <c r="Q2" s="80"/>
      <c r="R2" s="80"/>
      <c r="S2" s="80"/>
      <c r="T2" s="80"/>
      <c r="U2" s="80"/>
      <c r="V2" s="80"/>
      <c r="W2" s="80"/>
      <c r="X2" s="80"/>
      <c r="Y2" s="80"/>
      <c r="Z2" s="80"/>
      <c r="AA2" s="80"/>
    </row>
    <row r="3" spans="1:28" s="1" customFormat="1" ht="19.5" customHeight="1">
      <c r="A3" s="238"/>
      <c r="B3" s="186"/>
      <c r="C3" s="241"/>
      <c r="D3" s="241"/>
      <c r="E3" s="241"/>
      <c r="F3" s="241"/>
      <c r="G3" s="241"/>
      <c r="H3" s="241"/>
      <c r="I3" s="241"/>
      <c r="J3" s="241"/>
      <c r="K3" s="182" t="s">
        <v>3</v>
      </c>
      <c r="L3" s="183"/>
      <c r="Q3" s="132"/>
      <c r="R3" s="80"/>
      <c r="T3" s="132" t="s">
        <v>4</v>
      </c>
      <c r="U3" s="132"/>
      <c r="V3" s="80"/>
      <c r="W3" s="80"/>
      <c r="X3" s="80"/>
      <c r="Y3" s="80"/>
      <c r="Z3" s="80"/>
      <c r="AA3" s="80"/>
    </row>
    <row r="4" spans="1:28" s="1" customFormat="1" ht="19.5" customHeight="1" thickBot="1">
      <c r="A4" s="239"/>
      <c r="B4" s="240"/>
      <c r="C4" s="242"/>
      <c r="D4" s="242"/>
      <c r="E4" s="242"/>
      <c r="F4" s="242"/>
      <c r="G4" s="242"/>
      <c r="H4" s="242"/>
      <c r="I4" s="242"/>
      <c r="J4" s="242"/>
      <c r="K4" s="184" t="s">
        <v>88</v>
      </c>
      <c r="L4" s="185"/>
      <c r="Q4" s="132"/>
      <c r="R4" s="80"/>
      <c r="S4" s="132"/>
      <c r="T4" s="132"/>
      <c r="U4" s="132"/>
      <c r="V4" s="80"/>
      <c r="W4" s="80"/>
      <c r="X4" s="80"/>
      <c r="Y4" s="80"/>
      <c r="Z4" s="80"/>
      <c r="AA4" s="80"/>
    </row>
    <row r="5" spans="1:28" s="1" customFormat="1" ht="3.95" customHeight="1" thickBot="1">
      <c r="A5" s="5"/>
      <c r="B5" s="186"/>
      <c r="C5" s="186"/>
      <c r="D5" s="186"/>
      <c r="E5" s="186"/>
      <c r="F5" s="186"/>
      <c r="G5" s="186"/>
      <c r="H5" s="186"/>
      <c r="I5" s="186"/>
      <c r="J5" s="186"/>
      <c r="K5" s="186"/>
      <c r="L5" s="81"/>
      <c r="Q5" s="132"/>
      <c r="R5" s="132"/>
      <c r="T5" s="132"/>
      <c r="U5" s="132"/>
      <c r="V5" s="80"/>
      <c r="W5" s="80"/>
      <c r="X5" s="80"/>
      <c r="Y5" s="80"/>
      <c r="Z5" s="80"/>
      <c r="AA5" s="80"/>
      <c r="AB5" s="80"/>
    </row>
    <row r="6" spans="1:28" s="1" customFormat="1" ht="22.5" customHeight="1">
      <c r="A6" s="6"/>
      <c r="B6" s="7" t="s">
        <v>5</v>
      </c>
      <c r="C6" s="273" t="s">
        <v>91</v>
      </c>
      <c r="D6" s="273"/>
      <c r="E6" s="273"/>
      <c r="F6" s="273"/>
      <c r="G6" s="273"/>
      <c r="H6" s="188" t="s">
        <v>6</v>
      </c>
      <c r="I6" s="188"/>
      <c r="J6" s="189">
        <v>45884</v>
      </c>
      <c r="K6" s="189"/>
      <c r="L6" s="190"/>
      <c r="Q6" s="80"/>
      <c r="R6" s="80"/>
      <c r="T6" s="133" t="s">
        <v>7</v>
      </c>
      <c r="U6" s="80"/>
      <c r="V6" s="80"/>
      <c r="W6" s="80"/>
      <c r="X6" s="80"/>
      <c r="Y6" s="80"/>
      <c r="Z6" s="80"/>
      <c r="AA6" s="80"/>
      <c r="AB6" s="80"/>
    </row>
    <row r="7" spans="1:28" s="1" customFormat="1" ht="24.75" customHeight="1">
      <c r="A7" s="5"/>
      <c r="B7" s="9" t="s">
        <v>8</v>
      </c>
      <c r="C7" s="274" t="s">
        <v>92</v>
      </c>
      <c r="D7" s="274"/>
      <c r="E7" s="274"/>
      <c r="F7" s="274"/>
      <c r="G7" s="274"/>
      <c r="H7" s="192" t="s">
        <v>9</v>
      </c>
      <c r="I7" s="192"/>
      <c r="J7" s="193">
        <v>45937</v>
      </c>
      <c r="K7" s="193"/>
      <c r="L7" s="194"/>
      <c r="Q7" s="80"/>
      <c r="R7" s="80"/>
      <c r="T7" s="133" t="s">
        <v>10</v>
      </c>
      <c r="U7" s="80"/>
      <c r="V7" s="80"/>
      <c r="W7" s="80"/>
      <c r="X7" s="80"/>
      <c r="Y7" s="80"/>
      <c r="Z7" s="80"/>
      <c r="AA7" s="80"/>
      <c r="AB7" s="80"/>
    </row>
    <row r="8" spans="1:28" s="1" customFormat="1" ht="22.5" customHeight="1">
      <c r="A8" s="5"/>
      <c r="B8" s="9" t="s">
        <v>11</v>
      </c>
      <c r="C8" s="271" t="s">
        <v>12</v>
      </c>
      <c r="D8" s="272"/>
      <c r="E8" s="272"/>
      <c r="F8" s="272"/>
      <c r="G8" s="272"/>
      <c r="H8" s="192" t="s">
        <v>13</v>
      </c>
      <c r="I8" s="192"/>
      <c r="J8" s="193">
        <v>45968</v>
      </c>
      <c r="K8" s="193"/>
      <c r="L8" s="194"/>
      <c r="Q8" s="80"/>
      <c r="R8" s="80"/>
      <c r="S8" s="1">
        <f>17-2.57</f>
        <v>14.43</v>
      </c>
      <c r="T8" s="133" t="s">
        <v>14</v>
      </c>
      <c r="U8" s="80"/>
      <c r="V8" s="80"/>
      <c r="W8" s="80"/>
      <c r="X8" s="80"/>
      <c r="Y8" s="80"/>
      <c r="Z8" s="80"/>
      <c r="AA8" s="80"/>
      <c r="AB8" s="80"/>
    </row>
    <row r="9" spans="1:28" s="1" customFormat="1" ht="22.5" customHeight="1">
      <c r="A9" s="5"/>
      <c r="B9" s="9" t="s">
        <v>15</v>
      </c>
      <c r="C9" s="202" t="s">
        <v>93</v>
      </c>
      <c r="D9" s="202"/>
      <c r="E9" s="202"/>
      <c r="F9" s="202"/>
      <c r="G9" s="202"/>
      <c r="H9" s="192" t="s">
        <v>16</v>
      </c>
      <c r="I9" s="192"/>
      <c r="J9" s="82" t="s">
        <v>17</v>
      </c>
      <c r="K9" s="83" t="s">
        <v>90</v>
      </c>
      <c r="L9" s="84" t="s">
        <v>85</v>
      </c>
      <c r="Q9" s="80"/>
      <c r="R9" s="80"/>
      <c r="T9" s="133" t="s">
        <v>18</v>
      </c>
      <c r="U9" s="80"/>
      <c r="V9" s="80"/>
      <c r="W9" s="80"/>
      <c r="X9" s="80"/>
      <c r="Y9" s="80"/>
      <c r="Z9" s="80"/>
      <c r="AA9" s="80"/>
      <c r="AB9" s="80"/>
    </row>
    <row r="10" spans="1:28" s="1" customFormat="1" ht="22.5" customHeight="1">
      <c r="A10" s="5"/>
      <c r="B10" s="10" t="s">
        <v>19</v>
      </c>
      <c r="C10" s="202" t="s">
        <v>20</v>
      </c>
      <c r="D10" s="202"/>
      <c r="E10" s="202"/>
      <c r="F10" s="202"/>
      <c r="G10" s="202"/>
      <c r="H10" s="196" t="s">
        <v>21</v>
      </c>
      <c r="I10" s="196"/>
      <c r="J10" s="197" t="str">
        <f>CONCATENATE(K9,," ",L9,"-",D12,"-",F12)</f>
        <v>056 25-LA T-V- ROZO AP1-4</v>
      </c>
      <c r="K10" s="197"/>
      <c r="L10" s="198"/>
      <c r="Q10" s="80"/>
      <c r="R10" s="80"/>
      <c r="T10" s="133" t="s">
        <v>22</v>
      </c>
      <c r="U10" s="80"/>
      <c r="V10" s="80"/>
      <c r="W10" s="80"/>
      <c r="X10" s="80"/>
      <c r="Y10" s="80"/>
      <c r="Z10" s="80"/>
      <c r="AA10" s="80"/>
      <c r="AB10" s="80"/>
    </row>
    <row r="11" spans="1:28" s="1" customFormat="1" ht="3.95" customHeight="1" thickBot="1">
      <c r="A11" s="11"/>
      <c r="B11" s="199"/>
      <c r="C11" s="199"/>
      <c r="D11" s="199"/>
      <c r="E11" s="199"/>
      <c r="F11" s="199"/>
      <c r="G11" s="199"/>
      <c r="H11" s="199"/>
      <c r="I11" s="199"/>
      <c r="J11" s="199"/>
      <c r="K11" s="199"/>
      <c r="L11" s="85"/>
      <c r="Q11" s="80"/>
      <c r="R11" s="80"/>
      <c r="T11" s="133"/>
      <c r="U11" s="80"/>
      <c r="V11" s="80"/>
      <c r="W11" s="80"/>
      <c r="X11" s="80"/>
      <c r="Y11" s="80"/>
      <c r="Z11" s="80"/>
      <c r="AA11" s="80"/>
      <c r="AB11" s="80"/>
    </row>
    <row r="12" spans="1:28" s="1" customFormat="1" ht="22.5" customHeight="1">
      <c r="A12" s="6"/>
      <c r="B12" s="7" t="s">
        <v>23</v>
      </c>
      <c r="C12" s="12" t="s">
        <v>10</v>
      </c>
      <c r="D12" s="13" t="s">
        <v>124</v>
      </c>
      <c r="E12" s="14" t="s">
        <v>24</v>
      </c>
      <c r="F12" s="200">
        <v>4</v>
      </c>
      <c r="G12" s="200"/>
      <c r="H12" s="201" t="s">
        <v>25</v>
      </c>
      <c r="I12" s="201"/>
      <c r="J12" s="86">
        <v>1.8</v>
      </c>
      <c r="K12" s="87" t="s">
        <v>26</v>
      </c>
      <c r="L12" s="88">
        <v>2</v>
      </c>
      <c r="Q12" s="80"/>
      <c r="R12" s="80"/>
      <c r="T12" s="133"/>
      <c r="U12" s="80"/>
      <c r="V12" s="80"/>
      <c r="W12" s="80"/>
      <c r="X12" s="80"/>
      <c r="Y12" s="80"/>
      <c r="Z12" s="80"/>
      <c r="AA12" s="80"/>
      <c r="AB12" s="80"/>
    </row>
    <row r="13" spans="1:28" s="1" customFormat="1" ht="22.5" customHeight="1">
      <c r="A13" s="5"/>
      <c r="B13" s="9" t="s">
        <v>27</v>
      </c>
      <c r="C13" s="202" t="s">
        <v>133</v>
      </c>
      <c r="D13" s="202"/>
      <c r="E13" s="202"/>
      <c r="F13" s="202"/>
      <c r="G13" s="202"/>
      <c r="H13" s="202"/>
      <c r="I13" s="202"/>
      <c r="J13" s="202"/>
      <c r="K13" s="202"/>
      <c r="L13" s="203"/>
      <c r="O13" s="1">
        <f>-MOD1</f>
        <v>0</v>
      </c>
      <c r="Q13" s="80"/>
      <c r="R13" s="80"/>
      <c r="T13" s="133"/>
      <c r="U13" s="80"/>
      <c r="V13" s="80"/>
      <c r="W13" s="80"/>
      <c r="X13" s="80"/>
      <c r="Y13" s="80"/>
      <c r="Z13" s="80"/>
      <c r="AA13" s="80"/>
      <c r="AB13" s="80"/>
    </row>
    <row r="14" spans="1:28" s="1" customFormat="1" ht="6.95" customHeight="1" thickBot="1">
      <c r="A14" s="11"/>
      <c r="B14" s="15"/>
      <c r="C14" s="16"/>
      <c r="D14" s="16"/>
      <c r="E14" s="16"/>
      <c r="F14" s="16"/>
      <c r="G14" s="16"/>
      <c r="H14" s="16"/>
      <c r="I14" s="16"/>
      <c r="J14" s="16"/>
      <c r="K14" s="16"/>
      <c r="L14" s="89"/>
      <c r="P14" s="80"/>
      <c r="Q14" s="80"/>
      <c r="R14" s="80"/>
      <c r="S14" s="80"/>
      <c r="T14" s="80"/>
      <c r="U14" s="80"/>
      <c r="V14" s="80"/>
      <c r="W14" s="80"/>
      <c r="X14" s="80"/>
      <c r="Y14" s="80"/>
      <c r="Z14" s="80"/>
      <c r="AA14" s="80"/>
      <c r="AB14" s="80"/>
    </row>
    <row r="15" spans="1:28" ht="14.25" customHeight="1" thickBot="1">
      <c r="A15" s="17"/>
      <c r="B15" s="18"/>
      <c r="C15" s="18"/>
      <c r="D15" s="18"/>
      <c r="E15" s="18"/>
      <c r="F15" s="18"/>
      <c r="G15" s="18"/>
      <c r="H15" s="18"/>
      <c r="I15" s="18"/>
      <c r="J15" s="18"/>
      <c r="K15" s="18"/>
      <c r="L15" s="90"/>
    </row>
    <row r="16" spans="1:28" ht="22.5" customHeight="1" thickBot="1">
      <c r="A16" s="204"/>
      <c r="B16" s="205"/>
      <c r="C16" s="205"/>
      <c r="D16" s="205"/>
      <c r="E16" s="205"/>
      <c r="F16" s="205"/>
      <c r="G16" s="205"/>
      <c r="H16" s="205"/>
      <c r="I16" s="205"/>
      <c r="J16" s="205"/>
      <c r="K16" s="205"/>
      <c r="L16" s="206"/>
    </row>
    <row r="17" spans="1:19" ht="22.5" customHeight="1" thickBot="1">
      <c r="A17" s="17"/>
      <c r="B17" s="18"/>
      <c r="C17" s="18"/>
      <c r="D17" s="18"/>
      <c r="E17" s="18"/>
      <c r="F17" s="18"/>
      <c r="G17" s="19"/>
      <c r="H17" s="19"/>
      <c r="I17" s="19"/>
      <c r="J17" s="19"/>
      <c r="K17" s="19"/>
      <c r="L17" s="91"/>
    </row>
    <row r="18" spans="1:19" s="2" customFormat="1" ht="22.5" customHeight="1" thickBot="1">
      <c r="A18" s="207" t="s">
        <v>28</v>
      </c>
      <c r="B18" s="208"/>
      <c r="C18" s="208"/>
      <c r="D18" s="208"/>
      <c r="E18" s="209"/>
      <c r="F18" s="20"/>
      <c r="G18" s="207" t="s">
        <v>28</v>
      </c>
      <c r="H18" s="208"/>
      <c r="I18" s="208"/>
      <c r="J18" s="208"/>
      <c r="K18" s="208"/>
      <c r="L18" s="209"/>
      <c r="O18" s="92"/>
    </row>
    <row r="19" spans="1:19" s="2" customFormat="1" ht="27.75" customHeight="1" thickBot="1">
      <c r="A19" s="210"/>
      <c r="B19" s="211"/>
      <c r="C19" s="211"/>
      <c r="D19" s="22" t="s">
        <v>29</v>
      </c>
      <c r="E19" s="23" t="s">
        <v>30</v>
      </c>
      <c r="F19" s="24"/>
      <c r="G19" s="243" t="s">
        <v>31</v>
      </c>
      <c r="H19" s="244"/>
      <c r="I19" s="212" t="s">
        <v>32</v>
      </c>
      <c r="J19" s="213"/>
      <c r="K19" s="214" t="s">
        <v>33</v>
      </c>
      <c r="L19" s="215"/>
    </row>
    <row r="20" spans="1:19" s="2" customFormat="1" ht="22.5" customHeight="1">
      <c r="A20" s="216" t="s">
        <v>34</v>
      </c>
      <c r="B20" s="217"/>
      <c r="C20" s="25"/>
      <c r="D20" s="26">
        <v>2080</v>
      </c>
      <c r="E20" s="27">
        <v>2080</v>
      </c>
      <c r="F20" s="28"/>
      <c r="G20" s="245"/>
      <c r="H20" s="246"/>
      <c r="I20" s="93" t="s">
        <v>35</v>
      </c>
      <c r="J20" s="168" t="s">
        <v>36</v>
      </c>
      <c r="K20" s="95" t="s">
        <v>37</v>
      </c>
      <c r="L20" s="150" t="s">
        <v>36</v>
      </c>
      <c r="N20" s="92"/>
    </row>
    <row r="21" spans="1:19" s="2" customFormat="1" ht="22.5" customHeight="1">
      <c r="A21" s="216" t="s">
        <v>38</v>
      </c>
      <c r="B21" s="217"/>
      <c r="C21" s="25" t="s">
        <v>39</v>
      </c>
      <c r="D21" s="160">
        <v>15.5</v>
      </c>
      <c r="E21" s="161">
        <f>D21</f>
        <v>15.5</v>
      </c>
      <c r="F21" s="31"/>
      <c r="G21" s="96" t="s">
        <v>40</v>
      </c>
      <c r="H21" s="32" t="s">
        <v>41</v>
      </c>
      <c r="I21" s="96" t="s">
        <v>42</v>
      </c>
      <c r="J21" s="151" t="s">
        <v>43</v>
      </c>
      <c r="K21" s="96" t="s">
        <v>42</v>
      </c>
      <c r="L21" s="151" t="s">
        <v>43</v>
      </c>
      <c r="N21" s="97"/>
    </row>
    <row r="22" spans="1:19" s="2" customFormat="1" ht="22.5" customHeight="1">
      <c r="A22" s="216" t="s">
        <v>44</v>
      </c>
      <c r="B22" s="217"/>
      <c r="C22" s="25" t="s">
        <v>39</v>
      </c>
      <c r="D22" s="160">
        <v>14.7</v>
      </c>
      <c r="E22" s="161">
        <f>D22+E39</f>
        <v>14.7</v>
      </c>
      <c r="F22" s="31"/>
      <c r="G22" s="145">
        <v>0</v>
      </c>
      <c r="H22" s="33">
        <v>0</v>
      </c>
      <c r="I22" s="144">
        <v>0</v>
      </c>
      <c r="J22" s="152">
        <v>0</v>
      </c>
      <c r="K22" s="144">
        <v>0</v>
      </c>
      <c r="L22" s="152">
        <v>0</v>
      </c>
      <c r="N22" s="97"/>
      <c r="O22" s="2">
        <v>0.11700000000000001</v>
      </c>
      <c r="S22" s="2">
        <v>4.4999999999999998E-2</v>
      </c>
    </row>
    <row r="23" spans="1:19" s="2" customFormat="1" ht="22.5" customHeight="1">
      <c r="A23" s="216" t="s">
        <v>45</v>
      </c>
      <c r="B23" s="217"/>
      <c r="C23" s="34" t="s">
        <v>46</v>
      </c>
      <c r="D23" s="35">
        <v>10744</v>
      </c>
      <c r="E23" s="36">
        <v>10894</v>
      </c>
      <c r="F23" s="31"/>
      <c r="G23" s="145">
        <v>5.0000000000000001E-3</v>
      </c>
      <c r="H23" s="33">
        <v>0.127</v>
      </c>
      <c r="I23" s="144">
        <f>O22</f>
        <v>0.11700000000000001</v>
      </c>
      <c r="J23" s="153">
        <f t="shared" ref="J23:J34" si="0">((I23/19.32)*10)</f>
        <v>6.0559006211180127E-2</v>
      </c>
      <c r="K23" s="98">
        <f>S22</f>
        <v>4.4999999999999998E-2</v>
      </c>
      <c r="L23" s="153">
        <f t="shared" ref="L23:L34" si="1">((K23/19.32)*10)</f>
        <v>2.3291925465838512E-2</v>
      </c>
      <c r="N23" s="97"/>
      <c r="O23" s="2">
        <v>0.183</v>
      </c>
      <c r="S23" s="2">
        <v>0.113</v>
      </c>
    </row>
    <row r="24" spans="1:19" s="2" customFormat="1" ht="22.5" customHeight="1">
      <c r="A24" s="216" t="s">
        <v>47</v>
      </c>
      <c r="B24" s="217"/>
      <c r="C24" s="34" t="s">
        <v>46</v>
      </c>
      <c r="D24" s="167">
        <v>6232</v>
      </c>
      <c r="E24" s="37">
        <f>D24</f>
        <v>6232</v>
      </c>
      <c r="F24" s="38"/>
      <c r="G24" s="145">
        <v>2.5000000000000001E-2</v>
      </c>
      <c r="H24" s="33">
        <v>0.63500000000000001</v>
      </c>
      <c r="I24" s="144">
        <f t="shared" ref="I24:I34" si="2">O23</f>
        <v>0.183</v>
      </c>
      <c r="J24" s="153">
        <f t="shared" si="0"/>
        <v>9.4720496894409936E-2</v>
      </c>
      <c r="K24" s="98">
        <f t="shared" ref="K24:K34" si="3">S23</f>
        <v>0.113</v>
      </c>
      <c r="L24" s="153">
        <f t="shared" si="1"/>
        <v>5.8488612836438927E-2</v>
      </c>
      <c r="N24" s="97"/>
      <c r="O24" s="2">
        <v>0.25800000000000001</v>
      </c>
      <c r="S24" s="2">
        <v>0.17499999999999999</v>
      </c>
    </row>
    <row r="25" spans="1:19" s="2" customFormat="1" ht="22.5" customHeight="1">
      <c r="A25" s="216" t="s">
        <v>48</v>
      </c>
      <c r="B25" s="217"/>
      <c r="C25" s="34" t="s">
        <v>46</v>
      </c>
      <c r="D25" s="39">
        <f>+D23-D24</f>
        <v>4512</v>
      </c>
      <c r="E25" s="40">
        <f>E23-E24</f>
        <v>4662</v>
      </c>
      <c r="F25" s="41"/>
      <c r="G25" s="145">
        <v>0.05</v>
      </c>
      <c r="H25" s="33">
        <v>1.27</v>
      </c>
      <c r="I25" s="144">
        <f t="shared" si="2"/>
        <v>0.25800000000000001</v>
      </c>
      <c r="J25" s="153">
        <f t="shared" si="0"/>
        <v>0.13354037267080746</v>
      </c>
      <c r="K25" s="98">
        <f t="shared" si="3"/>
        <v>0.17499999999999999</v>
      </c>
      <c r="L25" s="153">
        <f t="shared" si="1"/>
        <v>9.0579710144927522E-2</v>
      </c>
      <c r="N25" s="97"/>
      <c r="O25" s="2">
        <v>0.32400000000000001</v>
      </c>
      <c r="S25" s="2">
        <v>0.221</v>
      </c>
    </row>
    <row r="26" spans="1:19" s="2" customFormat="1" ht="22.5" customHeight="1">
      <c r="A26" s="216" t="s">
        <v>49</v>
      </c>
      <c r="B26" s="217"/>
      <c r="C26" s="34" t="s">
        <v>50</v>
      </c>
      <c r="D26" s="39">
        <f>((PI()*(D21*D21))/4)*D22</f>
        <v>2773.771058716683</v>
      </c>
      <c r="E26" s="174">
        <f>((PI()*(E21*E21))/4)*E22</f>
        <v>2773.771058716683</v>
      </c>
      <c r="F26" s="41"/>
      <c r="G26" s="145">
        <v>7.4999999999999997E-2</v>
      </c>
      <c r="H26" s="33">
        <v>1.905</v>
      </c>
      <c r="I26" s="144">
        <f t="shared" si="2"/>
        <v>0.32400000000000001</v>
      </c>
      <c r="J26" s="153">
        <f t="shared" si="0"/>
        <v>0.16770186335403728</v>
      </c>
      <c r="K26" s="98">
        <f t="shared" si="3"/>
        <v>0.221</v>
      </c>
      <c r="L26" s="153">
        <f t="shared" si="1"/>
        <v>0.11438923395445136</v>
      </c>
      <c r="N26" s="97"/>
      <c r="O26" s="2">
        <v>0.376</v>
      </c>
      <c r="S26" s="2">
        <v>0.255</v>
      </c>
    </row>
    <row r="27" spans="1:19" s="2" customFormat="1" ht="22.5" customHeight="1">
      <c r="A27" s="216" t="s">
        <v>51</v>
      </c>
      <c r="B27" s="217"/>
      <c r="C27" s="34" t="s">
        <v>52</v>
      </c>
      <c r="D27" s="42">
        <f>D25/D26</f>
        <v>1.6266663342026246</v>
      </c>
      <c r="E27" s="175">
        <f>E25/E26</f>
        <v>1.6807443373343609</v>
      </c>
      <c r="F27" s="44"/>
      <c r="G27" s="146">
        <v>0.1</v>
      </c>
      <c r="H27" s="45">
        <v>2.54</v>
      </c>
      <c r="I27" s="154">
        <f t="shared" si="2"/>
        <v>0.376</v>
      </c>
      <c r="J27" s="155">
        <f t="shared" si="0"/>
        <v>0.19461697722567287</v>
      </c>
      <c r="K27" s="158">
        <f t="shared" si="3"/>
        <v>0.255</v>
      </c>
      <c r="L27" s="155">
        <f t="shared" si="1"/>
        <v>0.13198757763975155</v>
      </c>
      <c r="N27" s="97"/>
      <c r="O27" s="2">
        <v>0.433</v>
      </c>
      <c r="S27" s="2">
        <v>0.29299999999999998</v>
      </c>
    </row>
    <row r="28" spans="1:19" s="2" customFormat="1" ht="22.5" customHeight="1" thickBot="1">
      <c r="A28" s="218" t="s">
        <v>53</v>
      </c>
      <c r="B28" s="219"/>
      <c r="C28" s="46" t="s">
        <v>52</v>
      </c>
      <c r="D28" s="47">
        <f>D27/(1+D34/100)</f>
        <v>1.3058994109601834</v>
      </c>
      <c r="E28" s="48">
        <f>E27/(1+E34/100)</f>
        <v>1.3139730966414989</v>
      </c>
      <c r="F28" s="49"/>
      <c r="G28" s="145">
        <v>0.125</v>
      </c>
      <c r="H28" s="33">
        <v>3.1749999999999998</v>
      </c>
      <c r="I28" s="144">
        <f t="shared" si="2"/>
        <v>0.433</v>
      </c>
      <c r="J28" s="153">
        <f t="shared" si="0"/>
        <v>0.22412008281573498</v>
      </c>
      <c r="K28" s="98">
        <f t="shared" si="3"/>
        <v>0.29299999999999998</v>
      </c>
      <c r="L28" s="153">
        <f t="shared" si="1"/>
        <v>0.15165631469979296</v>
      </c>
      <c r="N28" s="97"/>
      <c r="O28" s="2">
        <v>0.48599999999999999</v>
      </c>
      <c r="S28" s="2">
        <v>0.32800000000000001</v>
      </c>
    </row>
    <row r="29" spans="1:19" s="2" customFormat="1" ht="22.5" customHeight="1" thickBot="1">
      <c r="A29" s="207" t="s">
        <v>54</v>
      </c>
      <c r="B29" s="208" t="s">
        <v>54</v>
      </c>
      <c r="C29" s="208"/>
      <c r="D29" s="208"/>
      <c r="E29" s="209"/>
      <c r="F29" s="49"/>
      <c r="G29" s="147">
        <v>0.15</v>
      </c>
      <c r="H29" s="33">
        <v>3.81</v>
      </c>
      <c r="I29" s="144">
        <f t="shared" si="2"/>
        <v>0.48599999999999999</v>
      </c>
      <c r="J29" s="153">
        <f t="shared" si="0"/>
        <v>0.25155279503105588</v>
      </c>
      <c r="K29" s="98">
        <f t="shared" si="3"/>
        <v>0.32800000000000001</v>
      </c>
      <c r="L29" s="153">
        <f>((K29/19.32)*10)</f>
        <v>0.16977225672877846</v>
      </c>
      <c r="N29" s="97"/>
      <c r="O29" s="2">
        <v>0.53400000000000003</v>
      </c>
      <c r="S29" s="2">
        <v>0.36</v>
      </c>
    </row>
    <row r="30" spans="1:19" s="2" customFormat="1" ht="22.5" customHeight="1">
      <c r="A30" s="258" t="s">
        <v>55</v>
      </c>
      <c r="B30" s="259"/>
      <c r="C30" s="50"/>
      <c r="D30" s="51">
        <v>801</v>
      </c>
      <c r="E30" s="52">
        <v>329</v>
      </c>
      <c r="F30" s="44"/>
      <c r="G30" s="145">
        <v>0.17499999999999999</v>
      </c>
      <c r="H30" s="33">
        <v>4.4450000000000003</v>
      </c>
      <c r="I30" s="144">
        <f t="shared" si="2"/>
        <v>0.53400000000000003</v>
      </c>
      <c r="J30" s="153">
        <f t="shared" si="0"/>
        <v>0.27639751552795033</v>
      </c>
      <c r="K30" s="98">
        <f t="shared" si="3"/>
        <v>0.36</v>
      </c>
      <c r="L30" s="153">
        <f t="shared" si="1"/>
        <v>0.18633540372670809</v>
      </c>
      <c r="N30" s="97"/>
      <c r="O30" s="2">
        <v>0.57499999999999996</v>
      </c>
      <c r="S30" s="2">
        <v>0.377</v>
      </c>
    </row>
    <row r="31" spans="1:19" s="2" customFormat="1" ht="22.5" customHeight="1">
      <c r="A31" s="216" t="s">
        <v>56</v>
      </c>
      <c r="B31" s="217"/>
      <c r="C31" s="25" t="s">
        <v>46</v>
      </c>
      <c r="D31" s="53">
        <v>200.88</v>
      </c>
      <c r="E31" s="54">
        <v>939.8</v>
      </c>
      <c r="F31" s="41"/>
      <c r="G31" s="146">
        <v>0.2</v>
      </c>
      <c r="H31" s="45">
        <v>5.08</v>
      </c>
      <c r="I31" s="154">
        <f t="shared" si="2"/>
        <v>0.57499999999999996</v>
      </c>
      <c r="J31" s="155">
        <f t="shared" si="0"/>
        <v>0.29761904761904762</v>
      </c>
      <c r="K31" s="158">
        <f t="shared" si="3"/>
        <v>0.377</v>
      </c>
      <c r="L31" s="155">
        <f t="shared" si="1"/>
        <v>0.19513457556935818</v>
      </c>
      <c r="N31" s="97"/>
      <c r="O31" s="2">
        <v>0.745</v>
      </c>
      <c r="S31" s="2">
        <v>0.48099999999999998</v>
      </c>
    </row>
    <row r="32" spans="1:19" s="2" customFormat="1" ht="22.5" customHeight="1">
      <c r="A32" s="216" t="s">
        <v>57</v>
      </c>
      <c r="B32" s="217"/>
      <c r="C32" s="25" t="s">
        <v>46</v>
      </c>
      <c r="D32" s="53">
        <v>175.17</v>
      </c>
      <c r="E32" s="54">
        <v>756.74</v>
      </c>
      <c r="F32" s="49"/>
      <c r="G32" s="145">
        <v>0.3</v>
      </c>
      <c r="H32" s="33">
        <v>7.62</v>
      </c>
      <c r="I32" s="144">
        <f t="shared" si="2"/>
        <v>0.745</v>
      </c>
      <c r="J32" s="153">
        <f t="shared" si="0"/>
        <v>0.38561076604554867</v>
      </c>
      <c r="K32" s="98">
        <f t="shared" si="3"/>
        <v>0.48099999999999998</v>
      </c>
      <c r="L32" s="153">
        <f t="shared" si="1"/>
        <v>0.24896480331262938</v>
      </c>
      <c r="N32" s="97"/>
      <c r="O32" s="2">
        <v>0.91100000000000003</v>
      </c>
      <c r="S32" s="2">
        <v>0.57799999999999996</v>
      </c>
    </row>
    <row r="33" spans="1:19" s="2" customFormat="1" ht="22.5" customHeight="1">
      <c r="A33" s="216" t="s">
        <v>58</v>
      </c>
      <c r="B33" s="217"/>
      <c r="C33" s="25" t="s">
        <v>46</v>
      </c>
      <c r="D33" s="53">
        <v>70.5</v>
      </c>
      <c r="E33" s="54">
        <v>100.92</v>
      </c>
      <c r="F33" s="49"/>
      <c r="G33" s="145">
        <v>0.4</v>
      </c>
      <c r="H33" s="33">
        <v>10.16</v>
      </c>
      <c r="I33" s="144">
        <f t="shared" si="2"/>
        <v>0.91100000000000003</v>
      </c>
      <c r="J33" s="153">
        <f t="shared" si="0"/>
        <v>0.47153209109730854</v>
      </c>
      <c r="K33" s="98">
        <f t="shared" si="3"/>
        <v>0.57799999999999996</v>
      </c>
      <c r="L33" s="153">
        <f t="shared" si="1"/>
        <v>0.29917184265010349</v>
      </c>
      <c r="N33" s="97"/>
      <c r="O33" s="2">
        <v>1.0720000000000001</v>
      </c>
      <c r="S33" s="2">
        <v>0.66900000000000004</v>
      </c>
    </row>
    <row r="34" spans="1:19" s="2" customFormat="1" ht="22.5" customHeight="1" thickBot="1">
      <c r="A34" s="218" t="s">
        <v>59</v>
      </c>
      <c r="B34" s="219"/>
      <c r="C34" s="46" t="s">
        <v>60</v>
      </c>
      <c r="D34" s="47">
        <f>((D31-D32)/(D32-D33))*100</f>
        <v>24.562912009171693</v>
      </c>
      <c r="E34" s="48">
        <f>((E31-E32)/(E32-E33))*100</f>
        <v>27.913146900064035</v>
      </c>
      <c r="F34" s="49"/>
      <c r="G34" s="148">
        <v>0.5</v>
      </c>
      <c r="H34" s="149">
        <v>12.7</v>
      </c>
      <c r="I34" s="156">
        <f t="shared" si="2"/>
        <v>1.0720000000000001</v>
      </c>
      <c r="J34" s="157">
        <f t="shared" si="0"/>
        <v>0.5548654244306418</v>
      </c>
      <c r="K34" s="159">
        <f t="shared" si="3"/>
        <v>0.66900000000000004</v>
      </c>
      <c r="L34" s="157">
        <f t="shared" si="1"/>
        <v>0.34627329192546585</v>
      </c>
      <c r="N34" s="97"/>
    </row>
    <row r="35" spans="1:19" s="2" customFormat="1" ht="11.25" customHeight="1" thickBot="1">
      <c r="A35" s="55"/>
      <c r="B35" s="56"/>
      <c r="C35" s="57"/>
      <c r="D35" s="58"/>
      <c r="E35" s="58"/>
      <c r="F35" s="59"/>
      <c r="G35" s="58"/>
      <c r="H35" s="58"/>
      <c r="I35" s="58"/>
      <c r="J35" s="58"/>
      <c r="K35" s="58"/>
      <c r="L35" s="99"/>
      <c r="N35" s="97"/>
    </row>
    <row r="36" spans="1:19" s="2" customFormat="1" ht="22.5" customHeight="1" thickBot="1">
      <c r="A36" s="247" t="s">
        <v>61</v>
      </c>
      <c r="B36" s="248"/>
      <c r="C36" s="248"/>
      <c r="D36" s="248"/>
      <c r="E36" s="249"/>
      <c r="F36" s="60"/>
      <c r="G36" s="60"/>
      <c r="H36" s="207" t="s">
        <v>62</v>
      </c>
      <c r="I36" s="208"/>
      <c r="J36" s="208"/>
      <c r="K36" s="209"/>
      <c r="L36" s="100"/>
    </row>
    <row r="37" spans="1:19" s="2" customFormat="1" ht="22.5" customHeight="1" thickBot="1">
      <c r="A37" s="250" t="s">
        <v>63</v>
      </c>
      <c r="B37" s="251"/>
      <c r="C37" s="61" t="s">
        <v>64</v>
      </c>
      <c r="D37" s="277">
        <v>0.40600000000000003</v>
      </c>
      <c r="E37" s="278"/>
      <c r="F37" s="62"/>
      <c r="G37" s="62"/>
      <c r="H37" s="63" t="s">
        <v>65</v>
      </c>
      <c r="I37" s="101" t="s">
        <v>86</v>
      </c>
      <c r="J37" s="63" t="s">
        <v>66</v>
      </c>
      <c r="K37" s="102" t="s">
        <v>67</v>
      </c>
      <c r="L37" s="99"/>
    </row>
    <row r="38" spans="1:19" s="2" customFormat="1" ht="22.5" customHeight="1" thickBot="1">
      <c r="A38" s="224" t="s">
        <v>68</v>
      </c>
      <c r="B38" s="225"/>
      <c r="C38" s="64" t="s">
        <v>64</v>
      </c>
      <c r="D38" s="279">
        <v>0.40250000000000002</v>
      </c>
      <c r="E38" s="280"/>
      <c r="F38" s="62"/>
      <c r="G38" s="62"/>
      <c r="H38" s="256" t="s">
        <v>69</v>
      </c>
      <c r="I38" s="257"/>
      <c r="J38" s="256" t="s">
        <v>70</v>
      </c>
      <c r="K38" s="257"/>
      <c r="L38" s="99"/>
    </row>
    <row r="39" spans="1:19" s="2" customFormat="1" ht="22.5" customHeight="1" thickBot="1">
      <c r="A39" s="224" t="s">
        <v>71</v>
      </c>
      <c r="B39" s="225"/>
      <c r="C39" s="65" t="s">
        <v>39</v>
      </c>
      <c r="D39" s="226">
        <f>(D38-D37)*2.54</f>
        <v>-8.8900000000000073E-3</v>
      </c>
      <c r="E39" s="227"/>
      <c r="F39" s="31"/>
      <c r="G39" s="31"/>
      <c r="H39" s="163" t="s">
        <v>72</v>
      </c>
      <c r="I39" s="164">
        <v>4555</v>
      </c>
      <c r="J39" s="275">
        <v>4</v>
      </c>
      <c r="K39" s="229"/>
      <c r="L39" s="99"/>
    </row>
    <row r="40" spans="1:19" s="2" customFormat="1" ht="22.5" customHeight="1" thickBot="1">
      <c r="A40" s="230" t="s">
        <v>73</v>
      </c>
      <c r="B40" s="231"/>
      <c r="C40" s="67" t="s">
        <v>60</v>
      </c>
      <c r="D40" s="232">
        <f>IF(D39&lt;&gt;"",IF(D22&lt;&gt;"",D39/D22*100,""),"")</f>
        <v>-6.0476190476190524E-2</v>
      </c>
      <c r="E40" s="233"/>
      <c r="F40" s="68"/>
      <c r="G40" s="68"/>
      <c r="H40" s="165" t="s">
        <v>33</v>
      </c>
      <c r="I40" s="166">
        <v>4555</v>
      </c>
      <c r="J40" s="276">
        <v>4</v>
      </c>
      <c r="K40" s="235"/>
      <c r="L40" s="99"/>
      <c r="P40" s="105"/>
      <c r="Q40" s="105"/>
      <c r="R40" s="134"/>
    </row>
    <row r="41" spans="1:19" s="2" customFormat="1" ht="33" customHeight="1" thickBot="1">
      <c r="A41" s="70"/>
      <c r="B41" s="58"/>
      <c r="C41" s="58"/>
      <c r="D41" s="58"/>
      <c r="E41" s="58"/>
      <c r="F41" s="71"/>
      <c r="G41" s="58"/>
      <c r="H41" s="70"/>
      <c r="I41" s="58"/>
      <c r="J41" s="107" t="str">
        <f>I19</f>
        <v>ANTES DE INMERSIÓN</v>
      </c>
      <c r="K41" s="107" t="str">
        <f>K19</f>
        <v xml:space="preserve">DESPUÉS DE INMERSIÓN </v>
      </c>
      <c r="L41" s="108"/>
      <c r="M41" s="20"/>
      <c r="P41" s="109"/>
      <c r="Q41" s="135"/>
      <c r="R41" s="136"/>
    </row>
    <row r="42" spans="1:19" s="2" customFormat="1" ht="22.5" customHeight="1">
      <c r="A42" s="70"/>
      <c r="B42" s="58"/>
      <c r="C42" s="58"/>
      <c r="D42" s="58"/>
      <c r="E42" s="58"/>
      <c r="F42" s="58"/>
      <c r="G42" s="58"/>
      <c r="H42" s="21" t="s">
        <v>74</v>
      </c>
      <c r="I42" s="110" t="s">
        <v>60</v>
      </c>
      <c r="J42" s="111">
        <f>(J27/6.9)*100</f>
        <v>2.8205359018213456</v>
      </c>
      <c r="K42" s="112">
        <f>(L27/6.9)*100</f>
        <v>1.9128634440543701</v>
      </c>
      <c r="L42" s="99"/>
      <c r="P42" s="113"/>
      <c r="Q42" s="137"/>
      <c r="R42" s="136"/>
    </row>
    <row r="43" spans="1:19" s="2" customFormat="1" ht="22.5" customHeight="1" thickBot="1">
      <c r="A43" s="70"/>
      <c r="B43" s="73"/>
      <c r="C43" s="58"/>
      <c r="D43" s="58"/>
      <c r="E43" s="58"/>
      <c r="F43" s="58"/>
      <c r="G43" s="58"/>
      <c r="H43" s="74" t="s">
        <v>75</v>
      </c>
      <c r="I43" s="114" t="s">
        <v>60</v>
      </c>
      <c r="J43" s="115">
        <f>(J31/10.3)*100</f>
        <v>2.8895053166897826</v>
      </c>
      <c r="K43" s="116">
        <f>(L31/10.3)*100</f>
        <v>1.8945104424209529</v>
      </c>
      <c r="L43" s="99"/>
      <c r="P43" s="117"/>
      <c r="Q43" s="138"/>
      <c r="R43" s="139"/>
    </row>
    <row r="44" spans="1:19" s="2" customFormat="1" ht="22.5" customHeight="1" thickBot="1">
      <c r="A44" s="70"/>
      <c r="B44" s="73"/>
      <c r="C44" s="73"/>
      <c r="D44" s="73"/>
      <c r="E44" s="58"/>
      <c r="F44" s="58"/>
      <c r="G44" s="58"/>
      <c r="H44" s="74" t="s">
        <v>76</v>
      </c>
      <c r="I44" s="114"/>
      <c r="J44" s="118">
        <f>IF(J42&lt;J43,J42,J43)</f>
        <v>2.8205359018213456</v>
      </c>
      <c r="K44" s="119">
        <f>IF(K42&lt;K43,K42,K43)</f>
        <v>1.8945104424209529</v>
      </c>
      <c r="L44" s="120"/>
      <c r="M44" s="121"/>
    </row>
    <row r="45" spans="1:19" s="2" customFormat="1" ht="22.5" customHeight="1">
      <c r="A45" s="70"/>
      <c r="B45" s="58"/>
      <c r="C45" s="58"/>
      <c r="D45" s="59"/>
      <c r="E45" s="59"/>
      <c r="F45" s="59"/>
      <c r="G45" s="58"/>
      <c r="H45" s="4"/>
      <c r="I45" s="122"/>
      <c r="J45" s="122"/>
      <c r="K45" s="122"/>
      <c r="L45" s="99"/>
    </row>
    <row r="46" spans="1:19" s="2" customFormat="1" ht="22.5" customHeight="1">
      <c r="A46" s="70"/>
      <c r="B46" s="58"/>
      <c r="C46" s="58"/>
      <c r="D46" s="59"/>
      <c r="E46" s="59"/>
      <c r="F46" s="59"/>
      <c r="G46" s="58"/>
      <c r="H46" s="222" t="s">
        <v>77</v>
      </c>
      <c r="I46" s="222"/>
      <c r="J46" s="222" t="s">
        <v>78</v>
      </c>
      <c r="K46" s="222"/>
      <c r="L46" s="223"/>
    </row>
    <row r="47" spans="1:19" s="2" customFormat="1" ht="22.5" customHeight="1">
      <c r="A47" s="70"/>
      <c r="B47" s="56"/>
      <c r="C47" s="75"/>
      <c r="D47" s="76"/>
      <c r="E47" s="59"/>
      <c r="F47" s="59"/>
      <c r="G47" s="59"/>
      <c r="H47" s="77"/>
      <c r="I47" s="123"/>
      <c r="J47" s="77"/>
      <c r="K47" s="123"/>
      <c r="L47" s="124"/>
    </row>
    <row r="48" spans="1:19" s="2" customFormat="1" ht="22.5" customHeight="1">
      <c r="A48" s="70"/>
      <c r="B48" s="56"/>
      <c r="C48" s="75"/>
      <c r="D48" s="76"/>
      <c r="E48" s="59"/>
      <c r="F48" s="59"/>
      <c r="G48" s="59"/>
      <c r="H48" s="77"/>
      <c r="I48" s="123"/>
      <c r="J48" s="77"/>
      <c r="K48" s="123"/>
      <c r="L48" s="124"/>
    </row>
    <row r="49" spans="1:15" s="2" customFormat="1" ht="22.5" customHeight="1">
      <c r="A49" s="70"/>
      <c r="B49" s="56"/>
      <c r="C49" s="75"/>
      <c r="D49" s="76"/>
      <c r="E49" s="59"/>
      <c r="F49" s="59"/>
      <c r="G49" s="59"/>
      <c r="H49" s="77"/>
      <c r="I49" s="123"/>
      <c r="J49" s="77"/>
      <c r="K49"/>
      <c r="L49" s="124"/>
    </row>
    <row r="50" spans="1:15" s="2" customFormat="1" ht="22.5" customHeight="1">
      <c r="A50" s="70"/>
      <c r="B50" s="56"/>
      <c r="C50" s="75"/>
      <c r="D50" s="76"/>
      <c r="E50" s="59"/>
      <c r="F50" s="59"/>
      <c r="G50" s="59"/>
      <c r="H50" s="78"/>
      <c r="I50" s="78"/>
      <c r="J50" s="77"/>
      <c r="K50" s="123"/>
      <c r="L50" s="124"/>
    </row>
    <row r="51" spans="1:15" s="2" customFormat="1" ht="22.5" customHeight="1">
      <c r="A51" s="70"/>
      <c r="B51" s="56"/>
      <c r="C51" s="75"/>
      <c r="D51" s="76"/>
      <c r="E51" s="59"/>
      <c r="F51" s="59"/>
      <c r="G51" s="59"/>
      <c r="H51" s="220" t="s">
        <v>79</v>
      </c>
      <c r="I51" s="220"/>
      <c r="J51" s="220" t="s">
        <v>87</v>
      </c>
      <c r="K51" s="220"/>
      <c r="L51" s="221"/>
    </row>
    <row r="52" spans="1:15" s="2" customFormat="1" ht="22.5" customHeight="1">
      <c r="A52" s="70"/>
      <c r="B52" s="56"/>
      <c r="C52" s="75"/>
      <c r="D52" s="76"/>
      <c r="E52" s="59"/>
      <c r="F52" s="59"/>
      <c r="G52" s="59"/>
      <c r="H52" s="222" t="s">
        <v>80</v>
      </c>
      <c r="I52" s="222"/>
      <c r="J52" s="222" t="s">
        <v>81</v>
      </c>
      <c r="K52" s="222"/>
      <c r="L52" s="223"/>
    </row>
    <row r="53" spans="1:15" s="2" customFormat="1" ht="22.5" customHeight="1">
      <c r="A53" s="70"/>
      <c r="B53" s="56"/>
      <c r="C53" s="75"/>
      <c r="D53" s="76"/>
      <c r="E53" s="59"/>
      <c r="F53" s="59"/>
      <c r="G53" s="59"/>
      <c r="H53" s="186"/>
      <c r="I53" s="186"/>
      <c r="J53" s="186"/>
      <c r="K53" s="186"/>
      <c r="L53" s="99"/>
    </row>
    <row r="54" spans="1:15" s="2" customFormat="1" ht="22.5" customHeight="1">
      <c r="A54" s="70"/>
      <c r="B54" s="56"/>
      <c r="C54" s="75"/>
      <c r="D54" s="76"/>
      <c r="E54" s="59"/>
      <c r="F54" s="59"/>
      <c r="G54" s="59"/>
      <c r="H54" s="58"/>
      <c r="I54" s="58"/>
      <c r="J54" s="125"/>
      <c r="K54" s="58"/>
      <c r="L54" s="99"/>
      <c r="M54" s="126"/>
      <c r="N54" s="3"/>
    </row>
    <row r="55" spans="1:15" s="2" customFormat="1" ht="22.5" customHeight="1">
      <c r="A55" s="70"/>
      <c r="B55" s="56"/>
      <c r="C55" s="75"/>
      <c r="D55" s="76"/>
      <c r="E55" s="59"/>
      <c r="F55" s="59"/>
      <c r="G55" s="59"/>
      <c r="H55" s="58"/>
      <c r="I55" s="58"/>
      <c r="J55" s="127"/>
      <c r="K55" s="125"/>
      <c r="L55" s="128"/>
      <c r="M55" s="129"/>
      <c r="N55" s="3"/>
    </row>
    <row r="56" spans="1:15" s="2" customFormat="1" ht="22.5" customHeight="1">
      <c r="A56" s="264" t="s">
        <v>82</v>
      </c>
      <c r="B56" s="265"/>
      <c r="C56" s="265"/>
      <c r="D56" s="265"/>
      <c r="E56" s="265"/>
      <c r="F56" s="265"/>
      <c r="G56" s="265"/>
      <c r="H56" s="265"/>
      <c r="I56" s="265"/>
      <c r="J56" s="265"/>
      <c r="K56" s="265"/>
      <c r="L56" s="266"/>
      <c r="M56" s="130"/>
      <c r="N56" s="3"/>
      <c r="O56" s="3"/>
    </row>
    <row r="57" spans="1:15" s="2" customFormat="1" ht="22.5" customHeight="1">
      <c r="A57" s="261" t="s">
        <v>83</v>
      </c>
      <c r="B57" s="262"/>
      <c r="C57" s="262"/>
      <c r="D57" s="262"/>
      <c r="E57" s="262"/>
      <c r="F57" s="262"/>
      <c r="G57" s="262"/>
      <c r="H57" s="262"/>
      <c r="I57" s="262"/>
      <c r="J57" s="262"/>
      <c r="K57" s="262"/>
      <c r="L57" s="263"/>
      <c r="M57" s="3"/>
      <c r="N57" s="3"/>
      <c r="O57" s="3"/>
    </row>
    <row r="58" spans="1:15" s="2" customFormat="1" ht="22.5" customHeight="1">
      <c r="A58" s="261"/>
      <c r="B58" s="262"/>
      <c r="C58" s="262"/>
      <c r="D58" s="262"/>
      <c r="E58" s="262"/>
      <c r="F58" s="262"/>
      <c r="G58" s="262"/>
      <c r="H58" s="262"/>
      <c r="I58" s="262"/>
      <c r="J58" s="262"/>
      <c r="K58" s="262"/>
      <c r="L58" s="263"/>
      <c r="M58" s="3"/>
      <c r="N58" s="3"/>
      <c r="O58" s="3"/>
    </row>
    <row r="59" spans="1:15" ht="15" thickBot="1">
      <c r="A59" s="267" t="s">
        <v>84</v>
      </c>
      <c r="B59" s="268"/>
      <c r="C59" s="268"/>
      <c r="D59" s="268"/>
      <c r="E59" s="268"/>
      <c r="F59" s="268"/>
      <c r="G59" s="268"/>
      <c r="H59" s="268"/>
      <c r="I59" s="268"/>
      <c r="J59" s="268"/>
      <c r="K59" s="268"/>
      <c r="L59" s="269"/>
    </row>
    <row r="63" spans="1:15">
      <c r="I63" s="79"/>
      <c r="J63" s="79"/>
      <c r="K63" s="79"/>
      <c r="L63" s="79"/>
      <c r="M63" s="79"/>
      <c r="N63" s="79"/>
    </row>
    <row r="64" spans="1:15" ht="15" customHeight="1">
      <c r="E64" s="79"/>
      <c r="F64" s="79"/>
      <c r="G64" s="79"/>
      <c r="H64" s="79"/>
      <c r="I64" s="131"/>
      <c r="J64" s="131"/>
      <c r="K64" s="131"/>
      <c r="L64" s="131"/>
      <c r="M64" s="131"/>
      <c r="N64" s="131"/>
    </row>
    <row r="65" spans="2:18" ht="15" customHeight="1">
      <c r="E65" s="131"/>
      <c r="F65" s="131"/>
      <c r="G65" s="131"/>
      <c r="H65" s="131"/>
      <c r="I65" s="131"/>
      <c r="J65" s="131"/>
      <c r="K65" s="131"/>
      <c r="L65" s="131"/>
      <c r="M65" s="131"/>
      <c r="N65" s="131"/>
    </row>
    <row r="66" spans="2:18" ht="15" customHeight="1">
      <c r="E66" s="131"/>
      <c r="F66" s="131"/>
      <c r="G66" s="131"/>
      <c r="H66" s="131"/>
      <c r="I66" s="131"/>
      <c r="J66" s="131"/>
      <c r="K66" s="131"/>
      <c r="L66" s="131"/>
      <c r="M66" s="131"/>
      <c r="N66" s="131"/>
    </row>
    <row r="67" spans="2:18" ht="30.75" customHeight="1">
      <c r="E67" s="131"/>
      <c r="F67" s="131"/>
      <c r="G67" s="131"/>
      <c r="H67" s="131"/>
      <c r="I67" s="140"/>
      <c r="J67" s="140"/>
      <c r="K67" s="140"/>
      <c r="L67" s="140"/>
      <c r="M67" s="140"/>
      <c r="N67" s="140"/>
    </row>
    <row r="68" spans="2:18" ht="15" customHeight="1">
      <c r="E68" s="140"/>
      <c r="F68" s="140"/>
      <c r="G68" s="140"/>
      <c r="H68" s="140"/>
      <c r="I68" s="140"/>
      <c r="J68" s="140"/>
      <c r="K68" s="140"/>
      <c r="L68" s="140"/>
      <c r="M68" s="140"/>
      <c r="N68" s="140"/>
    </row>
    <row r="69" spans="2:18" ht="15" customHeight="1">
      <c r="E69" s="140"/>
      <c r="F69" s="140"/>
      <c r="G69" s="140"/>
      <c r="H69" s="140"/>
    </row>
    <row r="70" spans="2:18" ht="31.5" customHeight="1">
      <c r="E70" s="270"/>
      <c r="F70" s="270"/>
      <c r="G70" s="270"/>
      <c r="H70" s="270"/>
      <c r="I70" s="270"/>
      <c r="J70" s="270"/>
      <c r="K70" s="270"/>
      <c r="L70" s="270"/>
      <c r="M70" s="270"/>
      <c r="N70" s="270"/>
      <c r="O70" s="270"/>
      <c r="P70" s="270"/>
    </row>
    <row r="71" spans="2:18" ht="24" customHeight="1">
      <c r="B71" s="141"/>
      <c r="C71" s="142"/>
      <c r="D71" s="142"/>
      <c r="E71" s="142"/>
      <c r="F71" s="142"/>
      <c r="G71" s="142"/>
      <c r="H71" s="142"/>
      <c r="I71" s="142"/>
      <c r="J71" s="142"/>
      <c r="K71" s="142"/>
      <c r="L71" s="142"/>
      <c r="M71" s="142"/>
      <c r="N71" s="142"/>
      <c r="O71" s="142"/>
      <c r="P71" s="142"/>
      <c r="Q71" s="142"/>
      <c r="R71" s="142"/>
    </row>
    <row r="72" spans="2:18" ht="15" customHeight="1">
      <c r="B72" s="142"/>
      <c r="C72" s="142"/>
      <c r="D72" s="260"/>
      <c r="E72" s="260"/>
      <c r="F72" s="260"/>
      <c r="G72" s="260"/>
      <c r="H72" s="260"/>
      <c r="I72" s="260"/>
      <c r="J72" s="260"/>
      <c r="K72" s="260"/>
      <c r="L72" s="260"/>
      <c r="M72" s="260"/>
      <c r="N72" s="260"/>
      <c r="O72" s="260"/>
      <c r="P72" s="142"/>
      <c r="Q72" s="142"/>
      <c r="R72" s="142"/>
    </row>
    <row r="73" spans="2:18">
      <c r="D73" s="260"/>
      <c r="E73" s="260"/>
      <c r="F73" s="260"/>
      <c r="G73" s="260"/>
      <c r="H73" s="260"/>
      <c r="I73" s="260"/>
      <c r="J73" s="260"/>
      <c r="K73" s="260"/>
      <c r="L73" s="260"/>
      <c r="M73" s="260"/>
      <c r="N73" s="260"/>
      <c r="O73" s="260"/>
    </row>
  </sheetData>
  <sheetProtection formatCells="0" formatColumns="0" insertColumns="0" insertRows="0" deleteColumns="0" deleteRows="0"/>
  <mergeCells count="74">
    <mergeCell ref="D72:O73"/>
    <mergeCell ref="H46:I46"/>
    <mergeCell ref="J46:L46"/>
    <mergeCell ref="H51:I51"/>
    <mergeCell ref="J51:L51"/>
    <mergeCell ref="H52:I52"/>
    <mergeCell ref="J52:L52"/>
    <mergeCell ref="H53:K53"/>
    <mergeCell ref="A56:L56"/>
    <mergeCell ref="A57:L58"/>
    <mergeCell ref="A59:L59"/>
    <mergeCell ref="E70:P70"/>
    <mergeCell ref="A39:B39"/>
    <mergeCell ref="D39:E39"/>
    <mergeCell ref="J39:K39"/>
    <mergeCell ref="A40:B40"/>
    <mergeCell ref="D40:E40"/>
    <mergeCell ref="J40:K40"/>
    <mergeCell ref="A38:B38"/>
    <mergeCell ref="D38:E38"/>
    <mergeCell ref="H38:I38"/>
    <mergeCell ref="J38:K38"/>
    <mergeCell ref="A28:B28"/>
    <mergeCell ref="A29:E29"/>
    <mergeCell ref="A30:B30"/>
    <mergeCell ref="A31:B31"/>
    <mergeCell ref="A32:B32"/>
    <mergeCell ref="A33:B33"/>
    <mergeCell ref="A34:B34"/>
    <mergeCell ref="A36:E36"/>
    <mergeCell ref="H36:K36"/>
    <mergeCell ref="A37:B37"/>
    <mergeCell ref="D37:E37"/>
    <mergeCell ref="A27:B27"/>
    <mergeCell ref="A19:C19"/>
    <mergeCell ref="G19:H20"/>
    <mergeCell ref="I19:J19"/>
    <mergeCell ref="K19:L19"/>
    <mergeCell ref="A20:B20"/>
    <mergeCell ref="A21:B21"/>
    <mergeCell ref="A22:B22"/>
    <mergeCell ref="A23:B23"/>
    <mergeCell ref="A24:B24"/>
    <mergeCell ref="A25:B25"/>
    <mergeCell ref="A26:B26"/>
    <mergeCell ref="A18:E18"/>
    <mergeCell ref="G18:L18"/>
    <mergeCell ref="C8:G8"/>
    <mergeCell ref="H8:I8"/>
    <mergeCell ref="J8:L8"/>
    <mergeCell ref="C9:G9"/>
    <mergeCell ref="H9:I9"/>
    <mergeCell ref="C10:G10"/>
    <mergeCell ref="H10:I10"/>
    <mergeCell ref="J10:L10"/>
    <mergeCell ref="B11:K11"/>
    <mergeCell ref="F12:G12"/>
    <mergeCell ref="H12:I12"/>
    <mergeCell ref="C13:L13"/>
    <mergeCell ref="A16:L16"/>
    <mergeCell ref="B5:K5"/>
    <mergeCell ref="C6:G6"/>
    <mergeCell ref="H6:I6"/>
    <mergeCell ref="J6:L6"/>
    <mergeCell ref="C7:G7"/>
    <mergeCell ref="H7:I7"/>
    <mergeCell ref="J7:L7"/>
    <mergeCell ref="A1:B4"/>
    <mergeCell ref="C1:J1"/>
    <mergeCell ref="K1:L1"/>
    <mergeCell ref="C2:J4"/>
    <mergeCell ref="K2:L2"/>
    <mergeCell ref="K3:L3"/>
    <mergeCell ref="K4:L4"/>
  </mergeCells>
  <conditionalFormatting sqref="C6:G10">
    <cfRule type="containsBlanks" dxfId="69" priority="10">
      <formula>LEN(TRIM(C6))=0</formula>
    </cfRule>
  </conditionalFormatting>
  <conditionalFormatting sqref="C13:L13">
    <cfRule type="containsBlanks" dxfId="68" priority="9">
      <formula>LEN(TRIM(C13))=0</formula>
    </cfRule>
  </conditionalFormatting>
  <conditionalFormatting sqref="D20:D24">
    <cfRule type="containsBlanks" dxfId="67" priority="4">
      <formula>LEN(TRIM(D20))=0</formula>
    </cfRule>
  </conditionalFormatting>
  <conditionalFormatting sqref="D37:D38">
    <cfRule type="containsBlanks" dxfId="66" priority="3">
      <formula>LEN(TRIM(D37))=0</formula>
    </cfRule>
  </conditionalFormatting>
  <conditionalFormatting sqref="D30:E33">
    <cfRule type="containsBlanks" dxfId="65" priority="1">
      <formula>LEN(TRIM(D30))=0</formula>
    </cfRule>
  </conditionalFormatting>
  <conditionalFormatting sqref="E23">
    <cfRule type="containsBlanks" dxfId="64" priority="5">
      <formula>LEN(TRIM(E23))=0</formula>
    </cfRule>
  </conditionalFormatting>
  <conditionalFormatting sqref="F12:G12">
    <cfRule type="containsBlanks" dxfId="63" priority="8">
      <formula>LEN(TRIM(F12))=0</formula>
    </cfRule>
  </conditionalFormatting>
  <conditionalFormatting sqref="I22:I34">
    <cfRule type="containsBlanks" dxfId="62" priority="7">
      <formula>LEN(TRIM(I22))=0</formula>
    </cfRule>
  </conditionalFormatting>
  <conditionalFormatting sqref="I37">
    <cfRule type="containsBlanks" dxfId="61" priority="2">
      <formula>LEN(TRIM(I37))=0</formula>
    </cfRule>
  </conditionalFormatting>
  <conditionalFormatting sqref="K22:K34">
    <cfRule type="containsBlanks" dxfId="60" priority="6">
      <formula>LEN(TRIM(K22))=0</formula>
    </cfRule>
  </conditionalFormatting>
  <dataValidations count="2">
    <dataValidation type="list" allowBlank="1" showInputMessage="1" showErrorMessage="1" sqref="C12" xr:uid="{E955F71D-BB2B-4DE0-9B0A-58FB4E2A8BD8}">
      <formula1>$T$6:$T$13</formula1>
    </dataValidation>
    <dataValidation type="list" allowBlank="1" showInputMessage="1" showErrorMessage="1" sqref="I37" xr:uid="{3728CEDD-B061-4D81-BB04-38F9E0901AEB}">
      <formula1>"5 kN, 50 kN"</formula1>
    </dataValidation>
  </dataValidations>
  <printOptions horizontalCentered="1" verticalCentered="1"/>
  <pageMargins left="0.31496062992126" right="0.31496062992126" top="0.15748031496063" bottom="0.55118110236220497" header="0" footer="0.118110236220472"/>
  <pageSetup scale="42" fitToWidth="0" fitToHeight="0" orientation="landscape" r:id="rId1"/>
  <headerFooter>
    <oddFooter>&amp;C&amp;"Arial,Normal"&amp;10GEODELTA S.A.S. Calle 68 B bis No 70 C 95, Móvil: 318 7902368 Bogotá DC - Colombia
e-mail: laboratoriogeodelta@gmail.com</oddFooter>
  </headerFooter>
  <drawing r:id="rId2"/>
  <legacy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0DF28-9AB0-40AF-A34D-E7F358F7FD58}">
  <sheetPr>
    <tabColor theme="7" tint="0.79998168889431442"/>
  </sheetPr>
  <dimension ref="A1:AB73"/>
  <sheetViews>
    <sheetView showGridLines="0" view="pageBreakPreview" topLeftCell="A12" zoomScale="96" zoomScaleNormal="50" zoomScaleSheetLayoutView="96" zoomScalePageLayoutView="50" workbookViewId="0">
      <selection activeCell="J15" sqref="J15"/>
    </sheetView>
  </sheetViews>
  <sheetFormatPr baseColWidth="10" defaultColWidth="11" defaultRowHeight="14.25"/>
  <cols>
    <col min="1" max="1" width="10.5703125" style="3" customWidth="1"/>
    <col min="2" max="2" width="35.42578125" style="3" customWidth="1"/>
    <col min="3" max="3" width="20.85546875" style="3" customWidth="1"/>
    <col min="4" max="5" width="26.7109375" style="3" customWidth="1"/>
    <col min="6" max="6" width="3.7109375" style="3" customWidth="1"/>
    <col min="7" max="7" width="29.140625" style="3" customWidth="1"/>
    <col min="8" max="8" width="27.140625" style="3" customWidth="1"/>
    <col min="9" max="10" width="24.28515625" style="3" customWidth="1"/>
    <col min="11" max="12" width="22.42578125" style="3" customWidth="1"/>
    <col min="13" max="13" width="1.85546875" style="3" customWidth="1"/>
    <col min="14" max="16" width="12.85546875" style="3" customWidth="1"/>
    <col min="17" max="17" width="6.5703125" style="3" customWidth="1"/>
    <col min="18" max="18" width="6.28515625" style="3" customWidth="1"/>
    <col min="19" max="184" width="11" style="3"/>
    <col min="185" max="185" width="0.7109375" style="3" customWidth="1"/>
    <col min="186" max="186" width="6.5703125" style="3" customWidth="1"/>
    <col min="187" max="187" width="13.5703125" style="3" customWidth="1"/>
    <col min="188" max="188" width="13.42578125" style="3" customWidth="1"/>
    <col min="189" max="190" width="12.5703125" style="3" customWidth="1"/>
    <col min="191" max="191" width="14.85546875" style="3" customWidth="1"/>
    <col min="192" max="192" width="20.7109375" style="3" customWidth="1"/>
    <col min="193" max="193" width="12.5703125" style="3" customWidth="1"/>
    <col min="194" max="194" width="13" style="3" customWidth="1"/>
    <col min="195" max="195" width="16" style="3" customWidth="1"/>
    <col min="196" max="196" width="6.42578125" style="3" customWidth="1"/>
    <col min="197" max="197" width="16" style="3" customWidth="1"/>
    <col min="198" max="198" width="2.85546875" style="3" customWidth="1"/>
    <col min="199" max="199" width="0.85546875" style="3" customWidth="1"/>
    <col min="200" max="200" width="11" style="3"/>
    <col min="201" max="201" width="15.42578125" style="3" customWidth="1"/>
    <col min="202" max="204" width="14.85546875" style="3" customWidth="1"/>
    <col min="205" max="205" width="0.7109375" style="3" customWidth="1"/>
    <col min="206" max="206" width="11" style="3"/>
    <col min="207" max="207" width="15.7109375" style="3" customWidth="1"/>
    <col min="208" max="209" width="14.85546875" style="3" customWidth="1"/>
    <col min="210" max="210" width="3.28515625" style="3" customWidth="1"/>
    <col min="211" max="211" width="20.140625" style="3" customWidth="1"/>
    <col min="212" max="212" width="3.28515625" style="3" customWidth="1"/>
    <col min="213" max="217" width="11" style="3"/>
    <col min="218" max="230" width="4.7109375" style="3" customWidth="1"/>
    <col min="231" max="440" width="11" style="3"/>
    <col min="441" max="441" width="0.7109375" style="3" customWidth="1"/>
    <col min="442" max="442" width="6.5703125" style="3" customWidth="1"/>
    <col min="443" max="443" width="13.5703125" style="3" customWidth="1"/>
    <col min="444" max="444" width="13.42578125" style="3" customWidth="1"/>
    <col min="445" max="446" width="12.5703125" style="3" customWidth="1"/>
    <col min="447" max="447" width="14.85546875" style="3" customWidth="1"/>
    <col min="448" max="448" width="20.7109375" style="3" customWidth="1"/>
    <col min="449" max="449" width="12.5703125" style="3" customWidth="1"/>
    <col min="450" max="450" width="13" style="3" customWidth="1"/>
    <col min="451" max="451" width="16" style="3" customWidth="1"/>
    <col min="452" max="452" width="6.42578125" style="3" customWidth="1"/>
    <col min="453" max="453" width="16" style="3" customWidth="1"/>
    <col min="454" max="454" width="2.85546875" style="3" customWidth="1"/>
    <col min="455" max="455" width="0.85546875" style="3" customWidth="1"/>
    <col min="456" max="456" width="11" style="3"/>
    <col min="457" max="457" width="15.42578125" style="3" customWidth="1"/>
    <col min="458" max="460" width="14.85546875" style="3" customWidth="1"/>
    <col min="461" max="461" width="0.7109375" style="3" customWidth="1"/>
    <col min="462" max="462" width="11" style="3"/>
    <col min="463" max="463" width="15.7109375" style="3" customWidth="1"/>
    <col min="464" max="465" width="14.85546875" style="3" customWidth="1"/>
    <col min="466" max="466" width="3.28515625" style="3" customWidth="1"/>
    <col min="467" max="467" width="20.140625" style="3" customWidth="1"/>
    <col min="468" max="468" width="3.28515625" style="3" customWidth="1"/>
    <col min="469" max="473" width="11" style="3"/>
    <col min="474" max="486" width="4.7109375" style="3" customWidth="1"/>
    <col min="487" max="696" width="11" style="3"/>
    <col min="697" max="697" width="0.7109375" style="3" customWidth="1"/>
    <col min="698" max="698" width="6.5703125" style="3" customWidth="1"/>
    <col min="699" max="699" width="13.5703125" style="3" customWidth="1"/>
    <col min="700" max="700" width="13.42578125" style="3" customWidth="1"/>
    <col min="701" max="702" width="12.5703125" style="3" customWidth="1"/>
    <col min="703" max="703" width="14.85546875" style="3" customWidth="1"/>
    <col min="704" max="704" width="20.7109375" style="3" customWidth="1"/>
    <col min="705" max="705" width="12.5703125" style="3" customWidth="1"/>
    <col min="706" max="706" width="13" style="3" customWidth="1"/>
    <col min="707" max="707" width="16" style="3" customWidth="1"/>
    <col min="708" max="708" width="6.42578125" style="3" customWidth="1"/>
    <col min="709" max="709" width="16" style="3" customWidth="1"/>
    <col min="710" max="710" width="2.85546875" style="3" customWidth="1"/>
    <col min="711" max="711" width="0.85546875" style="3" customWidth="1"/>
    <col min="712" max="712" width="11" style="3"/>
    <col min="713" max="713" width="15.42578125" style="3" customWidth="1"/>
    <col min="714" max="716" width="14.85546875" style="3" customWidth="1"/>
    <col min="717" max="717" width="0.7109375" style="3" customWidth="1"/>
    <col min="718" max="718" width="11" style="3"/>
    <col min="719" max="719" width="15.7109375" style="3" customWidth="1"/>
    <col min="720" max="721" width="14.85546875" style="3" customWidth="1"/>
    <col min="722" max="722" width="3.28515625" style="3" customWidth="1"/>
    <col min="723" max="723" width="20.140625" style="3" customWidth="1"/>
    <col min="724" max="724" width="3.28515625" style="3" customWidth="1"/>
    <col min="725" max="729" width="11" style="3"/>
    <col min="730" max="742" width="4.7109375" style="3" customWidth="1"/>
    <col min="743" max="952" width="11" style="3"/>
    <col min="953" max="953" width="0.7109375" style="3" customWidth="1"/>
    <col min="954" max="954" width="6.5703125" style="3" customWidth="1"/>
    <col min="955" max="955" width="13.5703125" style="3" customWidth="1"/>
    <col min="956" max="956" width="13.42578125" style="3" customWidth="1"/>
    <col min="957" max="958" width="12.5703125" style="3" customWidth="1"/>
    <col min="959" max="959" width="14.85546875" style="3" customWidth="1"/>
    <col min="960" max="960" width="20.7109375" style="3" customWidth="1"/>
    <col min="961" max="961" width="12.5703125" style="3" customWidth="1"/>
    <col min="962" max="962" width="13" style="3" customWidth="1"/>
    <col min="963" max="963" width="16" style="3" customWidth="1"/>
    <col min="964" max="964" width="6.42578125" style="3" customWidth="1"/>
    <col min="965" max="965" width="16" style="3" customWidth="1"/>
    <col min="966" max="966" width="2.85546875" style="3" customWidth="1"/>
    <col min="967" max="967" width="0.85546875" style="3" customWidth="1"/>
    <col min="968" max="968" width="11" style="3"/>
    <col min="969" max="969" width="15.42578125" style="3" customWidth="1"/>
    <col min="970" max="972" width="14.85546875" style="3" customWidth="1"/>
    <col min="973" max="973" width="0.7109375" style="3" customWidth="1"/>
    <col min="974" max="974" width="11" style="3"/>
    <col min="975" max="975" width="15.7109375" style="3" customWidth="1"/>
    <col min="976" max="977" width="14.85546875" style="3" customWidth="1"/>
    <col min="978" max="978" width="3.28515625" style="3" customWidth="1"/>
    <col min="979" max="979" width="20.140625" style="3" customWidth="1"/>
    <col min="980" max="980" width="3.28515625" style="3" customWidth="1"/>
    <col min="981" max="985" width="11" style="3"/>
    <col min="986" max="998" width="4.7109375" style="3" customWidth="1"/>
    <col min="999" max="1208" width="11" style="3"/>
    <col min="1209" max="1209" width="0.7109375" style="3" customWidth="1"/>
    <col min="1210" max="1210" width="6.5703125" style="3" customWidth="1"/>
    <col min="1211" max="1211" width="13.5703125" style="3" customWidth="1"/>
    <col min="1212" max="1212" width="13.42578125" style="3" customWidth="1"/>
    <col min="1213" max="1214" width="12.5703125" style="3" customWidth="1"/>
    <col min="1215" max="1215" width="14.85546875" style="3" customWidth="1"/>
    <col min="1216" max="1216" width="20.7109375" style="3" customWidth="1"/>
    <col min="1217" max="1217" width="12.5703125" style="3" customWidth="1"/>
    <col min="1218" max="1218" width="13" style="3" customWidth="1"/>
    <col min="1219" max="1219" width="16" style="3" customWidth="1"/>
    <col min="1220" max="1220" width="6.42578125" style="3" customWidth="1"/>
    <col min="1221" max="1221" width="16" style="3" customWidth="1"/>
    <col min="1222" max="1222" width="2.85546875" style="3" customWidth="1"/>
    <col min="1223" max="1223" width="0.85546875" style="3" customWidth="1"/>
    <col min="1224" max="1224" width="11" style="3"/>
    <col min="1225" max="1225" width="15.42578125" style="3" customWidth="1"/>
    <col min="1226" max="1228" width="14.85546875" style="3" customWidth="1"/>
    <col min="1229" max="1229" width="0.7109375" style="3" customWidth="1"/>
    <col min="1230" max="1230" width="11" style="3"/>
    <col min="1231" max="1231" width="15.7109375" style="3" customWidth="1"/>
    <col min="1232" max="1233" width="14.85546875" style="3" customWidth="1"/>
    <col min="1234" max="1234" width="3.28515625" style="3" customWidth="1"/>
    <col min="1235" max="1235" width="20.140625" style="3" customWidth="1"/>
    <col min="1236" max="1236" width="3.28515625" style="3" customWidth="1"/>
    <col min="1237" max="1241" width="11" style="3"/>
    <col min="1242" max="1254" width="4.7109375" style="3" customWidth="1"/>
    <col min="1255" max="1464" width="11" style="3"/>
    <col min="1465" max="1465" width="0.7109375" style="3" customWidth="1"/>
    <col min="1466" max="1466" width="6.5703125" style="3" customWidth="1"/>
    <col min="1467" max="1467" width="13.5703125" style="3" customWidth="1"/>
    <col min="1468" max="1468" width="13.42578125" style="3" customWidth="1"/>
    <col min="1469" max="1470" width="12.5703125" style="3" customWidth="1"/>
    <col min="1471" max="1471" width="14.85546875" style="3" customWidth="1"/>
    <col min="1472" max="1472" width="20.7109375" style="3" customWidth="1"/>
    <col min="1473" max="1473" width="12.5703125" style="3" customWidth="1"/>
    <col min="1474" max="1474" width="13" style="3" customWidth="1"/>
    <col min="1475" max="1475" width="16" style="3" customWidth="1"/>
    <col min="1476" max="1476" width="6.42578125" style="3" customWidth="1"/>
    <col min="1477" max="1477" width="16" style="3" customWidth="1"/>
    <col min="1478" max="1478" width="2.85546875" style="3" customWidth="1"/>
    <col min="1479" max="1479" width="0.85546875" style="3" customWidth="1"/>
    <col min="1480" max="1480" width="11" style="3"/>
    <col min="1481" max="1481" width="15.42578125" style="3" customWidth="1"/>
    <col min="1482" max="1484" width="14.85546875" style="3" customWidth="1"/>
    <col min="1485" max="1485" width="0.7109375" style="3" customWidth="1"/>
    <col min="1486" max="1486" width="11" style="3"/>
    <col min="1487" max="1487" width="15.7109375" style="3" customWidth="1"/>
    <col min="1488" max="1489" width="14.85546875" style="3" customWidth="1"/>
    <col min="1490" max="1490" width="3.28515625" style="3" customWidth="1"/>
    <col min="1491" max="1491" width="20.140625" style="3" customWidth="1"/>
    <col min="1492" max="1492" width="3.28515625" style="3" customWidth="1"/>
    <col min="1493" max="1497" width="11" style="3"/>
    <col min="1498" max="1510" width="4.7109375" style="3" customWidth="1"/>
    <col min="1511" max="1720" width="11" style="3"/>
    <col min="1721" max="1721" width="0.7109375" style="3" customWidth="1"/>
    <col min="1722" max="1722" width="6.5703125" style="3" customWidth="1"/>
    <col min="1723" max="1723" width="13.5703125" style="3" customWidth="1"/>
    <col min="1724" max="1724" width="13.42578125" style="3" customWidth="1"/>
    <col min="1725" max="1726" width="12.5703125" style="3" customWidth="1"/>
    <col min="1727" max="1727" width="14.85546875" style="3" customWidth="1"/>
    <col min="1728" max="1728" width="20.7109375" style="3" customWidth="1"/>
    <col min="1729" max="1729" width="12.5703125" style="3" customWidth="1"/>
    <col min="1730" max="1730" width="13" style="3" customWidth="1"/>
    <col min="1731" max="1731" width="16" style="3" customWidth="1"/>
    <col min="1732" max="1732" width="6.42578125" style="3" customWidth="1"/>
    <col min="1733" max="1733" width="16" style="3" customWidth="1"/>
    <col min="1734" max="1734" width="2.85546875" style="3" customWidth="1"/>
    <col min="1735" max="1735" width="0.85546875" style="3" customWidth="1"/>
    <col min="1736" max="1736" width="11" style="3"/>
    <col min="1737" max="1737" width="15.42578125" style="3" customWidth="1"/>
    <col min="1738" max="1740" width="14.85546875" style="3" customWidth="1"/>
    <col min="1741" max="1741" width="0.7109375" style="3" customWidth="1"/>
    <col min="1742" max="1742" width="11" style="3"/>
    <col min="1743" max="1743" width="15.7109375" style="3" customWidth="1"/>
    <col min="1744" max="1745" width="14.85546875" style="3" customWidth="1"/>
    <col min="1746" max="1746" width="3.28515625" style="3" customWidth="1"/>
    <col min="1747" max="1747" width="20.140625" style="3" customWidth="1"/>
    <col min="1748" max="1748" width="3.28515625" style="3" customWidth="1"/>
    <col min="1749" max="1753" width="11" style="3"/>
    <col min="1754" max="1766" width="4.7109375" style="3" customWidth="1"/>
    <col min="1767" max="1976" width="11" style="3"/>
    <col min="1977" max="1977" width="0.7109375" style="3" customWidth="1"/>
    <col min="1978" max="1978" width="6.5703125" style="3" customWidth="1"/>
    <col min="1979" max="1979" width="13.5703125" style="3" customWidth="1"/>
    <col min="1980" max="1980" width="13.42578125" style="3" customWidth="1"/>
    <col min="1981" max="1982" width="12.5703125" style="3" customWidth="1"/>
    <col min="1983" max="1983" width="14.85546875" style="3" customWidth="1"/>
    <col min="1984" max="1984" width="20.7109375" style="3" customWidth="1"/>
    <col min="1985" max="1985" width="12.5703125" style="3" customWidth="1"/>
    <col min="1986" max="1986" width="13" style="3" customWidth="1"/>
    <col min="1987" max="1987" width="16" style="3" customWidth="1"/>
    <col min="1988" max="1988" width="6.42578125" style="3" customWidth="1"/>
    <col min="1989" max="1989" width="16" style="3" customWidth="1"/>
    <col min="1990" max="1990" width="2.85546875" style="3" customWidth="1"/>
    <col min="1991" max="1991" width="0.85546875" style="3" customWidth="1"/>
    <col min="1992" max="1992" width="11" style="3"/>
    <col min="1993" max="1993" width="15.42578125" style="3" customWidth="1"/>
    <col min="1994" max="1996" width="14.85546875" style="3" customWidth="1"/>
    <col min="1997" max="1997" width="0.7109375" style="3" customWidth="1"/>
    <col min="1998" max="1998" width="11" style="3"/>
    <col min="1999" max="1999" width="15.7109375" style="3" customWidth="1"/>
    <col min="2000" max="2001" width="14.85546875" style="3" customWidth="1"/>
    <col min="2002" max="2002" width="3.28515625" style="3" customWidth="1"/>
    <col min="2003" max="2003" width="20.140625" style="3" customWidth="1"/>
    <col min="2004" max="2004" width="3.28515625" style="3" customWidth="1"/>
    <col min="2005" max="2009" width="11" style="3"/>
    <col min="2010" max="2022" width="4.7109375" style="3" customWidth="1"/>
    <col min="2023" max="2232" width="11" style="3"/>
    <col min="2233" max="2233" width="0.7109375" style="3" customWidth="1"/>
    <col min="2234" max="2234" width="6.5703125" style="3" customWidth="1"/>
    <col min="2235" max="2235" width="13.5703125" style="3" customWidth="1"/>
    <col min="2236" max="2236" width="13.42578125" style="3" customWidth="1"/>
    <col min="2237" max="2238" width="12.5703125" style="3" customWidth="1"/>
    <col min="2239" max="2239" width="14.85546875" style="3" customWidth="1"/>
    <col min="2240" max="2240" width="20.7109375" style="3" customWidth="1"/>
    <col min="2241" max="2241" width="12.5703125" style="3" customWidth="1"/>
    <col min="2242" max="2242" width="13" style="3" customWidth="1"/>
    <col min="2243" max="2243" width="16" style="3" customWidth="1"/>
    <col min="2244" max="2244" width="6.42578125" style="3" customWidth="1"/>
    <col min="2245" max="2245" width="16" style="3" customWidth="1"/>
    <col min="2246" max="2246" width="2.85546875" style="3" customWidth="1"/>
    <col min="2247" max="2247" width="0.85546875" style="3" customWidth="1"/>
    <col min="2248" max="2248" width="11" style="3"/>
    <col min="2249" max="2249" width="15.42578125" style="3" customWidth="1"/>
    <col min="2250" max="2252" width="14.85546875" style="3" customWidth="1"/>
    <col min="2253" max="2253" width="0.7109375" style="3" customWidth="1"/>
    <col min="2254" max="2254" width="11" style="3"/>
    <col min="2255" max="2255" width="15.7109375" style="3" customWidth="1"/>
    <col min="2256" max="2257" width="14.85546875" style="3" customWidth="1"/>
    <col min="2258" max="2258" width="3.28515625" style="3" customWidth="1"/>
    <col min="2259" max="2259" width="20.140625" style="3" customWidth="1"/>
    <col min="2260" max="2260" width="3.28515625" style="3" customWidth="1"/>
    <col min="2261" max="2265" width="11" style="3"/>
    <col min="2266" max="2278" width="4.7109375" style="3" customWidth="1"/>
    <col min="2279" max="2488" width="11" style="3"/>
    <col min="2489" max="2489" width="0.7109375" style="3" customWidth="1"/>
    <col min="2490" max="2490" width="6.5703125" style="3" customWidth="1"/>
    <col min="2491" max="2491" width="13.5703125" style="3" customWidth="1"/>
    <col min="2492" max="2492" width="13.42578125" style="3" customWidth="1"/>
    <col min="2493" max="2494" width="12.5703125" style="3" customWidth="1"/>
    <col min="2495" max="2495" width="14.85546875" style="3" customWidth="1"/>
    <col min="2496" max="2496" width="20.7109375" style="3" customWidth="1"/>
    <col min="2497" max="2497" width="12.5703125" style="3" customWidth="1"/>
    <col min="2498" max="2498" width="13" style="3" customWidth="1"/>
    <col min="2499" max="2499" width="16" style="3" customWidth="1"/>
    <col min="2500" max="2500" width="6.42578125" style="3" customWidth="1"/>
    <col min="2501" max="2501" width="16" style="3" customWidth="1"/>
    <col min="2502" max="2502" width="2.85546875" style="3" customWidth="1"/>
    <col min="2503" max="2503" width="0.85546875" style="3" customWidth="1"/>
    <col min="2504" max="2504" width="11" style="3"/>
    <col min="2505" max="2505" width="15.42578125" style="3" customWidth="1"/>
    <col min="2506" max="2508" width="14.85546875" style="3" customWidth="1"/>
    <col min="2509" max="2509" width="0.7109375" style="3" customWidth="1"/>
    <col min="2510" max="2510" width="11" style="3"/>
    <col min="2511" max="2511" width="15.7109375" style="3" customWidth="1"/>
    <col min="2512" max="2513" width="14.85546875" style="3" customWidth="1"/>
    <col min="2514" max="2514" width="3.28515625" style="3" customWidth="1"/>
    <col min="2515" max="2515" width="20.140625" style="3" customWidth="1"/>
    <col min="2516" max="2516" width="3.28515625" style="3" customWidth="1"/>
    <col min="2517" max="2521" width="11" style="3"/>
    <col min="2522" max="2534" width="4.7109375" style="3" customWidth="1"/>
    <col min="2535" max="2744" width="11" style="3"/>
    <col min="2745" max="2745" width="0.7109375" style="3" customWidth="1"/>
    <col min="2746" max="2746" width="6.5703125" style="3" customWidth="1"/>
    <col min="2747" max="2747" width="13.5703125" style="3" customWidth="1"/>
    <col min="2748" max="2748" width="13.42578125" style="3" customWidth="1"/>
    <col min="2749" max="2750" width="12.5703125" style="3" customWidth="1"/>
    <col min="2751" max="2751" width="14.85546875" style="3" customWidth="1"/>
    <col min="2752" max="2752" width="20.7109375" style="3" customWidth="1"/>
    <col min="2753" max="2753" width="12.5703125" style="3" customWidth="1"/>
    <col min="2754" max="2754" width="13" style="3" customWidth="1"/>
    <col min="2755" max="2755" width="16" style="3" customWidth="1"/>
    <col min="2756" max="2756" width="6.42578125" style="3" customWidth="1"/>
    <col min="2757" max="2757" width="16" style="3" customWidth="1"/>
    <col min="2758" max="2758" width="2.85546875" style="3" customWidth="1"/>
    <col min="2759" max="2759" width="0.85546875" style="3" customWidth="1"/>
    <col min="2760" max="2760" width="11" style="3"/>
    <col min="2761" max="2761" width="15.42578125" style="3" customWidth="1"/>
    <col min="2762" max="2764" width="14.85546875" style="3" customWidth="1"/>
    <col min="2765" max="2765" width="0.7109375" style="3" customWidth="1"/>
    <col min="2766" max="2766" width="11" style="3"/>
    <col min="2767" max="2767" width="15.7109375" style="3" customWidth="1"/>
    <col min="2768" max="2769" width="14.85546875" style="3" customWidth="1"/>
    <col min="2770" max="2770" width="3.28515625" style="3" customWidth="1"/>
    <col min="2771" max="2771" width="20.140625" style="3" customWidth="1"/>
    <col min="2772" max="2772" width="3.28515625" style="3" customWidth="1"/>
    <col min="2773" max="2777" width="11" style="3"/>
    <col min="2778" max="2790" width="4.7109375" style="3" customWidth="1"/>
    <col min="2791" max="3000" width="11" style="3"/>
    <col min="3001" max="3001" width="0.7109375" style="3" customWidth="1"/>
    <col min="3002" max="3002" width="6.5703125" style="3" customWidth="1"/>
    <col min="3003" max="3003" width="13.5703125" style="3" customWidth="1"/>
    <col min="3004" max="3004" width="13.42578125" style="3" customWidth="1"/>
    <col min="3005" max="3006" width="12.5703125" style="3" customWidth="1"/>
    <col min="3007" max="3007" width="14.85546875" style="3" customWidth="1"/>
    <col min="3008" max="3008" width="20.7109375" style="3" customWidth="1"/>
    <col min="3009" max="3009" width="12.5703125" style="3" customWidth="1"/>
    <col min="3010" max="3010" width="13" style="3" customWidth="1"/>
    <col min="3011" max="3011" width="16" style="3" customWidth="1"/>
    <col min="3012" max="3012" width="6.42578125" style="3" customWidth="1"/>
    <col min="3013" max="3013" width="16" style="3" customWidth="1"/>
    <col min="3014" max="3014" width="2.85546875" style="3" customWidth="1"/>
    <col min="3015" max="3015" width="0.85546875" style="3" customWidth="1"/>
    <col min="3016" max="3016" width="11" style="3"/>
    <col min="3017" max="3017" width="15.42578125" style="3" customWidth="1"/>
    <col min="3018" max="3020" width="14.85546875" style="3" customWidth="1"/>
    <col min="3021" max="3021" width="0.7109375" style="3" customWidth="1"/>
    <col min="3022" max="3022" width="11" style="3"/>
    <col min="3023" max="3023" width="15.7109375" style="3" customWidth="1"/>
    <col min="3024" max="3025" width="14.85546875" style="3" customWidth="1"/>
    <col min="3026" max="3026" width="3.28515625" style="3" customWidth="1"/>
    <col min="3027" max="3027" width="20.140625" style="3" customWidth="1"/>
    <col min="3028" max="3028" width="3.28515625" style="3" customWidth="1"/>
    <col min="3029" max="3033" width="11" style="3"/>
    <col min="3034" max="3046" width="4.7109375" style="3" customWidth="1"/>
    <col min="3047" max="3256" width="11" style="3"/>
    <col min="3257" max="3257" width="0.7109375" style="3" customWidth="1"/>
    <col min="3258" max="3258" width="6.5703125" style="3" customWidth="1"/>
    <col min="3259" max="3259" width="13.5703125" style="3" customWidth="1"/>
    <col min="3260" max="3260" width="13.42578125" style="3" customWidth="1"/>
    <col min="3261" max="3262" width="12.5703125" style="3" customWidth="1"/>
    <col min="3263" max="3263" width="14.85546875" style="3" customWidth="1"/>
    <col min="3264" max="3264" width="20.7109375" style="3" customWidth="1"/>
    <col min="3265" max="3265" width="12.5703125" style="3" customWidth="1"/>
    <col min="3266" max="3266" width="13" style="3" customWidth="1"/>
    <col min="3267" max="3267" width="16" style="3" customWidth="1"/>
    <col min="3268" max="3268" width="6.42578125" style="3" customWidth="1"/>
    <col min="3269" max="3269" width="16" style="3" customWidth="1"/>
    <col min="3270" max="3270" width="2.85546875" style="3" customWidth="1"/>
    <col min="3271" max="3271" width="0.85546875" style="3" customWidth="1"/>
    <col min="3272" max="3272" width="11" style="3"/>
    <col min="3273" max="3273" width="15.42578125" style="3" customWidth="1"/>
    <col min="3274" max="3276" width="14.85546875" style="3" customWidth="1"/>
    <col min="3277" max="3277" width="0.7109375" style="3" customWidth="1"/>
    <col min="3278" max="3278" width="11" style="3"/>
    <col min="3279" max="3279" width="15.7109375" style="3" customWidth="1"/>
    <col min="3280" max="3281" width="14.85546875" style="3" customWidth="1"/>
    <col min="3282" max="3282" width="3.28515625" style="3" customWidth="1"/>
    <col min="3283" max="3283" width="20.140625" style="3" customWidth="1"/>
    <col min="3284" max="3284" width="3.28515625" style="3" customWidth="1"/>
    <col min="3285" max="3289" width="11" style="3"/>
    <col min="3290" max="3302" width="4.7109375" style="3" customWidth="1"/>
    <col min="3303" max="3512" width="11" style="3"/>
    <col min="3513" max="3513" width="0.7109375" style="3" customWidth="1"/>
    <col min="3514" max="3514" width="6.5703125" style="3" customWidth="1"/>
    <col min="3515" max="3515" width="13.5703125" style="3" customWidth="1"/>
    <col min="3516" max="3516" width="13.42578125" style="3" customWidth="1"/>
    <col min="3517" max="3518" width="12.5703125" style="3" customWidth="1"/>
    <col min="3519" max="3519" width="14.85546875" style="3" customWidth="1"/>
    <col min="3520" max="3520" width="20.7109375" style="3" customWidth="1"/>
    <col min="3521" max="3521" width="12.5703125" style="3" customWidth="1"/>
    <col min="3522" max="3522" width="13" style="3" customWidth="1"/>
    <col min="3523" max="3523" width="16" style="3" customWidth="1"/>
    <col min="3524" max="3524" width="6.42578125" style="3" customWidth="1"/>
    <col min="3525" max="3525" width="16" style="3" customWidth="1"/>
    <col min="3526" max="3526" width="2.85546875" style="3" customWidth="1"/>
    <col min="3527" max="3527" width="0.85546875" style="3" customWidth="1"/>
    <col min="3528" max="3528" width="11" style="3"/>
    <col min="3529" max="3529" width="15.42578125" style="3" customWidth="1"/>
    <col min="3530" max="3532" width="14.85546875" style="3" customWidth="1"/>
    <col min="3533" max="3533" width="0.7109375" style="3" customWidth="1"/>
    <col min="3534" max="3534" width="11" style="3"/>
    <col min="3535" max="3535" width="15.7109375" style="3" customWidth="1"/>
    <col min="3536" max="3537" width="14.85546875" style="3" customWidth="1"/>
    <col min="3538" max="3538" width="3.28515625" style="3" customWidth="1"/>
    <col min="3539" max="3539" width="20.140625" style="3" customWidth="1"/>
    <col min="3540" max="3540" width="3.28515625" style="3" customWidth="1"/>
    <col min="3541" max="3545" width="11" style="3"/>
    <col min="3546" max="3558" width="4.7109375" style="3" customWidth="1"/>
    <col min="3559" max="3768" width="11" style="3"/>
    <col min="3769" max="3769" width="0.7109375" style="3" customWidth="1"/>
    <col min="3770" max="3770" width="6.5703125" style="3" customWidth="1"/>
    <col min="3771" max="3771" width="13.5703125" style="3" customWidth="1"/>
    <col min="3772" max="3772" width="13.42578125" style="3" customWidth="1"/>
    <col min="3773" max="3774" width="12.5703125" style="3" customWidth="1"/>
    <col min="3775" max="3775" width="14.85546875" style="3" customWidth="1"/>
    <col min="3776" max="3776" width="20.7109375" style="3" customWidth="1"/>
    <col min="3777" max="3777" width="12.5703125" style="3" customWidth="1"/>
    <col min="3778" max="3778" width="13" style="3" customWidth="1"/>
    <col min="3779" max="3779" width="16" style="3" customWidth="1"/>
    <col min="3780" max="3780" width="6.42578125" style="3" customWidth="1"/>
    <col min="3781" max="3781" width="16" style="3" customWidth="1"/>
    <col min="3782" max="3782" width="2.85546875" style="3" customWidth="1"/>
    <col min="3783" max="3783" width="0.85546875" style="3" customWidth="1"/>
    <col min="3784" max="3784" width="11" style="3"/>
    <col min="3785" max="3785" width="15.42578125" style="3" customWidth="1"/>
    <col min="3786" max="3788" width="14.85546875" style="3" customWidth="1"/>
    <col min="3789" max="3789" width="0.7109375" style="3" customWidth="1"/>
    <col min="3790" max="3790" width="11" style="3"/>
    <col min="3791" max="3791" width="15.7109375" style="3" customWidth="1"/>
    <col min="3792" max="3793" width="14.85546875" style="3" customWidth="1"/>
    <col min="3794" max="3794" width="3.28515625" style="3" customWidth="1"/>
    <col min="3795" max="3795" width="20.140625" style="3" customWidth="1"/>
    <col min="3796" max="3796" width="3.28515625" style="3" customWidth="1"/>
    <col min="3797" max="3801" width="11" style="3"/>
    <col min="3802" max="3814" width="4.7109375" style="3" customWidth="1"/>
    <col min="3815" max="4024" width="11" style="3"/>
    <col min="4025" max="4025" width="0.7109375" style="3" customWidth="1"/>
    <col min="4026" max="4026" width="6.5703125" style="3" customWidth="1"/>
    <col min="4027" max="4027" width="13.5703125" style="3" customWidth="1"/>
    <col min="4028" max="4028" width="13.42578125" style="3" customWidth="1"/>
    <col min="4029" max="4030" width="12.5703125" style="3" customWidth="1"/>
    <col min="4031" max="4031" width="14.85546875" style="3" customWidth="1"/>
    <col min="4032" max="4032" width="20.7109375" style="3" customWidth="1"/>
    <col min="4033" max="4033" width="12.5703125" style="3" customWidth="1"/>
    <col min="4034" max="4034" width="13" style="3" customWidth="1"/>
    <col min="4035" max="4035" width="16" style="3" customWidth="1"/>
    <col min="4036" max="4036" width="6.42578125" style="3" customWidth="1"/>
    <col min="4037" max="4037" width="16" style="3" customWidth="1"/>
    <col min="4038" max="4038" width="2.85546875" style="3" customWidth="1"/>
    <col min="4039" max="4039" width="0.85546875" style="3" customWidth="1"/>
    <col min="4040" max="4040" width="11" style="3"/>
    <col min="4041" max="4041" width="15.42578125" style="3" customWidth="1"/>
    <col min="4042" max="4044" width="14.85546875" style="3" customWidth="1"/>
    <col min="4045" max="4045" width="0.7109375" style="3" customWidth="1"/>
    <col min="4046" max="4046" width="11" style="3"/>
    <col min="4047" max="4047" width="15.7109375" style="3" customWidth="1"/>
    <col min="4048" max="4049" width="14.85546875" style="3" customWidth="1"/>
    <col min="4050" max="4050" width="3.28515625" style="3" customWidth="1"/>
    <col min="4051" max="4051" width="20.140625" style="3" customWidth="1"/>
    <col min="4052" max="4052" width="3.28515625" style="3" customWidth="1"/>
    <col min="4053" max="4057" width="11" style="3"/>
    <col min="4058" max="4070" width="4.7109375" style="3" customWidth="1"/>
    <col min="4071" max="4280" width="11" style="3"/>
    <col min="4281" max="4281" width="0.7109375" style="3" customWidth="1"/>
    <col min="4282" max="4282" width="6.5703125" style="3" customWidth="1"/>
    <col min="4283" max="4283" width="13.5703125" style="3" customWidth="1"/>
    <col min="4284" max="4284" width="13.42578125" style="3" customWidth="1"/>
    <col min="4285" max="4286" width="12.5703125" style="3" customWidth="1"/>
    <col min="4287" max="4287" width="14.85546875" style="3" customWidth="1"/>
    <col min="4288" max="4288" width="20.7109375" style="3" customWidth="1"/>
    <col min="4289" max="4289" width="12.5703125" style="3" customWidth="1"/>
    <col min="4290" max="4290" width="13" style="3" customWidth="1"/>
    <col min="4291" max="4291" width="16" style="3" customWidth="1"/>
    <col min="4292" max="4292" width="6.42578125" style="3" customWidth="1"/>
    <col min="4293" max="4293" width="16" style="3" customWidth="1"/>
    <col min="4294" max="4294" width="2.85546875" style="3" customWidth="1"/>
    <col min="4295" max="4295" width="0.85546875" style="3" customWidth="1"/>
    <col min="4296" max="4296" width="11" style="3"/>
    <col min="4297" max="4297" width="15.42578125" style="3" customWidth="1"/>
    <col min="4298" max="4300" width="14.85546875" style="3" customWidth="1"/>
    <col min="4301" max="4301" width="0.7109375" style="3" customWidth="1"/>
    <col min="4302" max="4302" width="11" style="3"/>
    <col min="4303" max="4303" width="15.7109375" style="3" customWidth="1"/>
    <col min="4304" max="4305" width="14.85546875" style="3" customWidth="1"/>
    <col min="4306" max="4306" width="3.28515625" style="3" customWidth="1"/>
    <col min="4307" max="4307" width="20.140625" style="3" customWidth="1"/>
    <col min="4308" max="4308" width="3.28515625" style="3" customWidth="1"/>
    <col min="4309" max="4313" width="11" style="3"/>
    <col min="4314" max="4326" width="4.7109375" style="3" customWidth="1"/>
    <col min="4327" max="4536" width="11" style="3"/>
    <col min="4537" max="4537" width="0.7109375" style="3" customWidth="1"/>
    <col min="4538" max="4538" width="6.5703125" style="3" customWidth="1"/>
    <col min="4539" max="4539" width="13.5703125" style="3" customWidth="1"/>
    <col min="4540" max="4540" width="13.42578125" style="3" customWidth="1"/>
    <col min="4541" max="4542" width="12.5703125" style="3" customWidth="1"/>
    <col min="4543" max="4543" width="14.85546875" style="3" customWidth="1"/>
    <col min="4544" max="4544" width="20.7109375" style="3" customWidth="1"/>
    <col min="4545" max="4545" width="12.5703125" style="3" customWidth="1"/>
    <col min="4546" max="4546" width="13" style="3" customWidth="1"/>
    <col min="4547" max="4547" width="16" style="3" customWidth="1"/>
    <col min="4548" max="4548" width="6.42578125" style="3" customWidth="1"/>
    <col min="4549" max="4549" width="16" style="3" customWidth="1"/>
    <col min="4550" max="4550" width="2.85546875" style="3" customWidth="1"/>
    <col min="4551" max="4551" width="0.85546875" style="3" customWidth="1"/>
    <col min="4552" max="4552" width="11" style="3"/>
    <col min="4553" max="4553" width="15.42578125" style="3" customWidth="1"/>
    <col min="4554" max="4556" width="14.85546875" style="3" customWidth="1"/>
    <col min="4557" max="4557" width="0.7109375" style="3" customWidth="1"/>
    <col min="4558" max="4558" width="11" style="3"/>
    <col min="4559" max="4559" width="15.7109375" style="3" customWidth="1"/>
    <col min="4560" max="4561" width="14.85546875" style="3" customWidth="1"/>
    <col min="4562" max="4562" width="3.28515625" style="3" customWidth="1"/>
    <col min="4563" max="4563" width="20.140625" style="3" customWidth="1"/>
    <col min="4564" max="4564" width="3.28515625" style="3" customWidth="1"/>
    <col min="4565" max="4569" width="11" style="3"/>
    <col min="4570" max="4582" width="4.7109375" style="3" customWidth="1"/>
    <col min="4583" max="4792" width="11" style="3"/>
    <col min="4793" max="4793" width="0.7109375" style="3" customWidth="1"/>
    <col min="4794" max="4794" width="6.5703125" style="3" customWidth="1"/>
    <col min="4795" max="4795" width="13.5703125" style="3" customWidth="1"/>
    <col min="4796" max="4796" width="13.42578125" style="3" customWidth="1"/>
    <col min="4797" max="4798" width="12.5703125" style="3" customWidth="1"/>
    <col min="4799" max="4799" width="14.85546875" style="3" customWidth="1"/>
    <col min="4800" max="4800" width="20.7109375" style="3" customWidth="1"/>
    <col min="4801" max="4801" width="12.5703125" style="3" customWidth="1"/>
    <col min="4802" max="4802" width="13" style="3" customWidth="1"/>
    <col min="4803" max="4803" width="16" style="3" customWidth="1"/>
    <col min="4804" max="4804" width="6.42578125" style="3" customWidth="1"/>
    <col min="4805" max="4805" width="16" style="3" customWidth="1"/>
    <col min="4806" max="4806" width="2.85546875" style="3" customWidth="1"/>
    <col min="4807" max="4807" width="0.85546875" style="3" customWidth="1"/>
    <col min="4808" max="4808" width="11" style="3"/>
    <col min="4809" max="4809" width="15.42578125" style="3" customWidth="1"/>
    <col min="4810" max="4812" width="14.85546875" style="3" customWidth="1"/>
    <col min="4813" max="4813" width="0.7109375" style="3" customWidth="1"/>
    <col min="4814" max="4814" width="11" style="3"/>
    <col min="4815" max="4815" width="15.7109375" style="3" customWidth="1"/>
    <col min="4816" max="4817" width="14.85546875" style="3" customWidth="1"/>
    <col min="4818" max="4818" width="3.28515625" style="3" customWidth="1"/>
    <col min="4819" max="4819" width="20.140625" style="3" customWidth="1"/>
    <col min="4820" max="4820" width="3.28515625" style="3" customWidth="1"/>
    <col min="4821" max="4825" width="11" style="3"/>
    <col min="4826" max="4838" width="4.7109375" style="3" customWidth="1"/>
    <col min="4839" max="5048" width="11" style="3"/>
    <col min="5049" max="5049" width="0.7109375" style="3" customWidth="1"/>
    <col min="5050" max="5050" width="6.5703125" style="3" customWidth="1"/>
    <col min="5051" max="5051" width="13.5703125" style="3" customWidth="1"/>
    <col min="5052" max="5052" width="13.42578125" style="3" customWidth="1"/>
    <col min="5053" max="5054" width="12.5703125" style="3" customWidth="1"/>
    <col min="5055" max="5055" width="14.85546875" style="3" customWidth="1"/>
    <col min="5056" max="5056" width="20.7109375" style="3" customWidth="1"/>
    <col min="5057" max="5057" width="12.5703125" style="3" customWidth="1"/>
    <col min="5058" max="5058" width="13" style="3" customWidth="1"/>
    <col min="5059" max="5059" width="16" style="3" customWidth="1"/>
    <col min="5060" max="5060" width="6.42578125" style="3" customWidth="1"/>
    <col min="5061" max="5061" width="16" style="3" customWidth="1"/>
    <col min="5062" max="5062" width="2.85546875" style="3" customWidth="1"/>
    <col min="5063" max="5063" width="0.85546875" style="3" customWidth="1"/>
    <col min="5064" max="5064" width="11" style="3"/>
    <col min="5065" max="5065" width="15.42578125" style="3" customWidth="1"/>
    <col min="5066" max="5068" width="14.85546875" style="3" customWidth="1"/>
    <col min="5069" max="5069" width="0.7109375" style="3" customWidth="1"/>
    <col min="5070" max="5070" width="11" style="3"/>
    <col min="5071" max="5071" width="15.7109375" style="3" customWidth="1"/>
    <col min="5072" max="5073" width="14.85546875" style="3" customWidth="1"/>
    <col min="5074" max="5074" width="3.28515625" style="3" customWidth="1"/>
    <col min="5075" max="5075" width="20.140625" style="3" customWidth="1"/>
    <col min="5076" max="5076" width="3.28515625" style="3" customWidth="1"/>
    <col min="5077" max="5081" width="11" style="3"/>
    <col min="5082" max="5094" width="4.7109375" style="3" customWidth="1"/>
    <col min="5095" max="5304" width="11" style="3"/>
    <col min="5305" max="5305" width="0.7109375" style="3" customWidth="1"/>
    <col min="5306" max="5306" width="6.5703125" style="3" customWidth="1"/>
    <col min="5307" max="5307" width="13.5703125" style="3" customWidth="1"/>
    <col min="5308" max="5308" width="13.42578125" style="3" customWidth="1"/>
    <col min="5309" max="5310" width="12.5703125" style="3" customWidth="1"/>
    <col min="5311" max="5311" width="14.85546875" style="3" customWidth="1"/>
    <col min="5312" max="5312" width="20.7109375" style="3" customWidth="1"/>
    <col min="5313" max="5313" width="12.5703125" style="3" customWidth="1"/>
    <col min="5314" max="5314" width="13" style="3" customWidth="1"/>
    <col min="5315" max="5315" width="16" style="3" customWidth="1"/>
    <col min="5316" max="5316" width="6.42578125" style="3" customWidth="1"/>
    <col min="5317" max="5317" width="16" style="3" customWidth="1"/>
    <col min="5318" max="5318" width="2.85546875" style="3" customWidth="1"/>
    <col min="5319" max="5319" width="0.85546875" style="3" customWidth="1"/>
    <col min="5320" max="5320" width="11" style="3"/>
    <col min="5321" max="5321" width="15.42578125" style="3" customWidth="1"/>
    <col min="5322" max="5324" width="14.85546875" style="3" customWidth="1"/>
    <col min="5325" max="5325" width="0.7109375" style="3" customWidth="1"/>
    <col min="5326" max="5326" width="11" style="3"/>
    <col min="5327" max="5327" width="15.7109375" style="3" customWidth="1"/>
    <col min="5328" max="5329" width="14.85546875" style="3" customWidth="1"/>
    <col min="5330" max="5330" width="3.28515625" style="3" customWidth="1"/>
    <col min="5331" max="5331" width="20.140625" style="3" customWidth="1"/>
    <col min="5332" max="5332" width="3.28515625" style="3" customWidth="1"/>
    <col min="5333" max="5337" width="11" style="3"/>
    <col min="5338" max="5350" width="4.7109375" style="3" customWidth="1"/>
    <col min="5351" max="5560" width="11" style="3"/>
    <col min="5561" max="5561" width="0.7109375" style="3" customWidth="1"/>
    <col min="5562" max="5562" width="6.5703125" style="3" customWidth="1"/>
    <col min="5563" max="5563" width="13.5703125" style="3" customWidth="1"/>
    <col min="5564" max="5564" width="13.42578125" style="3" customWidth="1"/>
    <col min="5565" max="5566" width="12.5703125" style="3" customWidth="1"/>
    <col min="5567" max="5567" width="14.85546875" style="3" customWidth="1"/>
    <col min="5568" max="5568" width="20.7109375" style="3" customWidth="1"/>
    <col min="5569" max="5569" width="12.5703125" style="3" customWidth="1"/>
    <col min="5570" max="5570" width="13" style="3" customWidth="1"/>
    <col min="5571" max="5571" width="16" style="3" customWidth="1"/>
    <col min="5572" max="5572" width="6.42578125" style="3" customWidth="1"/>
    <col min="5573" max="5573" width="16" style="3" customWidth="1"/>
    <col min="5574" max="5574" width="2.85546875" style="3" customWidth="1"/>
    <col min="5575" max="5575" width="0.85546875" style="3" customWidth="1"/>
    <col min="5576" max="5576" width="11" style="3"/>
    <col min="5577" max="5577" width="15.42578125" style="3" customWidth="1"/>
    <col min="5578" max="5580" width="14.85546875" style="3" customWidth="1"/>
    <col min="5581" max="5581" width="0.7109375" style="3" customWidth="1"/>
    <col min="5582" max="5582" width="11" style="3"/>
    <col min="5583" max="5583" width="15.7109375" style="3" customWidth="1"/>
    <col min="5584" max="5585" width="14.85546875" style="3" customWidth="1"/>
    <col min="5586" max="5586" width="3.28515625" style="3" customWidth="1"/>
    <col min="5587" max="5587" width="20.140625" style="3" customWidth="1"/>
    <col min="5588" max="5588" width="3.28515625" style="3" customWidth="1"/>
    <col min="5589" max="5593" width="11" style="3"/>
    <col min="5594" max="5606" width="4.7109375" style="3" customWidth="1"/>
    <col min="5607" max="5816" width="11" style="3"/>
    <col min="5817" max="5817" width="0.7109375" style="3" customWidth="1"/>
    <col min="5818" max="5818" width="6.5703125" style="3" customWidth="1"/>
    <col min="5819" max="5819" width="13.5703125" style="3" customWidth="1"/>
    <col min="5820" max="5820" width="13.42578125" style="3" customWidth="1"/>
    <col min="5821" max="5822" width="12.5703125" style="3" customWidth="1"/>
    <col min="5823" max="5823" width="14.85546875" style="3" customWidth="1"/>
    <col min="5824" max="5824" width="20.7109375" style="3" customWidth="1"/>
    <col min="5825" max="5825" width="12.5703125" style="3" customWidth="1"/>
    <col min="5826" max="5826" width="13" style="3" customWidth="1"/>
    <col min="5827" max="5827" width="16" style="3" customWidth="1"/>
    <col min="5828" max="5828" width="6.42578125" style="3" customWidth="1"/>
    <col min="5829" max="5829" width="16" style="3" customWidth="1"/>
    <col min="5830" max="5830" width="2.85546875" style="3" customWidth="1"/>
    <col min="5831" max="5831" width="0.85546875" style="3" customWidth="1"/>
    <col min="5832" max="5832" width="11" style="3"/>
    <col min="5833" max="5833" width="15.42578125" style="3" customWidth="1"/>
    <col min="5834" max="5836" width="14.85546875" style="3" customWidth="1"/>
    <col min="5837" max="5837" width="0.7109375" style="3" customWidth="1"/>
    <col min="5838" max="5838" width="11" style="3"/>
    <col min="5839" max="5839" width="15.7109375" style="3" customWidth="1"/>
    <col min="5840" max="5841" width="14.85546875" style="3" customWidth="1"/>
    <col min="5842" max="5842" width="3.28515625" style="3" customWidth="1"/>
    <col min="5843" max="5843" width="20.140625" style="3" customWidth="1"/>
    <col min="5844" max="5844" width="3.28515625" style="3" customWidth="1"/>
    <col min="5845" max="5849" width="11" style="3"/>
    <col min="5850" max="5862" width="4.7109375" style="3" customWidth="1"/>
    <col min="5863" max="6072" width="11" style="3"/>
    <col min="6073" max="6073" width="0.7109375" style="3" customWidth="1"/>
    <col min="6074" max="6074" width="6.5703125" style="3" customWidth="1"/>
    <col min="6075" max="6075" width="13.5703125" style="3" customWidth="1"/>
    <col min="6076" max="6076" width="13.42578125" style="3" customWidth="1"/>
    <col min="6077" max="6078" width="12.5703125" style="3" customWidth="1"/>
    <col min="6079" max="6079" width="14.85546875" style="3" customWidth="1"/>
    <col min="6080" max="6080" width="20.7109375" style="3" customWidth="1"/>
    <col min="6081" max="6081" width="12.5703125" style="3" customWidth="1"/>
    <col min="6082" max="6082" width="13" style="3" customWidth="1"/>
    <col min="6083" max="6083" width="16" style="3" customWidth="1"/>
    <col min="6084" max="6084" width="6.42578125" style="3" customWidth="1"/>
    <col min="6085" max="6085" width="16" style="3" customWidth="1"/>
    <col min="6086" max="6086" width="2.85546875" style="3" customWidth="1"/>
    <col min="6087" max="6087" width="0.85546875" style="3" customWidth="1"/>
    <col min="6088" max="6088" width="11" style="3"/>
    <col min="6089" max="6089" width="15.42578125" style="3" customWidth="1"/>
    <col min="6090" max="6092" width="14.85546875" style="3" customWidth="1"/>
    <col min="6093" max="6093" width="0.7109375" style="3" customWidth="1"/>
    <col min="6094" max="6094" width="11" style="3"/>
    <col min="6095" max="6095" width="15.7109375" style="3" customWidth="1"/>
    <col min="6096" max="6097" width="14.85546875" style="3" customWidth="1"/>
    <col min="6098" max="6098" width="3.28515625" style="3" customWidth="1"/>
    <col min="6099" max="6099" width="20.140625" style="3" customWidth="1"/>
    <col min="6100" max="6100" width="3.28515625" style="3" customWidth="1"/>
    <col min="6101" max="6105" width="11" style="3"/>
    <col min="6106" max="6118" width="4.7109375" style="3" customWidth="1"/>
    <col min="6119" max="6328" width="11" style="3"/>
    <col min="6329" max="6329" width="0.7109375" style="3" customWidth="1"/>
    <col min="6330" max="6330" width="6.5703125" style="3" customWidth="1"/>
    <col min="6331" max="6331" width="13.5703125" style="3" customWidth="1"/>
    <col min="6332" max="6332" width="13.42578125" style="3" customWidth="1"/>
    <col min="6333" max="6334" width="12.5703125" style="3" customWidth="1"/>
    <col min="6335" max="6335" width="14.85546875" style="3" customWidth="1"/>
    <col min="6336" max="6336" width="20.7109375" style="3" customWidth="1"/>
    <col min="6337" max="6337" width="12.5703125" style="3" customWidth="1"/>
    <col min="6338" max="6338" width="13" style="3" customWidth="1"/>
    <col min="6339" max="6339" width="16" style="3" customWidth="1"/>
    <col min="6340" max="6340" width="6.42578125" style="3" customWidth="1"/>
    <col min="6341" max="6341" width="16" style="3" customWidth="1"/>
    <col min="6342" max="6342" width="2.85546875" style="3" customWidth="1"/>
    <col min="6343" max="6343" width="0.85546875" style="3" customWidth="1"/>
    <col min="6344" max="6344" width="11" style="3"/>
    <col min="6345" max="6345" width="15.42578125" style="3" customWidth="1"/>
    <col min="6346" max="6348" width="14.85546875" style="3" customWidth="1"/>
    <col min="6349" max="6349" width="0.7109375" style="3" customWidth="1"/>
    <col min="6350" max="6350" width="11" style="3"/>
    <col min="6351" max="6351" width="15.7109375" style="3" customWidth="1"/>
    <col min="6352" max="6353" width="14.85546875" style="3" customWidth="1"/>
    <col min="6354" max="6354" width="3.28515625" style="3" customWidth="1"/>
    <col min="6355" max="6355" width="20.140625" style="3" customWidth="1"/>
    <col min="6356" max="6356" width="3.28515625" style="3" customWidth="1"/>
    <col min="6357" max="6361" width="11" style="3"/>
    <col min="6362" max="6374" width="4.7109375" style="3" customWidth="1"/>
    <col min="6375" max="6584" width="11" style="3"/>
    <col min="6585" max="6585" width="0.7109375" style="3" customWidth="1"/>
    <col min="6586" max="6586" width="6.5703125" style="3" customWidth="1"/>
    <col min="6587" max="6587" width="13.5703125" style="3" customWidth="1"/>
    <col min="6588" max="6588" width="13.42578125" style="3" customWidth="1"/>
    <col min="6589" max="6590" width="12.5703125" style="3" customWidth="1"/>
    <col min="6591" max="6591" width="14.85546875" style="3" customWidth="1"/>
    <col min="6592" max="6592" width="20.7109375" style="3" customWidth="1"/>
    <col min="6593" max="6593" width="12.5703125" style="3" customWidth="1"/>
    <col min="6594" max="6594" width="13" style="3" customWidth="1"/>
    <col min="6595" max="6595" width="16" style="3" customWidth="1"/>
    <col min="6596" max="6596" width="6.42578125" style="3" customWidth="1"/>
    <col min="6597" max="6597" width="16" style="3" customWidth="1"/>
    <col min="6598" max="6598" width="2.85546875" style="3" customWidth="1"/>
    <col min="6599" max="6599" width="0.85546875" style="3" customWidth="1"/>
    <col min="6600" max="6600" width="11" style="3"/>
    <col min="6601" max="6601" width="15.42578125" style="3" customWidth="1"/>
    <col min="6602" max="6604" width="14.85546875" style="3" customWidth="1"/>
    <col min="6605" max="6605" width="0.7109375" style="3" customWidth="1"/>
    <col min="6606" max="6606" width="11" style="3"/>
    <col min="6607" max="6607" width="15.7109375" style="3" customWidth="1"/>
    <col min="6608" max="6609" width="14.85546875" style="3" customWidth="1"/>
    <col min="6610" max="6610" width="3.28515625" style="3" customWidth="1"/>
    <col min="6611" max="6611" width="20.140625" style="3" customWidth="1"/>
    <col min="6612" max="6612" width="3.28515625" style="3" customWidth="1"/>
    <col min="6613" max="6617" width="11" style="3"/>
    <col min="6618" max="6630" width="4.7109375" style="3" customWidth="1"/>
    <col min="6631" max="6840" width="11" style="3"/>
    <col min="6841" max="6841" width="0.7109375" style="3" customWidth="1"/>
    <col min="6842" max="6842" width="6.5703125" style="3" customWidth="1"/>
    <col min="6843" max="6843" width="13.5703125" style="3" customWidth="1"/>
    <col min="6844" max="6844" width="13.42578125" style="3" customWidth="1"/>
    <col min="6845" max="6846" width="12.5703125" style="3" customWidth="1"/>
    <col min="6847" max="6847" width="14.85546875" style="3" customWidth="1"/>
    <col min="6848" max="6848" width="20.7109375" style="3" customWidth="1"/>
    <col min="6849" max="6849" width="12.5703125" style="3" customWidth="1"/>
    <col min="6850" max="6850" width="13" style="3" customWidth="1"/>
    <col min="6851" max="6851" width="16" style="3" customWidth="1"/>
    <col min="6852" max="6852" width="6.42578125" style="3" customWidth="1"/>
    <col min="6853" max="6853" width="16" style="3" customWidth="1"/>
    <col min="6854" max="6854" width="2.85546875" style="3" customWidth="1"/>
    <col min="6855" max="6855" width="0.85546875" style="3" customWidth="1"/>
    <col min="6856" max="6856" width="11" style="3"/>
    <col min="6857" max="6857" width="15.42578125" style="3" customWidth="1"/>
    <col min="6858" max="6860" width="14.85546875" style="3" customWidth="1"/>
    <col min="6861" max="6861" width="0.7109375" style="3" customWidth="1"/>
    <col min="6862" max="6862" width="11" style="3"/>
    <col min="6863" max="6863" width="15.7109375" style="3" customWidth="1"/>
    <col min="6864" max="6865" width="14.85546875" style="3" customWidth="1"/>
    <col min="6866" max="6866" width="3.28515625" style="3" customWidth="1"/>
    <col min="6867" max="6867" width="20.140625" style="3" customWidth="1"/>
    <col min="6868" max="6868" width="3.28515625" style="3" customWidth="1"/>
    <col min="6869" max="6873" width="11" style="3"/>
    <col min="6874" max="6886" width="4.7109375" style="3" customWidth="1"/>
    <col min="6887" max="7096" width="11" style="3"/>
    <col min="7097" max="7097" width="0.7109375" style="3" customWidth="1"/>
    <col min="7098" max="7098" width="6.5703125" style="3" customWidth="1"/>
    <col min="7099" max="7099" width="13.5703125" style="3" customWidth="1"/>
    <col min="7100" max="7100" width="13.42578125" style="3" customWidth="1"/>
    <col min="7101" max="7102" width="12.5703125" style="3" customWidth="1"/>
    <col min="7103" max="7103" width="14.85546875" style="3" customWidth="1"/>
    <col min="7104" max="7104" width="20.7109375" style="3" customWidth="1"/>
    <col min="7105" max="7105" width="12.5703125" style="3" customWidth="1"/>
    <col min="7106" max="7106" width="13" style="3" customWidth="1"/>
    <col min="7107" max="7107" width="16" style="3" customWidth="1"/>
    <col min="7108" max="7108" width="6.42578125" style="3" customWidth="1"/>
    <col min="7109" max="7109" width="16" style="3" customWidth="1"/>
    <col min="7110" max="7110" width="2.85546875" style="3" customWidth="1"/>
    <col min="7111" max="7111" width="0.85546875" style="3" customWidth="1"/>
    <col min="7112" max="7112" width="11" style="3"/>
    <col min="7113" max="7113" width="15.42578125" style="3" customWidth="1"/>
    <col min="7114" max="7116" width="14.85546875" style="3" customWidth="1"/>
    <col min="7117" max="7117" width="0.7109375" style="3" customWidth="1"/>
    <col min="7118" max="7118" width="11" style="3"/>
    <col min="7119" max="7119" width="15.7109375" style="3" customWidth="1"/>
    <col min="7120" max="7121" width="14.85546875" style="3" customWidth="1"/>
    <col min="7122" max="7122" width="3.28515625" style="3" customWidth="1"/>
    <col min="7123" max="7123" width="20.140625" style="3" customWidth="1"/>
    <col min="7124" max="7124" width="3.28515625" style="3" customWidth="1"/>
    <col min="7125" max="7129" width="11" style="3"/>
    <col min="7130" max="7142" width="4.7109375" style="3" customWidth="1"/>
    <col min="7143" max="7352" width="11" style="3"/>
    <col min="7353" max="7353" width="0.7109375" style="3" customWidth="1"/>
    <col min="7354" max="7354" width="6.5703125" style="3" customWidth="1"/>
    <col min="7355" max="7355" width="13.5703125" style="3" customWidth="1"/>
    <col min="7356" max="7356" width="13.42578125" style="3" customWidth="1"/>
    <col min="7357" max="7358" width="12.5703125" style="3" customWidth="1"/>
    <col min="7359" max="7359" width="14.85546875" style="3" customWidth="1"/>
    <col min="7360" max="7360" width="20.7109375" style="3" customWidth="1"/>
    <col min="7361" max="7361" width="12.5703125" style="3" customWidth="1"/>
    <col min="7362" max="7362" width="13" style="3" customWidth="1"/>
    <col min="7363" max="7363" width="16" style="3" customWidth="1"/>
    <col min="7364" max="7364" width="6.42578125" style="3" customWidth="1"/>
    <col min="7365" max="7365" width="16" style="3" customWidth="1"/>
    <col min="7366" max="7366" width="2.85546875" style="3" customWidth="1"/>
    <col min="7367" max="7367" width="0.85546875" style="3" customWidth="1"/>
    <col min="7368" max="7368" width="11" style="3"/>
    <col min="7369" max="7369" width="15.42578125" style="3" customWidth="1"/>
    <col min="7370" max="7372" width="14.85546875" style="3" customWidth="1"/>
    <col min="7373" max="7373" width="0.7109375" style="3" customWidth="1"/>
    <col min="7374" max="7374" width="11" style="3"/>
    <col min="7375" max="7375" width="15.7109375" style="3" customWidth="1"/>
    <col min="7376" max="7377" width="14.85546875" style="3" customWidth="1"/>
    <col min="7378" max="7378" width="3.28515625" style="3" customWidth="1"/>
    <col min="7379" max="7379" width="20.140625" style="3" customWidth="1"/>
    <col min="7380" max="7380" width="3.28515625" style="3" customWidth="1"/>
    <col min="7381" max="7385" width="11" style="3"/>
    <col min="7386" max="7398" width="4.7109375" style="3" customWidth="1"/>
    <col min="7399" max="7608" width="11" style="3"/>
    <col min="7609" max="7609" width="0.7109375" style="3" customWidth="1"/>
    <col min="7610" max="7610" width="6.5703125" style="3" customWidth="1"/>
    <col min="7611" max="7611" width="13.5703125" style="3" customWidth="1"/>
    <col min="7612" max="7612" width="13.42578125" style="3" customWidth="1"/>
    <col min="7613" max="7614" width="12.5703125" style="3" customWidth="1"/>
    <col min="7615" max="7615" width="14.85546875" style="3" customWidth="1"/>
    <col min="7616" max="7616" width="20.7109375" style="3" customWidth="1"/>
    <col min="7617" max="7617" width="12.5703125" style="3" customWidth="1"/>
    <col min="7618" max="7618" width="13" style="3" customWidth="1"/>
    <col min="7619" max="7619" width="16" style="3" customWidth="1"/>
    <col min="7620" max="7620" width="6.42578125" style="3" customWidth="1"/>
    <col min="7621" max="7621" width="16" style="3" customWidth="1"/>
    <col min="7622" max="7622" width="2.85546875" style="3" customWidth="1"/>
    <col min="7623" max="7623" width="0.85546875" style="3" customWidth="1"/>
    <col min="7624" max="7624" width="11" style="3"/>
    <col min="7625" max="7625" width="15.42578125" style="3" customWidth="1"/>
    <col min="7626" max="7628" width="14.85546875" style="3" customWidth="1"/>
    <col min="7629" max="7629" width="0.7109375" style="3" customWidth="1"/>
    <col min="7630" max="7630" width="11" style="3"/>
    <col min="7631" max="7631" width="15.7109375" style="3" customWidth="1"/>
    <col min="7632" max="7633" width="14.85546875" style="3" customWidth="1"/>
    <col min="7634" max="7634" width="3.28515625" style="3" customWidth="1"/>
    <col min="7635" max="7635" width="20.140625" style="3" customWidth="1"/>
    <col min="7636" max="7636" width="3.28515625" style="3" customWidth="1"/>
    <col min="7637" max="7641" width="11" style="3"/>
    <col min="7642" max="7654" width="4.7109375" style="3" customWidth="1"/>
    <col min="7655" max="7864" width="11" style="3"/>
    <col min="7865" max="7865" width="0.7109375" style="3" customWidth="1"/>
    <col min="7866" max="7866" width="6.5703125" style="3" customWidth="1"/>
    <col min="7867" max="7867" width="13.5703125" style="3" customWidth="1"/>
    <col min="7868" max="7868" width="13.42578125" style="3" customWidth="1"/>
    <col min="7869" max="7870" width="12.5703125" style="3" customWidth="1"/>
    <col min="7871" max="7871" width="14.85546875" style="3" customWidth="1"/>
    <col min="7872" max="7872" width="20.7109375" style="3" customWidth="1"/>
    <col min="7873" max="7873" width="12.5703125" style="3" customWidth="1"/>
    <col min="7874" max="7874" width="13" style="3" customWidth="1"/>
    <col min="7875" max="7875" width="16" style="3" customWidth="1"/>
    <col min="7876" max="7876" width="6.42578125" style="3" customWidth="1"/>
    <col min="7877" max="7877" width="16" style="3" customWidth="1"/>
    <col min="7878" max="7878" width="2.85546875" style="3" customWidth="1"/>
    <col min="7879" max="7879" width="0.85546875" style="3" customWidth="1"/>
    <col min="7880" max="7880" width="11" style="3"/>
    <col min="7881" max="7881" width="15.42578125" style="3" customWidth="1"/>
    <col min="7882" max="7884" width="14.85546875" style="3" customWidth="1"/>
    <col min="7885" max="7885" width="0.7109375" style="3" customWidth="1"/>
    <col min="7886" max="7886" width="11" style="3"/>
    <col min="7887" max="7887" width="15.7109375" style="3" customWidth="1"/>
    <col min="7888" max="7889" width="14.85546875" style="3" customWidth="1"/>
    <col min="7890" max="7890" width="3.28515625" style="3" customWidth="1"/>
    <col min="7891" max="7891" width="20.140625" style="3" customWidth="1"/>
    <col min="7892" max="7892" width="3.28515625" style="3" customWidth="1"/>
    <col min="7893" max="7897" width="11" style="3"/>
    <col min="7898" max="7910" width="4.7109375" style="3" customWidth="1"/>
    <col min="7911" max="8120" width="11" style="3"/>
    <col min="8121" max="8121" width="0.7109375" style="3" customWidth="1"/>
    <col min="8122" max="8122" width="6.5703125" style="3" customWidth="1"/>
    <col min="8123" max="8123" width="13.5703125" style="3" customWidth="1"/>
    <col min="8124" max="8124" width="13.42578125" style="3" customWidth="1"/>
    <col min="8125" max="8126" width="12.5703125" style="3" customWidth="1"/>
    <col min="8127" max="8127" width="14.85546875" style="3" customWidth="1"/>
    <col min="8128" max="8128" width="20.7109375" style="3" customWidth="1"/>
    <col min="8129" max="8129" width="12.5703125" style="3" customWidth="1"/>
    <col min="8130" max="8130" width="13" style="3" customWidth="1"/>
    <col min="8131" max="8131" width="16" style="3" customWidth="1"/>
    <col min="8132" max="8132" width="6.42578125" style="3" customWidth="1"/>
    <col min="8133" max="8133" width="16" style="3" customWidth="1"/>
    <col min="8134" max="8134" width="2.85546875" style="3" customWidth="1"/>
    <col min="8135" max="8135" width="0.85546875" style="3" customWidth="1"/>
    <col min="8136" max="8136" width="11" style="3"/>
    <col min="8137" max="8137" width="15.42578125" style="3" customWidth="1"/>
    <col min="8138" max="8140" width="14.85546875" style="3" customWidth="1"/>
    <col min="8141" max="8141" width="0.7109375" style="3" customWidth="1"/>
    <col min="8142" max="8142" width="11" style="3"/>
    <col min="8143" max="8143" width="15.7109375" style="3" customWidth="1"/>
    <col min="8144" max="8145" width="14.85546875" style="3" customWidth="1"/>
    <col min="8146" max="8146" width="3.28515625" style="3" customWidth="1"/>
    <col min="8147" max="8147" width="20.140625" style="3" customWidth="1"/>
    <col min="8148" max="8148" width="3.28515625" style="3" customWidth="1"/>
    <col min="8149" max="8153" width="11" style="3"/>
    <col min="8154" max="8166" width="4.7109375" style="3" customWidth="1"/>
    <col min="8167" max="8376" width="11" style="3"/>
    <col min="8377" max="8377" width="0.7109375" style="3" customWidth="1"/>
    <col min="8378" max="8378" width="6.5703125" style="3" customWidth="1"/>
    <col min="8379" max="8379" width="13.5703125" style="3" customWidth="1"/>
    <col min="8380" max="8380" width="13.42578125" style="3" customWidth="1"/>
    <col min="8381" max="8382" width="12.5703125" style="3" customWidth="1"/>
    <col min="8383" max="8383" width="14.85546875" style="3" customWidth="1"/>
    <col min="8384" max="8384" width="20.7109375" style="3" customWidth="1"/>
    <col min="8385" max="8385" width="12.5703125" style="3" customWidth="1"/>
    <col min="8386" max="8386" width="13" style="3" customWidth="1"/>
    <col min="8387" max="8387" width="16" style="3" customWidth="1"/>
    <col min="8388" max="8388" width="6.42578125" style="3" customWidth="1"/>
    <col min="8389" max="8389" width="16" style="3" customWidth="1"/>
    <col min="8390" max="8390" width="2.85546875" style="3" customWidth="1"/>
    <col min="8391" max="8391" width="0.85546875" style="3" customWidth="1"/>
    <col min="8392" max="8392" width="11" style="3"/>
    <col min="8393" max="8393" width="15.42578125" style="3" customWidth="1"/>
    <col min="8394" max="8396" width="14.85546875" style="3" customWidth="1"/>
    <col min="8397" max="8397" width="0.7109375" style="3" customWidth="1"/>
    <col min="8398" max="8398" width="11" style="3"/>
    <col min="8399" max="8399" width="15.7109375" style="3" customWidth="1"/>
    <col min="8400" max="8401" width="14.85546875" style="3" customWidth="1"/>
    <col min="8402" max="8402" width="3.28515625" style="3" customWidth="1"/>
    <col min="8403" max="8403" width="20.140625" style="3" customWidth="1"/>
    <col min="8404" max="8404" width="3.28515625" style="3" customWidth="1"/>
    <col min="8405" max="8409" width="11" style="3"/>
    <col min="8410" max="8422" width="4.7109375" style="3" customWidth="1"/>
    <col min="8423" max="8632" width="11" style="3"/>
    <col min="8633" max="8633" width="0.7109375" style="3" customWidth="1"/>
    <col min="8634" max="8634" width="6.5703125" style="3" customWidth="1"/>
    <col min="8635" max="8635" width="13.5703125" style="3" customWidth="1"/>
    <col min="8636" max="8636" width="13.42578125" style="3" customWidth="1"/>
    <col min="8637" max="8638" width="12.5703125" style="3" customWidth="1"/>
    <col min="8639" max="8639" width="14.85546875" style="3" customWidth="1"/>
    <col min="8640" max="8640" width="20.7109375" style="3" customWidth="1"/>
    <col min="8641" max="8641" width="12.5703125" style="3" customWidth="1"/>
    <col min="8642" max="8642" width="13" style="3" customWidth="1"/>
    <col min="8643" max="8643" width="16" style="3" customWidth="1"/>
    <col min="8644" max="8644" width="6.42578125" style="3" customWidth="1"/>
    <col min="8645" max="8645" width="16" style="3" customWidth="1"/>
    <col min="8646" max="8646" width="2.85546875" style="3" customWidth="1"/>
    <col min="8647" max="8647" width="0.85546875" style="3" customWidth="1"/>
    <col min="8648" max="8648" width="11" style="3"/>
    <col min="8649" max="8649" width="15.42578125" style="3" customWidth="1"/>
    <col min="8650" max="8652" width="14.85546875" style="3" customWidth="1"/>
    <col min="8653" max="8653" width="0.7109375" style="3" customWidth="1"/>
    <col min="8654" max="8654" width="11" style="3"/>
    <col min="8655" max="8655" width="15.7109375" style="3" customWidth="1"/>
    <col min="8656" max="8657" width="14.85546875" style="3" customWidth="1"/>
    <col min="8658" max="8658" width="3.28515625" style="3" customWidth="1"/>
    <col min="8659" max="8659" width="20.140625" style="3" customWidth="1"/>
    <col min="8660" max="8660" width="3.28515625" style="3" customWidth="1"/>
    <col min="8661" max="8665" width="11" style="3"/>
    <col min="8666" max="8678" width="4.7109375" style="3" customWidth="1"/>
    <col min="8679" max="8888" width="11" style="3"/>
    <col min="8889" max="8889" width="0.7109375" style="3" customWidth="1"/>
    <col min="8890" max="8890" width="6.5703125" style="3" customWidth="1"/>
    <col min="8891" max="8891" width="13.5703125" style="3" customWidth="1"/>
    <col min="8892" max="8892" width="13.42578125" style="3" customWidth="1"/>
    <col min="8893" max="8894" width="12.5703125" style="3" customWidth="1"/>
    <col min="8895" max="8895" width="14.85546875" style="3" customWidth="1"/>
    <col min="8896" max="8896" width="20.7109375" style="3" customWidth="1"/>
    <col min="8897" max="8897" width="12.5703125" style="3" customWidth="1"/>
    <col min="8898" max="8898" width="13" style="3" customWidth="1"/>
    <col min="8899" max="8899" width="16" style="3" customWidth="1"/>
    <col min="8900" max="8900" width="6.42578125" style="3" customWidth="1"/>
    <col min="8901" max="8901" width="16" style="3" customWidth="1"/>
    <col min="8902" max="8902" width="2.85546875" style="3" customWidth="1"/>
    <col min="8903" max="8903" width="0.85546875" style="3" customWidth="1"/>
    <col min="8904" max="8904" width="11" style="3"/>
    <col min="8905" max="8905" width="15.42578125" style="3" customWidth="1"/>
    <col min="8906" max="8908" width="14.85546875" style="3" customWidth="1"/>
    <col min="8909" max="8909" width="0.7109375" style="3" customWidth="1"/>
    <col min="8910" max="8910" width="11" style="3"/>
    <col min="8911" max="8911" width="15.7109375" style="3" customWidth="1"/>
    <col min="8912" max="8913" width="14.85546875" style="3" customWidth="1"/>
    <col min="8914" max="8914" width="3.28515625" style="3" customWidth="1"/>
    <col min="8915" max="8915" width="20.140625" style="3" customWidth="1"/>
    <col min="8916" max="8916" width="3.28515625" style="3" customWidth="1"/>
    <col min="8917" max="8921" width="11" style="3"/>
    <col min="8922" max="8934" width="4.7109375" style="3" customWidth="1"/>
    <col min="8935" max="9144" width="11" style="3"/>
    <col min="9145" max="9145" width="0.7109375" style="3" customWidth="1"/>
    <col min="9146" max="9146" width="6.5703125" style="3" customWidth="1"/>
    <col min="9147" max="9147" width="13.5703125" style="3" customWidth="1"/>
    <col min="9148" max="9148" width="13.42578125" style="3" customWidth="1"/>
    <col min="9149" max="9150" width="12.5703125" style="3" customWidth="1"/>
    <col min="9151" max="9151" width="14.85546875" style="3" customWidth="1"/>
    <col min="9152" max="9152" width="20.7109375" style="3" customWidth="1"/>
    <col min="9153" max="9153" width="12.5703125" style="3" customWidth="1"/>
    <col min="9154" max="9154" width="13" style="3" customWidth="1"/>
    <col min="9155" max="9155" width="16" style="3" customWidth="1"/>
    <col min="9156" max="9156" width="6.42578125" style="3" customWidth="1"/>
    <col min="9157" max="9157" width="16" style="3" customWidth="1"/>
    <col min="9158" max="9158" width="2.85546875" style="3" customWidth="1"/>
    <col min="9159" max="9159" width="0.85546875" style="3" customWidth="1"/>
    <col min="9160" max="9160" width="11" style="3"/>
    <col min="9161" max="9161" width="15.42578125" style="3" customWidth="1"/>
    <col min="9162" max="9164" width="14.85546875" style="3" customWidth="1"/>
    <col min="9165" max="9165" width="0.7109375" style="3" customWidth="1"/>
    <col min="9166" max="9166" width="11" style="3"/>
    <col min="9167" max="9167" width="15.7109375" style="3" customWidth="1"/>
    <col min="9168" max="9169" width="14.85546875" style="3" customWidth="1"/>
    <col min="9170" max="9170" width="3.28515625" style="3" customWidth="1"/>
    <col min="9171" max="9171" width="20.140625" style="3" customWidth="1"/>
    <col min="9172" max="9172" width="3.28515625" style="3" customWidth="1"/>
    <col min="9173" max="9177" width="11" style="3"/>
    <col min="9178" max="9190" width="4.7109375" style="3" customWidth="1"/>
    <col min="9191" max="9400" width="11" style="3"/>
    <col min="9401" max="9401" width="0.7109375" style="3" customWidth="1"/>
    <col min="9402" max="9402" width="6.5703125" style="3" customWidth="1"/>
    <col min="9403" max="9403" width="13.5703125" style="3" customWidth="1"/>
    <col min="9404" max="9404" width="13.42578125" style="3" customWidth="1"/>
    <col min="9405" max="9406" width="12.5703125" style="3" customWidth="1"/>
    <col min="9407" max="9407" width="14.85546875" style="3" customWidth="1"/>
    <col min="9408" max="9408" width="20.7109375" style="3" customWidth="1"/>
    <col min="9409" max="9409" width="12.5703125" style="3" customWidth="1"/>
    <col min="9410" max="9410" width="13" style="3" customWidth="1"/>
    <col min="9411" max="9411" width="16" style="3" customWidth="1"/>
    <col min="9412" max="9412" width="6.42578125" style="3" customWidth="1"/>
    <col min="9413" max="9413" width="16" style="3" customWidth="1"/>
    <col min="9414" max="9414" width="2.85546875" style="3" customWidth="1"/>
    <col min="9415" max="9415" width="0.85546875" style="3" customWidth="1"/>
    <col min="9416" max="9416" width="11" style="3"/>
    <col min="9417" max="9417" width="15.42578125" style="3" customWidth="1"/>
    <col min="9418" max="9420" width="14.85546875" style="3" customWidth="1"/>
    <col min="9421" max="9421" width="0.7109375" style="3" customWidth="1"/>
    <col min="9422" max="9422" width="11" style="3"/>
    <col min="9423" max="9423" width="15.7109375" style="3" customWidth="1"/>
    <col min="9424" max="9425" width="14.85546875" style="3" customWidth="1"/>
    <col min="9426" max="9426" width="3.28515625" style="3" customWidth="1"/>
    <col min="9427" max="9427" width="20.140625" style="3" customWidth="1"/>
    <col min="9428" max="9428" width="3.28515625" style="3" customWidth="1"/>
    <col min="9429" max="9433" width="11" style="3"/>
    <col min="9434" max="9446" width="4.7109375" style="3" customWidth="1"/>
    <col min="9447" max="9656" width="11" style="3"/>
    <col min="9657" max="9657" width="0.7109375" style="3" customWidth="1"/>
    <col min="9658" max="9658" width="6.5703125" style="3" customWidth="1"/>
    <col min="9659" max="9659" width="13.5703125" style="3" customWidth="1"/>
    <col min="9660" max="9660" width="13.42578125" style="3" customWidth="1"/>
    <col min="9661" max="9662" width="12.5703125" style="3" customWidth="1"/>
    <col min="9663" max="9663" width="14.85546875" style="3" customWidth="1"/>
    <col min="9664" max="9664" width="20.7109375" style="3" customWidth="1"/>
    <col min="9665" max="9665" width="12.5703125" style="3" customWidth="1"/>
    <col min="9666" max="9666" width="13" style="3" customWidth="1"/>
    <col min="9667" max="9667" width="16" style="3" customWidth="1"/>
    <col min="9668" max="9668" width="6.42578125" style="3" customWidth="1"/>
    <col min="9669" max="9669" width="16" style="3" customWidth="1"/>
    <col min="9670" max="9670" width="2.85546875" style="3" customWidth="1"/>
    <col min="9671" max="9671" width="0.85546875" style="3" customWidth="1"/>
    <col min="9672" max="9672" width="11" style="3"/>
    <col min="9673" max="9673" width="15.42578125" style="3" customWidth="1"/>
    <col min="9674" max="9676" width="14.85546875" style="3" customWidth="1"/>
    <col min="9677" max="9677" width="0.7109375" style="3" customWidth="1"/>
    <col min="9678" max="9678" width="11" style="3"/>
    <col min="9679" max="9679" width="15.7109375" style="3" customWidth="1"/>
    <col min="9680" max="9681" width="14.85546875" style="3" customWidth="1"/>
    <col min="9682" max="9682" width="3.28515625" style="3" customWidth="1"/>
    <col min="9683" max="9683" width="20.140625" style="3" customWidth="1"/>
    <col min="9684" max="9684" width="3.28515625" style="3" customWidth="1"/>
    <col min="9685" max="9689" width="11" style="3"/>
    <col min="9690" max="9702" width="4.7109375" style="3" customWidth="1"/>
    <col min="9703" max="9912" width="11" style="3"/>
    <col min="9913" max="9913" width="0.7109375" style="3" customWidth="1"/>
    <col min="9914" max="9914" width="6.5703125" style="3" customWidth="1"/>
    <col min="9915" max="9915" width="13.5703125" style="3" customWidth="1"/>
    <col min="9916" max="9916" width="13.42578125" style="3" customWidth="1"/>
    <col min="9917" max="9918" width="12.5703125" style="3" customWidth="1"/>
    <col min="9919" max="9919" width="14.85546875" style="3" customWidth="1"/>
    <col min="9920" max="9920" width="20.7109375" style="3" customWidth="1"/>
    <col min="9921" max="9921" width="12.5703125" style="3" customWidth="1"/>
    <col min="9922" max="9922" width="13" style="3" customWidth="1"/>
    <col min="9923" max="9923" width="16" style="3" customWidth="1"/>
    <col min="9924" max="9924" width="6.42578125" style="3" customWidth="1"/>
    <col min="9925" max="9925" width="16" style="3" customWidth="1"/>
    <col min="9926" max="9926" width="2.85546875" style="3" customWidth="1"/>
    <col min="9927" max="9927" width="0.85546875" style="3" customWidth="1"/>
    <col min="9928" max="9928" width="11" style="3"/>
    <col min="9929" max="9929" width="15.42578125" style="3" customWidth="1"/>
    <col min="9930" max="9932" width="14.85546875" style="3" customWidth="1"/>
    <col min="9933" max="9933" width="0.7109375" style="3" customWidth="1"/>
    <col min="9934" max="9934" width="11" style="3"/>
    <col min="9935" max="9935" width="15.7109375" style="3" customWidth="1"/>
    <col min="9936" max="9937" width="14.85546875" style="3" customWidth="1"/>
    <col min="9938" max="9938" width="3.28515625" style="3" customWidth="1"/>
    <col min="9939" max="9939" width="20.140625" style="3" customWidth="1"/>
    <col min="9940" max="9940" width="3.28515625" style="3" customWidth="1"/>
    <col min="9941" max="9945" width="11" style="3"/>
    <col min="9946" max="9958" width="4.7109375" style="3" customWidth="1"/>
    <col min="9959" max="10168" width="11" style="3"/>
    <col min="10169" max="10169" width="0.7109375" style="3" customWidth="1"/>
    <col min="10170" max="10170" width="6.5703125" style="3" customWidth="1"/>
    <col min="10171" max="10171" width="13.5703125" style="3" customWidth="1"/>
    <col min="10172" max="10172" width="13.42578125" style="3" customWidth="1"/>
    <col min="10173" max="10174" width="12.5703125" style="3" customWidth="1"/>
    <col min="10175" max="10175" width="14.85546875" style="3" customWidth="1"/>
    <col min="10176" max="10176" width="20.7109375" style="3" customWidth="1"/>
    <col min="10177" max="10177" width="12.5703125" style="3" customWidth="1"/>
    <col min="10178" max="10178" width="13" style="3" customWidth="1"/>
    <col min="10179" max="10179" width="16" style="3" customWidth="1"/>
    <col min="10180" max="10180" width="6.42578125" style="3" customWidth="1"/>
    <col min="10181" max="10181" width="16" style="3" customWidth="1"/>
    <col min="10182" max="10182" width="2.85546875" style="3" customWidth="1"/>
    <col min="10183" max="10183" width="0.85546875" style="3" customWidth="1"/>
    <col min="10184" max="10184" width="11" style="3"/>
    <col min="10185" max="10185" width="15.42578125" style="3" customWidth="1"/>
    <col min="10186" max="10188" width="14.85546875" style="3" customWidth="1"/>
    <col min="10189" max="10189" width="0.7109375" style="3" customWidth="1"/>
    <col min="10190" max="10190" width="11" style="3"/>
    <col min="10191" max="10191" width="15.7109375" style="3" customWidth="1"/>
    <col min="10192" max="10193" width="14.85546875" style="3" customWidth="1"/>
    <col min="10194" max="10194" width="3.28515625" style="3" customWidth="1"/>
    <col min="10195" max="10195" width="20.140625" style="3" customWidth="1"/>
    <col min="10196" max="10196" width="3.28515625" style="3" customWidth="1"/>
    <col min="10197" max="10201" width="11" style="3"/>
    <col min="10202" max="10214" width="4.7109375" style="3" customWidth="1"/>
    <col min="10215" max="10424" width="11" style="3"/>
    <col min="10425" max="10425" width="0.7109375" style="3" customWidth="1"/>
    <col min="10426" max="10426" width="6.5703125" style="3" customWidth="1"/>
    <col min="10427" max="10427" width="13.5703125" style="3" customWidth="1"/>
    <col min="10428" max="10428" width="13.42578125" style="3" customWidth="1"/>
    <col min="10429" max="10430" width="12.5703125" style="3" customWidth="1"/>
    <col min="10431" max="10431" width="14.85546875" style="3" customWidth="1"/>
    <col min="10432" max="10432" width="20.7109375" style="3" customWidth="1"/>
    <col min="10433" max="10433" width="12.5703125" style="3" customWidth="1"/>
    <col min="10434" max="10434" width="13" style="3" customWidth="1"/>
    <col min="10435" max="10435" width="16" style="3" customWidth="1"/>
    <col min="10436" max="10436" width="6.42578125" style="3" customWidth="1"/>
    <col min="10437" max="10437" width="16" style="3" customWidth="1"/>
    <col min="10438" max="10438" width="2.85546875" style="3" customWidth="1"/>
    <col min="10439" max="10439" width="0.85546875" style="3" customWidth="1"/>
    <col min="10440" max="10440" width="11" style="3"/>
    <col min="10441" max="10441" width="15.42578125" style="3" customWidth="1"/>
    <col min="10442" max="10444" width="14.85546875" style="3" customWidth="1"/>
    <col min="10445" max="10445" width="0.7109375" style="3" customWidth="1"/>
    <col min="10446" max="10446" width="11" style="3"/>
    <col min="10447" max="10447" width="15.7109375" style="3" customWidth="1"/>
    <col min="10448" max="10449" width="14.85546875" style="3" customWidth="1"/>
    <col min="10450" max="10450" width="3.28515625" style="3" customWidth="1"/>
    <col min="10451" max="10451" width="20.140625" style="3" customWidth="1"/>
    <col min="10452" max="10452" width="3.28515625" style="3" customWidth="1"/>
    <col min="10453" max="10457" width="11" style="3"/>
    <col min="10458" max="10470" width="4.7109375" style="3" customWidth="1"/>
    <col min="10471" max="10680" width="11" style="3"/>
    <col min="10681" max="10681" width="0.7109375" style="3" customWidth="1"/>
    <col min="10682" max="10682" width="6.5703125" style="3" customWidth="1"/>
    <col min="10683" max="10683" width="13.5703125" style="3" customWidth="1"/>
    <col min="10684" max="10684" width="13.42578125" style="3" customWidth="1"/>
    <col min="10685" max="10686" width="12.5703125" style="3" customWidth="1"/>
    <col min="10687" max="10687" width="14.85546875" style="3" customWidth="1"/>
    <col min="10688" max="10688" width="20.7109375" style="3" customWidth="1"/>
    <col min="10689" max="10689" width="12.5703125" style="3" customWidth="1"/>
    <col min="10690" max="10690" width="13" style="3" customWidth="1"/>
    <col min="10691" max="10691" width="16" style="3" customWidth="1"/>
    <col min="10692" max="10692" width="6.42578125" style="3" customWidth="1"/>
    <col min="10693" max="10693" width="16" style="3" customWidth="1"/>
    <col min="10694" max="10694" width="2.85546875" style="3" customWidth="1"/>
    <col min="10695" max="10695" width="0.85546875" style="3" customWidth="1"/>
    <col min="10696" max="10696" width="11" style="3"/>
    <col min="10697" max="10697" width="15.42578125" style="3" customWidth="1"/>
    <col min="10698" max="10700" width="14.85546875" style="3" customWidth="1"/>
    <col min="10701" max="10701" width="0.7109375" style="3" customWidth="1"/>
    <col min="10702" max="10702" width="11" style="3"/>
    <col min="10703" max="10703" width="15.7109375" style="3" customWidth="1"/>
    <col min="10704" max="10705" width="14.85546875" style="3" customWidth="1"/>
    <col min="10706" max="10706" width="3.28515625" style="3" customWidth="1"/>
    <col min="10707" max="10707" width="20.140625" style="3" customWidth="1"/>
    <col min="10708" max="10708" width="3.28515625" style="3" customWidth="1"/>
    <col min="10709" max="10713" width="11" style="3"/>
    <col min="10714" max="10726" width="4.7109375" style="3" customWidth="1"/>
    <col min="10727" max="10936" width="11" style="3"/>
    <col min="10937" max="10937" width="0.7109375" style="3" customWidth="1"/>
    <col min="10938" max="10938" width="6.5703125" style="3" customWidth="1"/>
    <col min="10939" max="10939" width="13.5703125" style="3" customWidth="1"/>
    <col min="10940" max="10940" width="13.42578125" style="3" customWidth="1"/>
    <col min="10941" max="10942" width="12.5703125" style="3" customWidth="1"/>
    <col min="10943" max="10943" width="14.85546875" style="3" customWidth="1"/>
    <col min="10944" max="10944" width="20.7109375" style="3" customWidth="1"/>
    <col min="10945" max="10945" width="12.5703125" style="3" customWidth="1"/>
    <col min="10946" max="10946" width="13" style="3" customWidth="1"/>
    <col min="10947" max="10947" width="16" style="3" customWidth="1"/>
    <col min="10948" max="10948" width="6.42578125" style="3" customWidth="1"/>
    <col min="10949" max="10949" width="16" style="3" customWidth="1"/>
    <col min="10950" max="10950" width="2.85546875" style="3" customWidth="1"/>
    <col min="10951" max="10951" width="0.85546875" style="3" customWidth="1"/>
    <col min="10952" max="10952" width="11" style="3"/>
    <col min="10953" max="10953" width="15.42578125" style="3" customWidth="1"/>
    <col min="10954" max="10956" width="14.85546875" style="3" customWidth="1"/>
    <col min="10957" max="10957" width="0.7109375" style="3" customWidth="1"/>
    <col min="10958" max="10958" width="11" style="3"/>
    <col min="10959" max="10959" width="15.7109375" style="3" customWidth="1"/>
    <col min="10960" max="10961" width="14.85546875" style="3" customWidth="1"/>
    <col min="10962" max="10962" width="3.28515625" style="3" customWidth="1"/>
    <col min="10963" max="10963" width="20.140625" style="3" customWidth="1"/>
    <col min="10964" max="10964" width="3.28515625" style="3" customWidth="1"/>
    <col min="10965" max="10969" width="11" style="3"/>
    <col min="10970" max="10982" width="4.7109375" style="3" customWidth="1"/>
    <col min="10983" max="11192" width="11" style="3"/>
    <col min="11193" max="11193" width="0.7109375" style="3" customWidth="1"/>
    <col min="11194" max="11194" width="6.5703125" style="3" customWidth="1"/>
    <col min="11195" max="11195" width="13.5703125" style="3" customWidth="1"/>
    <col min="11196" max="11196" width="13.42578125" style="3" customWidth="1"/>
    <col min="11197" max="11198" width="12.5703125" style="3" customWidth="1"/>
    <col min="11199" max="11199" width="14.85546875" style="3" customWidth="1"/>
    <col min="11200" max="11200" width="20.7109375" style="3" customWidth="1"/>
    <col min="11201" max="11201" width="12.5703125" style="3" customWidth="1"/>
    <col min="11202" max="11202" width="13" style="3" customWidth="1"/>
    <col min="11203" max="11203" width="16" style="3" customWidth="1"/>
    <col min="11204" max="11204" width="6.42578125" style="3" customWidth="1"/>
    <col min="11205" max="11205" width="16" style="3" customWidth="1"/>
    <col min="11206" max="11206" width="2.85546875" style="3" customWidth="1"/>
    <col min="11207" max="11207" width="0.85546875" style="3" customWidth="1"/>
    <col min="11208" max="11208" width="11" style="3"/>
    <col min="11209" max="11209" width="15.42578125" style="3" customWidth="1"/>
    <col min="11210" max="11212" width="14.85546875" style="3" customWidth="1"/>
    <col min="11213" max="11213" width="0.7109375" style="3" customWidth="1"/>
    <col min="11214" max="11214" width="11" style="3"/>
    <col min="11215" max="11215" width="15.7109375" style="3" customWidth="1"/>
    <col min="11216" max="11217" width="14.85546875" style="3" customWidth="1"/>
    <col min="11218" max="11218" width="3.28515625" style="3" customWidth="1"/>
    <col min="11219" max="11219" width="20.140625" style="3" customWidth="1"/>
    <col min="11220" max="11220" width="3.28515625" style="3" customWidth="1"/>
    <col min="11221" max="11225" width="11" style="3"/>
    <col min="11226" max="11238" width="4.7109375" style="3" customWidth="1"/>
    <col min="11239" max="11448" width="11" style="3"/>
    <col min="11449" max="11449" width="0.7109375" style="3" customWidth="1"/>
    <col min="11450" max="11450" width="6.5703125" style="3" customWidth="1"/>
    <col min="11451" max="11451" width="13.5703125" style="3" customWidth="1"/>
    <col min="11452" max="11452" width="13.42578125" style="3" customWidth="1"/>
    <col min="11453" max="11454" width="12.5703125" style="3" customWidth="1"/>
    <col min="11455" max="11455" width="14.85546875" style="3" customWidth="1"/>
    <col min="11456" max="11456" width="20.7109375" style="3" customWidth="1"/>
    <col min="11457" max="11457" width="12.5703125" style="3" customWidth="1"/>
    <col min="11458" max="11458" width="13" style="3" customWidth="1"/>
    <col min="11459" max="11459" width="16" style="3" customWidth="1"/>
    <col min="11460" max="11460" width="6.42578125" style="3" customWidth="1"/>
    <col min="11461" max="11461" width="16" style="3" customWidth="1"/>
    <col min="11462" max="11462" width="2.85546875" style="3" customWidth="1"/>
    <col min="11463" max="11463" width="0.85546875" style="3" customWidth="1"/>
    <col min="11464" max="11464" width="11" style="3"/>
    <col min="11465" max="11465" width="15.42578125" style="3" customWidth="1"/>
    <col min="11466" max="11468" width="14.85546875" style="3" customWidth="1"/>
    <col min="11469" max="11469" width="0.7109375" style="3" customWidth="1"/>
    <col min="11470" max="11470" width="11" style="3"/>
    <col min="11471" max="11471" width="15.7109375" style="3" customWidth="1"/>
    <col min="11472" max="11473" width="14.85546875" style="3" customWidth="1"/>
    <col min="11474" max="11474" width="3.28515625" style="3" customWidth="1"/>
    <col min="11475" max="11475" width="20.140625" style="3" customWidth="1"/>
    <col min="11476" max="11476" width="3.28515625" style="3" customWidth="1"/>
    <col min="11477" max="11481" width="11" style="3"/>
    <col min="11482" max="11494" width="4.7109375" style="3" customWidth="1"/>
    <col min="11495" max="11704" width="11" style="3"/>
    <col min="11705" max="11705" width="0.7109375" style="3" customWidth="1"/>
    <col min="11706" max="11706" width="6.5703125" style="3" customWidth="1"/>
    <col min="11707" max="11707" width="13.5703125" style="3" customWidth="1"/>
    <col min="11708" max="11708" width="13.42578125" style="3" customWidth="1"/>
    <col min="11709" max="11710" width="12.5703125" style="3" customWidth="1"/>
    <col min="11711" max="11711" width="14.85546875" style="3" customWidth="1"/>
    <col min="11712" max="11712" width="20.7109375" style="3" customWidth="1"/>
    <col min="11713" max="11713" width="12.5703125" style="3" customWidth="1"/>
    <col min="11714" max="11714" width="13" style="3" customWidth="1"/>
    <col min="11715" max="11715" width="16" style="3" customWidth="1"/>
    <col min="11716" max="11716" width="6.42578125" style="3" customWidth="1"/>
    <col min="11717" max="11717" width="16" style="3" customWidth="1"/>
    <col min="11718" max="11718" width="2.85546875" style="3" customWidth="1"/>
    <col min="11719" max="11719" width="0.85546875" style="3" customWidth="1"/>
    <col min="11720" max="11720" width="11" style="3"/>
    <col min="11721" max="11721" width="15.42578125" style="3" customWidth="1"/>
    <col min="11722" max="11724" width="14.85546875" style="3" customWidth="1"/>
    <col min="11725" max="11725" width="0.7109375" style="3" customWidth="1"/>
    <col min="11726" max="11726" width="11" style="3"/>
    <col min="11727" max="11727" width="15.7109375" style="3" customWidth="1"/>
    <col min="11728" max="11729" width="14.85546875" style="3" customWidth="1"/>
    <col min="11730" max="11730" width="3.28515625" style="3" customWidth="1"/>
    <col min="11731" max="11731" width="20.140625" style="3" customWidth="1"/>
    <col min="11732" max="11732" width="3.28515625" style="3" customWidth="1"/>
    <col min="11733" max="11737" width="11" style="3"/>
    <col min="11738" max="11750" width="4.7109375" style="3" customWidth="1"/>
    <col min="11751" max="11960" width="11" style="3"/>
    <col min="11961" max="11961" width="0.7109375" style="3" customWidth="1"/>
    <col min="11962" max="11962" width="6.5703125" style="3" customWidth="1"/>
    <col min="11963" max="11963" width="13.5703125" style="3" customWidth="1"/>
    <col min="11964" max="11964" width="13.42578125" style="3" customWidth="1"/>
    <col min="11965" max="11966" width="12.5703125" style="3" customWidth="1"/>
    <col min="11967" max="11967" width="14.85546875" style="3" customWidth="1"/>
    <col min="11968" max="11968" width="20.7109375" style="3" customWidth="1"/>
    <col min="11969" max="11969" width="12.5703125" style="3" customWidth="1"/>
    <col min="11970" max="11970" width="13" style="3" customWidth="1"/>
    <col min="11971" max="11971" width="16" style="3" customWidth="1"/>
    <col min="11972" max="11972" width="6.42578125" style="3" customWidth="1"/>
    <col min="11973" max="11973" width="16" style="3" customWidth="1"/>
    <col min="11974" max="11974" width="2.85546875" style="3" customWidth="1"/>
    <col min="11975" max="11975" width="0.85546875" style="3" customWidth="1"/>
    <col min="11976" max="11976" width="11" style="3"/>
    <col min="11977" max="11977" width="15.42578125" style="3" customWidth="1"/>
    <col min="11978" max="11980" width="14.85546875" style="3" customWidth="1"/>
    <col min="11981" max="11981" width="0.7109375" style="3" customWidth="1"/>
    <col min="11982" max="11982" width="11" style="3"/>
    <col min="11983" max="11983" width="15.7109375" style="3" customWidth="1"/>
    <col min="11984" max="11985" width="14.85546875" style="3" customWidth="1"/>
    <col min="11986" max="11986" width="3.28515625" style="3" customWidth="1"/>
    <col min="11987" max="11987" width="20.140625" style="3" customWidth="1"/>
    <col min="11988" max="11988" width="3.28515625" style="3" customWidth="1"/>
    <col min="11989" max="11993" width="11" style="3"/>
    <col min="11994" max="12006" width="4.7109375" style="3" customWidth="1"/>
    <col min="12007" max="12216" width="11" style="3"/>
    <col min="12217" max="12217" width="0.7109375" style="3" customWidth="1"/>
    <col min="12218" max="12218" width="6.5703125" style="3" customWidth="1"/>
    <col min="12219" max="12219" width="13.5703125" style="3" customWidth="1"/>
    <col min="12220" max="12220" width="13.42578125" style="3" customWidth="1"/>
    <col min="12221" max="12222" width="12.5703125" style="3" customWidth="1"/>
    <col min="12223" max="12223" width="14.85546875" style="3" customWidth="1"/>
    <col min="12224" max="12224" width="20.7109375" style="3" customWidth="1"/>
    <col min="12225" max="12225" width="12.5703125" style="3" customWidth="1"/>
    <col min="12226" max="12226" width="13" style="3" customWidth="1"/>
    <col min="12227" max="12227" width="16" style="3" customWidth="1"/>
    <col min="12228" max="12228" width="6.42578125" style="3" customWidth="1"/>
    <col min="12229" max="12229" width="16" style="3" customWidth="1"/>
    <col min="12230" max="12230" width="2.85546875" style="3" customWidth="1"/>
    <col min="12231" max="12231" width="0.85546875" style="3" customWidth="1"/>
    <col min="12232" max="12232" width="11" style="3"/>
    <col min="12233" max="12233" width="15.42578125" style="3" customWidth="1"/>
    <col min="12234" max="12236" width="14.85546875" style="3" customWidth="1"/>
    <col min="12237" max="12237" width="0.7109375" style="3" customWidth="1"/>
    <col min="12238" max="12238" width="11" style="3"/>
    <col min="12239" max="12239" width="15.7109375" style="3" customWidth="1"/>
    <col min="12240" max="12241" width="14.85546875" style="3" customWidth="1"/>
    <col min="12242" max="12242" width="3.28515625" style="3" customWidth="1"/>
    <col min="12243" max="12243" width="20.140625" style="3" customWidth="1"/>
    <col min="12244" max="12244" width="3.28515625" style="3" customWidth="1"/>
    <col min="12245" max="12249" width="11" style="3"/>
    <col min="12250" max="12262" width="4.7109375" style="3" customWidth="1"/>
    <col min="12263" max="12472" width="11" style="3"/>
    <col min="12473" max="12473" width="0.7109375" style="3" customWidth="1"/>
    <col min="12474" max="12474" width="6.5703125" style="3" customWidth="1"/>
    <col min="12475" max="12475" width="13.5703125" style="3" customWidth="1"/>
    <col min="12476" max="12476" width="13.42578125" style="3" customWidth="1"/>
    <col min="12477" max="12478" width="12.5703125" style="3" customWidth="1"/>
    <col min="12479" max="12479" width="14.85546875" style="3" customWidth="1"/>
    <col min="12480" max="12480" width="20.7109375" style="3" customWidth="1"/>
    <col min="12481" max="12481" width="12.5703125" style="3" customWidth="1"/>
    <col min="12482" max="12482" width="13" style="3" customWidth="1"/>
    <col min="12483" max="12483" width="16" style="3" customWidth="1"/>
    <col min="12484" max="12484" width="6.42578125" style="3" customWidth="1"/>
    <col min="12485" max="12485" width="16" style="3" customWidth="1"/>
    <col min="12486" max="12486" width="2.85546875" style="3" customWidth="1"/>
    <col min="12487" max="12487" width="0.85546875" style="3" customWidth="1"/>
    <col min="12488" max="12488" width="11" style="3"/>
    <col min="12489" max="12489" width="15.42578125" style="3" customWidth="1"/>
    <col min="12490" max="12492" width="14.85546875" style="3" customWidth="1"/>
    <col min="12493" max="12493" width="0.7109375" style="3" customWidth="1"/>
    <col min="12494" max="12494" width="11" style="3"/>
    <col min="12495" max="12495" width="15.7109375" style="3" customWidth="1"/>
    <col min="12496" max="12497" width="14.85546875" style="3" customWidth="1"/>
    <col min="12498" max="12498" width="3.28515625" style="3" customWidth="1"/>
    <col min="12499" max="12499" width="20.140625" style="3" customWidth="1"/>
    <col min="12500" max="12500" width="3.28515625" style="3" customWidth="1"/>
    <col min="12501" max="12505" width="11" style="3"/>
    <col min="12506" max="12518" width="4.7109375" style="3" customWidth="1"/>
    <col min="12519" max="12728" width="11" style="3"/>
    <col min="12729" max="12729" width="0.7109375" style="3" customWidth="1"/>
    <col min="12730" max="12730" width="6.5703125" style="3" customWidth="1"/>
    <col min="12731" max="12731" width="13.5703125" style="3" customWidth="1"/>
    <col min="12732" max="12732" width="13.42578125" style="3" customWidth="1"/>
    <col min="12733" max="12734" width="12.5703125" style="3" customWidth="1"/>
    <col min="12735" max="12735" width="14.85546875" style="3" customWidth="1"/>
    <col min="12736" max="12736" width="20.7109375" style="3" customWidth="1"/>
    <col min="12737" max="12737" width="12.5703125" style="3" customWidth="1"/>
    <col min="12738" max="12738" width="13" style="3" customWidth="1"/>
    <col min="12739" max="12739" width="16" style="3" customWidth="1"/>
    <col min="12740" max="12740" width="6.42578125" style="3" customWidth="1"/>
    <col min="12741" max="12741" width="16" style="3" customWidth="1"/>
    <col min="12742" max="12742" width="2.85546875" style="3" customWidth="1"/>
    <col min="12743" max="12743" width="0.85546875" style="3" customWidth="1"/>
    <col min="12744" max="12744" width="11" style="3"/>
    <col min="12745" max="12745" width="15.42578125" style="3" customWidth="1"/>
    <col min="12746" max="12748" width="14.85546875" style="3" customWidth="1"/>
    <col min="12749" max="12749" width="0.7109375" style="3" customWidth="1"/>
    <col min="12750" max="12750" width="11" style="3"/>
    <col min="12751" max="12751" width="15.7109375" style="3" customWidth="1"/>
    <col min="12752" max="12753" width="14.85546875" style="3" customWidth="1"/>
    <col min="12754" max="12754" width="3.28515625" style="3" customWidth="1"/>
    <col min="12755" max="12755" width="20.140625" style="3" customWidth="1"/>
    <col min="12756" max="12756" width="3.28515625" style="3" customWidth="1"/>
    <col min="12757" max="12761" width="11" style="3"/>
    <col min="12762" max="12774" width="4.7109375" style="3" customWidth="1"/>
    <col min="12775" max="12984" width="11" style="3"/>
    <col min="12985" max="12985" width="0.7109375" style="3" customWidth="1"/>
    <col min="12986" max="12986" width="6.5703125" style="3" customWidth="1"/>
    <col min="12987" max="12987" width="13.5703125" style="3" customWidth="1"/>
    <col min="12988" max="12988" width="13.42578125" style="3" customWidth="1"/>
    <col min="12989" max="12990" width="12.5703125" style="3" customWidth="1"/>
    <col min="12991" max="12991" width="14.85546875" style="3" customWidth="1"/>
    <col min="12992" max="12992" width="20.7109375" style="3" customWidth="1"/>
    <col min="12993" max="12993" width="12.5703125" style="3" customWidth="1"/>
    <col min="12994" max="12994" width="13" style="3" customWidth="1"/>
    <col min="12995" max="12995" width="16" style="3" customWidth="1"/>
    <col min="12996" max="12996" width="6.42578125" style="3" customWidth="1"/>
    <col min="12997" max="12997" width="16" style="3" customWidth="1"/>
    <col min="12998" max="12998" width="2.85546875" style="3" customWidth="1"/>
    <col min="12999" max="12999" width="0.85546875" style="3" customWidth="1"/>
    <col min="13000" max="13000" width="11" style="3"/>
    <col min="13001" max="13001" width="15.42578125" style="3" customWidth="1"/>
    <col min="13002" max="13004" width="14.85546875" style="3" customWidth="1"/>
    <col min="13005" max="13005" width="0.7109375" style="3" customWidth="1"/>
    <col min="13006" max="13006" width="11" style="3"/>
    <col min="13007" max="13007" width="15.7109375" style="3" customWidth="1"/>
    <col min="13008" max="13009" width="14.85546875" style="3" customWidth="1"/>
    <col min="13010" max="13010" width="3.28515625" style="3" customWidth="1"/>
    <col min="13011" max="13011" width="20.140625" style="3" customWidth="1"/>
    <col min="13012" max="13012" width="3.28515625" style="3" customWidth="1"/>
    <col min="13013" max="13017" width="11" style="3"/>
    <col min="13018" max="13030" width="4.7109375" style="3" customWidth="1"/>
    <col min="13031" max="13240" width="11" style="3"/>
    <col min="13241" max="13241" width="0.7109375" style="3" customWidth="1"/>
    <col min="13242" max="13242" width="6.5703125" style="3" customWidth="1"/>
    <col min="13243" max="13243" width="13.5703125" style="3" customWidth="1"/>
    <col min="13244" max="13244" width="13.42578125" style="3" customWidth="1"/>
    <col min="13245" max="13246" width="12.5703125" style="3" customWidth="1"/>
    <col min="13247" max="13247" width="14.85546875" style="3" customWidth="1"/>
    <col min="13248" max="13248" width="20.7109375" style="3" customWidth="1"/>
    <col min="13249" max="13249" width="12.5703125" style="3" customWidth="1"/>
    <col min="13250" max="13250" width="13" style="3" customWidth="1"/>
    <col min="13251" max="13251" width="16" style="3" customWidth="1"/>
    <col min="13252" max="13252" width="6.42578125" style="3" customWidth="1"/>
    <col min="13253" max="13253" width="16" style="3" customWidth="1"/>
    <col min="13254" max="13254" width="2.85546875" style="3" customWidth="1"/>
    <col min="13255" max="13255" width="0.85546875" style="3" customWidth="1"/>
    <col min="13256" max="13256" width="11" style="3"/>
    <col min="13257" max="13257" width="15.42578125" style="3" customWidth="1"/>
    <col min="13258" max="13260" width="14.85546875" style="3" customWidth="1"/>
    <col min="13261" max="13261" width="0.7109375" style="3" customWidth="1"/>
    <col min="13262" max="13262" width="11" style="3"/>
    <col min="13263" max="13263" width="15.7109375" style="3" customWidth="1"/>
    <col min="13264" max="13265" width="14.85546875" style="3" customWidth="1"/>
    <col min="13266" max="13266" width="3.28515625" style="3" customWidth="1"/>
    <col min="13267" max="13267" width="20.140625" style="3" customWidth="1"/>
    <col min="13268" max="13268" width="3.28515625" style="3" customWidth="1"/>
    <col min="13269" max="13273" width="11" style="3"/>
    <col min="13274" max="13286" width="4.7109375" style="3" customWidth="1"/>
    <col min="13287" max="13496" width="11" style="3"/>
    <col min="13497" max="13497" width="0.7109375" style="3" customWidth="1"/>
    <col min="13498" max="13498" width="6.5703125" style="3" customWidth="1"/>
    <col min="13499" max="13499" width="13.5703125" style="3" customWidth="1"/>
    <col min="13500" max="13500" width="13.42578125" style="3" customWidth="1"/>
    <col min="13501" max="13502" width="12.5703125" style="3" customWidth="1"/>
    <col min="13503" max="13503" width="14.85546875" style="3" customWidth="1"/>
    <col min="13504" max="13504" width="20.7109375" style="3" customWidth="1"/>
    <col min="13505" max="13505" width="12.5703125" style="3" customWidth="1"/>
    <col min="13506" max="13506" width="13" style="3" customWidth="1"/>
    <col min="13507" max="13507" width="16" style="3" customWidth="1"/>
    <col min="13508" max="13508" width="6.42578125" style="3" customWidth="1"/>
    <col min="13509" max="13509" width="16" style="3" customWidth="1"/>
    <col min="13510" max="13510" width="2.85546875" style="3" customWidth="1"/>
    <col min="13511" max="13511" width="0.85546875" style="3" customWidth="1"/>
    <col min="13512" max="13512" width="11" style="3"/>
    <col min="13513" max="13513" width="15.42578125" style="3" customWidth="1"/>
    <col min="13514" max="13516" width="14.85546875" style="3" customWidth="1"/>
    <col min="13517" max="13517" width="0.7109375" style="3" customWidth="1"/>
    <col min="13518" max="13518" width="11" style="3"/>
    <col min="13519" max="13519" width="15.7109375" style="3" customWidth="1"/>
    <col min="13520" max="13521" width="14.85546875" style="3" customWidth="1"/>
    <col min="13522" max="13522" width="3.28515625" style="3" customWidth="1"/>
    <col min="13523" max="13523" width="20.140625" style="3" customWidth="1"/>
    <col min="13524" max="13524" width="3.28515625" style="3" customWidth="1"/>
    <col min="13525" max="13529" width="11" style="3"/>
    <col min="13530" max="13542" width="4.7109375" style="3" customWidth="1"/>
    <col min="13543" max="13752" width="11" style="3"/>
    <col min="13753" max="13753" width="0.7109375" style="3" customWidth="1"/>
    <col min="13754" max="13754" width="6.5703125" style="3" customWidth="1"/>
    <col min="13755" max="13755" width="13.5703125" style="3" customWidth="1"/>
    <col min="13756" max="13756" width="13.42578125" style="3" customWidth="1"/>
    <col min="13757" max="13758" width="12.5703125" style="3" customWidth="1"/>
    <col min="13759" max="13759" width="14.85546875" style="3" customWidth="1"/>
    <col min="13760" max="13760" width="20.7109375" style="3" customWidth="1"/>
    <col min="13761" max="13761" width="12.5703125" style="3" customWidth="1"/>
    <col min="13762" max="13762" width="13" style="3" customWidth="1"/>
    <col min="13763" max="13763" width="16" style="3" customWidth="1"/>
    <col min="13764" max="13764" width="6.42578125" style="3" customWidth="1"/>
    <col min="13765" max="13765" width="16" style="3" customWidth="1"/>
    <col min="13766" max="13766" width="2.85546875" style="3" customWidth="1"/>
    <col min="13767" max="13767" width="0.85546875" style="3" customWidth="1"/>
    <col min="13768" max="13768" width="11" style="3"/>
    <col min="13769" max="13769" width="15.42578125" style="3" customWidth="1"/>
    <col min="13770" max="13772" width="14.85546875" style="3" customWidth="1"/>
    <col min="13773" max="13773" width="0.7109375" style="3" customWidth="1"/>
    <col min="13774" max="13774" width="11" style="3"/>
    <col min="13775" max="13775" width="15.7109375" style="3" customWidth="1"/>
    <col min="13776" max="13777" width="14.85546875" style="3" customWidth="1"/>
    <col min="13778" max="13778" width="3.28515625" style="3" customWidth="1"/>
    <col min="13779" max="13779" width="20.140625" style="3" customWidth="1"/>
    <col min="13780" max="13780" width="3.28515625" style="3" customWidth="1"/>
    <col min="13781" max="13785" width="11" style="3"/>
    <col min="13786" max="13798" width="4.7109375" style="3" customWidth="1"/>
    <col min="13799" max="14008" width="11" style="3"/>
    <col min="14009" max="14009" width="0.7109375" style="3" customWidth="1"/>
    <col min="14010" max="14010" width="6.5703125" style="3" customWidth="1"/>
    <col min="14011" max="14011" width="13.5703125" style="3" customWidth="1"/>
    <col min="14012" max="14012" width="13.42578125" style="3" customWidth="1"/>
    <col min="14013" max="14014" width="12.5703125" style="3" customWidth="1"/>
    <col min="14015" max="14015" width="14.85546875" style="3" customWidth="1"/>
    <col min="14016" max="14016" width="20.7109375" style="3" customWidth="1"/>
    <col min="14017" max="14017" width="12.5703125" style="3" customWidth="1"/>
    <col min="14018" max="14018" width="13" style="3" customWidth="1"/>
    <col min="14019" max="14019" width="16" style="3" customWidth="1"/>
    <col min="14020" max="14020" width="6.42578125" style="3" customWidth="1"/>
    <col min="14021" max="14021" width="16" style="3" customWidth="1"/>
    <col min="14022" max="14022" width="2.85546875" style="3" customWidth="1"/>
    <col min="14023" max="14023" width="0.85546875" style="3" customWidth="1"/>
    <col min="14024" max="14024" width="11" style="3"/>
    <col min="14025" max="14025" width="15.42578125" style="3" customWidth="1"/>
    <col min="14026" max="14028" width="14.85546875" style="3" customWidth="1"/>
    <col min="14029" max="14029" width="0.7109375" style="3" customWidth="1"/>
    <col min="14030" max="14030" width="11" style="3"/>
    <col min="14031" max="14031" width="15.7109375" style="3" customWidth="1"/>
    <col min="14032" max="14033" width="14.85546875" style="3" customWidth="1"/>
    <col min="14034" max="14034" width="3.28515625" style="3" customWidth="1"/>
    <col min="14035" max="14035" width="20.140625" style="3" customWidth="1"/>
    <col min="14036" max="14036" width="3.28515625" style="3" customWidth="1"/>
    <col min="14037" max="14041" width="11" style="3"/>
    <col min="14042" max="14054" width="4.7109375" style="3" customWidth="1"/>
    <col min="14055" max="14264" width="11" style="3"/>
    <col min="14265" max="14265" width="0.7109375" style="3" customWidth="1"/>
    <col min="14266" max="14266" width="6.5703125" style="3" customWidth="1"/>
    <col min="14267" max="14267" width="13.5703125" style="3" customWidth="1"/>
    <col min="14268" max="14268" width="13.42578125" style="3" customWidth="1"/>
    <col min="14269" max="14270" width="12.5703125" style="3" customWidth="1"/>
    <col min="14271" max="14271" width="14.85546875" style="3" customWidth="1"/>
    <col min="14272" max="14272" width="20.7109375" style="3" customWidth="1"/>
    <col min="14273" max="14273" width="12.5703125" style="3" customWidth="1"/>
    <col min="14274" max="14274" width="13" style="3" customWidth="1"/>
    <col min="14275" max="14275" width="16" style="3" customWidth="1"/>
    <col min="14276" max="14276" width="6.42578125" style="3" customWidth="1"/>
    <col min="14277" max="14277" width="16" style="3" customWidth="1"/>
    <col min="14278" max="14278" width="2.85546875" style="3" customWidth="1"/>
    <col min="14279" max="14279" width="0.85546875" style="3" customWidth="1"/>
    <col min="14280" max="14280" width="11" style="3"/>
    <col min="14281" max="14281" width="15.42578125" style="3" customWidth="1"/>
    <col min="14282" max="14284" width="14.85546875" style="3" customWidth="1"/>
    <col min="14285" max="14285" width="0.7109375" style="3" customWidth="1"/>
    <col min="14286" max="14286" width="11" style="3"/>
    <col min="14287" max="14287" width="15.7109375" style="3" customWidth="1"/>
    <col min="14288" max="14289" width="14.85546875" style="3" customWidth="1"/>
    <col min="14290" max="14290" width="3.28515625" style="3" customWidth="1"/>
    <col min="14291" max="14291" width="20.140625" style="3" customWidth="1"/>
    <col min="14292" max="14292" width="3.28515625" style="3" customWidth="1"/>
    <col min="14293" max="14297" width="11" style="3"/>
    <col min="14298" max="14310" width="4.7109375" style="3" customWidth="1"/>
    <col min="14311" max="14520" width="11" style="3"/>
    <col min="14521" max="14521" width="0.7109375" style="3" customWidth="1"/>
    <col min="14522" max="14522" width="6.5703125" style="3" customWidth="1"/>
    <col min="14523" max="14523" width="13.5703125" style="3" customWidth="1"/>
    <col min="14524" max="14524" width="13.42578125" style="3" customWidth="1"/>
    <col min="14525" max="14526" width="12.5703125" style="3" customWidth="1"/>
    <col min="14527" max="14527" width="14.85546875" style="3" customWidth="1"/>
    <col min="14528" max="14528" width="20.7109375" style="3" customWidth="1"/>
    <col min="14529" max="14529" width="12.5703125" style="3" customWidth="1"/>
    <col min="14530" max="14530" width="13" style="3" customWidth="1"/>
    <col min="14531" max="14531" width="16" style="3" customWidth="1"/>
    <col min="14532" max="14532" width="6.42578125" style="3" customWidth="1"/>
    <col min="14533" max="14533" width="16" style="3" customWidth="1"/>
    <col min="14534" max="14534" width="2.85546875" style="3" customWidth="1"/>
    <col min="14535" max="14535" width="0.85546875" style="3" customWidth="1"/>
    <col min="14536" max="14536" width="11" style="3"/>
    <col min="14537" max="14537" width="15.42578125" style="3" customWidth="1"/>
    <col min="14538" max="14540" width="14.85546875" style="3" customWidth="1"/>
    <col min="14541" max="14541" width="0.7109375" style="3" customWidth="1"/>
    <col min="14542" max="14542" width="11" style="3"/>
    <col min="14543" max="14543" width="15.7109375" style="3" customWidth="1"/>
    <col min="14544" max="14545" width="14.85546875" style="3" customWidth="1"/>
    <col min="14546" max="14546" width="3.28515625" style="3" customWidth="1"/>
    <col min="14547" max="14547" width="20.140625" style="3" customWidth="1"/>
    <col min="14548" max="14548" width="3.28515625" style="3" customWidth="1"/>
    <col min="14549" max="14553" width="11" style="3"/>
    <col min="14554" max="14566" width="4.7109375" style="3" customWidth="1"/>
    <col min="14567" max="14776" width="11" style="3"/>
    <col min="14777" max="14777" width="0.7109375" style="3" customWidth="1"/>
    <col min="14778" max="14778" width="6.5703125" style="3" customWidth="1"/>
    <col min="14779" max="14779" width="13.5703125" style="3" customWidth="1"/>
    <col min="14780" max="14780" width="13.42578125" style="3" customWidth="1"/>
    <col min="14781" max="14782" width="12.5703125" style="3" customWidth="1"/>
    <col min="14783" max="14783" width="14.85546875" style="3" customWidth="1"/>
    <col min="14784" max="14784" width="20.7109375" style="3" customWidth="1"/>
    <col min="14785" max="14785" width="12.5703125" style="3" customWidth="1"/>
    <col min="14786" max="14786" width="13" style="3" customWidth="1"/>
    <col min="14787" max="14787" width="16" style="3" customWidth="1"/>
    <col min="14788" max="14788" width="6.42578125" style="3" customWidth="1"/>
    <col min="14789" max="14789" width="16" style="3" customWidth="1"/>
    <col min="14790" max="14790" width="2.85546875" style="3" customWidth="1"/>
    <col min="14791" max="14791" width="0.85546875" style="3" customWidth="1"/>
    <col min="14792" max="14792" width="11" style="3"/>
    <col min="14793" max="14793" width="15.42578125" style="3" customWidth="1"/>
    <col min="14794" max="14796" width="14.85546875" style="3" customWidth="1"/>
    <col min="14797" max="14797" width="0.7109375" style="3" customWidth="1"/>
    <col min="14798" max="14798" width="11" style="3"/>
    <col min="14799" max="14799" width="15.7109375" style="3" customWidth="1"/>
    <col min="14800" max="14801" width="14.85546875" style="3" customWidth="1"/>
    <col min="14802" max="14802" width="3.28515625" style="3" customWidth="1"/>
    <col min="14803" max="14803" width="20.140625" style="3" customWidth="1"/>
    <col min="14804" max="14804" width="3.28515625" style="3" customWidth="1"/>
    <col min="14805" max="14809" width="11" style="3"/>
    <col min="14810" max="14822" width="4.7109375" style="3" customWidth="1"/>
    <col min="14823" max="15032" width="11" style="3"/>
    <col min="15033" max="15033" width="0.7109375" style="3" customWidth="1"/>
    <col min="15034" max="15034" width="6.5703125" style="3" customWidth="1"/>
    <col min="15035" max="15035" width="13.5703125" style="3" customWidth="1"/>
    <col min="15036" max="15036" width="13.42578125" style="3" customWidth="1"/>
    <col min="15037" max="15038" width="12.5703125" style="3" customWidth="1"/>
    <col min="15039" max="15039" width="14.85546875" style="3" customWidth="1"/>
    <col min="15040" max="15040" width="20.7109375" style="3" customWidth="1"/>
    <col min="15041" max="15041" width="12.5703125" style="3" customWidth="1"/>
    <col min="15042" max="15042" width="13" style="3" customWidth="1"/>
    <col min="15043" max="15043" width="16" style="3" customWidth="1"/>
    <col min="15044" max="15044" width="6.42578125" style="3" customWidth="1"/>
    <col min="15045" max="15045" width="16" style="3" customWidth="1"/>
    <col min="15046" max="15046" width="2.85546875" style="3" customWidth="1"/>
    <col min="15047" max="15047" width="0.85546875" style="3" customWidth="1"/>
    <col min="15048" max="15048" width="11" style="3"/>
    <col min="15049" max="15049" width="15.42578125" style="3" customWidth="1"/>
    <col min="15050" max="15052" width="14.85546875" style="3" customWidth="1"/>
    <col min="15053" max="15053" width="0.7109375" style="3" customWidth="1"/>
    <col min="15054" max="15054" width="11" style="3"/>
    <col min="15055" max="15055" width="15.7109375" style="3" customWidth="1"/>
    <col min="15056" max="15057" width="14.85546875" style="3" customWidth="1"/>
    <col min="15058" max="15058" width="3.28515625" style="3" customWidth="1"/>
    <col min="15059" max="15059" width="20.140625" style="3" customWidth="1"/>
    <col min="15060" max="15060" width="3.28515625" style="3" customWidth="1"/>
    <col min="15061" max="15065" width="11" style="3"/>
    <col min="15066" max="15078" width="4.7109375" style="3" customWidth="1"/>
    <col min="15079" max="15288" width="11" style="3"/>
    <col min="15289" max="15289" width="0.7109375" style="3" customWidth="1"/>
    <col min="15290" max="15290" width="6.5703125" style="3" customWidth="1"/>
    <col min="15291" max="15291" width="13.5703125" style="3" customWidth="1"/>
    <col min="15292" max="15292" width="13.42578125" style="3" customWidth="1"/>
    <col min="15293" max="15294" width="12.5703125" style="3" customWidth="1"/>
    <col min="15295" max="15295" width="14.85546875" style="3" customWidth="1"/>
    <col min="15296" max="15296" width="20.7109375" style="3" customWidth="1"/>
    <col min="15297" max="15297" width="12.5703125" style="3" customWidth="1"/>
    <col min="15298" max="15298" width="13" style="3" customWidth="1"/>
    <col min="15299" max="15299" width="16" style="3" customWidth="1"/>
    <col min="15300" max="15300" width="6.42578125" style="3" customWidth="1"/>
    <col min="15301" max="15301" width="16" style="3" customWidth="1"/>
    <col min="15302" max="15302" width="2.85546875" style="3" customWidth="1"/>
    <col min="15303" max="15303" width="0.85546875" style="3" customWidth="1"/>
    <col min="15304" max="15304" width="11" style="3"/>
    <col min="15305" max="15305" width="15.42578125" style="3" customWidth="1"/>
    <col min="15306" max="15308" width="14.85546875" style="3" customWidth="1"/>
    <col min="15309" max="15309" width="0.7109375" style="3" customWidth="1"/>
    <col min="15310" max="15310" width="11" style="3"/>
    <col min="15311" max="15311" width="15.7109375" style="3" customWidth="1"/>
    <col min="15312" max="15313" width="14.85546875" style="3" customWidth="1"/>
    <col min="15314" max="15314" width="3.28515625" style="3" customWidth="1"/>
    <col min="15315" max="15315" width="20.140625" style="3" customWidth="1"/>
    <col min="15316" max="15316" width="3.28515625" style="3" customWidth="1"/>
    <col min="15317" max="15321" width="11" style="3"/>
    <col min="15322" max="15334" width="4.7109375" style="3" customWidth="1"/>
    <col min="15335" max="15544" width="11" style="3"/>
    <col min="15545" max="15545" width="0.7109375" style="3" customWidth="1"/>
    <col min="15546" max="15546" width="6.5703125" style="3" customWidth="1"/>
    <col min="15547" max="15547" width="13.5703125" style="3" customWidth="1"/>
    <col min="15548" max="15548" width="13.42578125" style="3" customWidth="1"/>
    <col min="15549" max="15550" width="12.5703125" style="3" customWidth="1"/>
    <col min="15551" max="15551" width="14.85546875" style="3" customWidth="1"/>
    <col min="15552" max="15552" width="20.7109375" style="3" customWidth="1"/>
    <col min="15553" max="15553" width="12.5703125" style="3" customWidth="1"/>
    <col min="15554" max="15554" width="13" style="3" customWidth="1"/>
    <col min="15555" max="15555" width="16" style="3" customWidth="1"/>
    <col min="15556" max="15556" width="6.42578125" style="3" customWidth="1"/>
    <col min="15557" max="15557" width="16" style="3" customWidth="1"/>
    <col min="15558" max="15558" width="2.85546875" style="3" customWidth="1"/>
    <col min="15559" max="15559" width="0.85546875" style="3" customWidth="1"/>
    <col min="15560" max="15560" width="11" style="3"/>
    <col min="15561" max="15561" width="15.42578125" style="3" customWidth="1"/>
    <col min="15562" max="15564" width="14.85546875" style="3" customWidth="1"/>
    <col min="15565" max="15565" width="0.7109375" style="3" customWidth="1"/>
    <col min="15566" max="15566" width="11" style="3"/>
    <col min="15567" max="15567" width="15.7109375" style="3" customWidth="1"/>
    <col min="15568" max="15569" width="14.85546875" style="3" customWidth="1"/>
    <col min="15570" max="15570" width="3.28515625" style="3" customWidth="1"/>
    <col min="15571" max="15571" width="20.140625" style="3" customWidth="1"/>
    <col min="15572" max="15572" width="3.28515625" style="3" customWidth="1"/>
    <col min="15573" max="15577" width="11" style="3"/>
    <col min="15578" max="15590" width="4.7109375" style="3" customWidth="1"/>
    <col min="15591" max="15800" width="11" style="3"/>
    <col min="15801" max="15801" width="0.7109375" style="3" customWidth="1"/>
    <col min="15802" max="15802" width="6.5703125" style="3" customWidth="1"/>
    <col min="15803" max="15803" width="13.5703125" style="3" customWidth="1"/>
    <col min="15804" max="15804" width="13.42578125" style="3" customWidth="1"/>
    <col min="15805" max="15806" width="12.5703125" style="3" customWidth="1"/>
    <col min="15807" max="15807" width="14.85546875" style="3" customWidth="1"/>
    <col min="15808" max="15808" width="20.7109375" style="3" customWidth="1"/>
    <col min="15809" max="15809" width="12.5703125" style="3" customWidth="1"/>
    <col min="15810" max="15810" width="13" style="3" customWidth="1"/>
    <col min="15811" max="15811" width="16" style="3" customWidth="1"/>
    <col min="15812" max="15812" width="6.42578125" style="3" customWidth="1"/>
    <col min="15813" max="15813" width="16" style="3" customWidth="1"/>
    <col min="15814" max="15814" width="2.85546875" style="3" customWidth="1"/>
    <col min="15815" max="15815" width="0.85546875" style="3" customWidth="1"/>
    <col min="15816" max="15816" width="11" style="3"/>
    <col min="15817" max="15817" width="15.42578125" style="3" customWidth="1"/>
    <col min="15818" max="15820" width="14.85546875" style="3" customWidth="1"/>
    <col min="15821" max="15821" width="0.7109375" style="3" customWidth="1"/>
    <col min="15822" max="15822" width="11" style="3"/>
    <col min="15823" max="15823" width="15.7109375" style="3" customWidth="1"/>
    <col min="15824" max="15825" width="14.85546875" style="3" customWidth="1"/>
    <col min="15826" max="15826" width="3.28515625" style="3" customWidth="1"/>
    <col min="15827" max="15827" width="20.140625" style="3" customWidth="1"/>
    <col min="15828" max="15828" width="3.28515625" style="3" customWidth="1"/>
    <col min="15829" max="15833" width="11" style="3"/>
    <col min="15834" max="15846" width="4.7109375" style="3" customWidth="1"/>
    <col min="15847" max="16056" width="11" style="3"/>
    <col min="16057" max="16057" width="0.7109375" style="3" customWidth="1"/>
    <col min="16058" max="16058" width="6.5703125" style="3" customWidth="1"/>
    <col min="16059" max="16059" width="13.5703125" style="3" customWidth="1"/>
    <col min="16060" max="16060" width="13.42578125" style="3" customWidth="1"/>
    <col min="16061" max="16062" width="12.5703125" style="3" customWidth="1"/>
    <col min="16063" max="16063" width="14.85546875" style="3" customWidth="1"/>
    <col min="16064" max="16064" width="20.7109375" style="3" customWidth="1"/>
    <col min="16065" max="16065" width="12.5703125" style="3" customWidth="1"/>
    <col min="16066" max="16066" width="13" style="3" customWidth="1"/>
    <col min="16067" max="16067" width="16" style="3" customWidth="1"/>
    <col min="16068" max="16068" width="6.42578125" style="3" customWidth="1"/>
    <col min="16069" max="16069" width="16" style="3" customWidth="1"/>
    <col min="16070" max="16070" width="2.85546875" style="3" customWidth="1"/>
    <col min="16071" max="16071" width="0.85546875" style="3" customWidth="1"/>
    <col min="16072" max="16072" width="11" style="3"/>
    <col min="16073" max="16073" width="15.42578125" style="3" customWidth="1"/>
    <col min="16074" max="16076" width="14.85546875" style="3" customWidth="1"/>
    <col min="16077" max="16077" width="0.7109375" style="3" customWidth="1"/>
    <col min="16078" max="16078" width="11" style="3"/>
    <col min="16079" max="16079" width="15.7109375" style="3" customWidth="1"/>
    <col min="16080" max="16081" width="14.85546875" style="3" customWidth="1"/>
    <col min="16082" max="16082" width="3.28515625" style="3" customWidth="1"/>
    <col min="16083" max="16083" width="20.140625" style="3" customWidth="1"/>
    <col min="16084" max="16084" width="3.28515625" style="3" customWidth="1"/>
    <col min="16085" max="16089" width="11" style="3"/>
    <col min="16090" max="16102" width="4.7109375" style="3" customWidth="1"/>
    <col min="16103" max="16384" width="11" style="3"/>
  </cols>
  <sheetData>
    <row r="1" spans="1:28" s="1" customFormat="1" ht="19.5" customHeight="1">
      <c r="A1" s="236"/>
      <c r="B1" s="237"/>
      <c r="C1" s="179" t="s">
        <v>0</v>
      </c>
      <c r="D1" s="179"/>
      <c r="E1" s="179"/>
      <c r="F1" s="179"/>
      <c r="G1" s="179"/>
      <c r="H1" s="179"/>
      <c r="I1" s="179"/>
      <c r="J1" s="179"/>
      <c r="K1" s="180" t="s">
        <v>1</v>
      </c>
      <c r="L1" s="181"/>
      <c r="O1" s="80"/>
      <c r="P1" s="80"/>
      <c r="Q1" s="80"/>
      <c r="R1" s="80"/>
      <c r="S1" s="80"/>
      <c r="T1" s="80"/>
      <c r="U1" s="80"/>
      <c r="V1" s="80"/>
      <c r="W1" s="80"/>
      <c r="X1" s="80"/>
      <c r="Y1" s="80"/>
      <c r="Z1" s="80"/>
      <c r="AA1" s="80"/>
    </row>
    <row r="2" spans="1:28" s="1" customFormat="1" ht="19.5" customHeight="1">
      <c r="A2" s="238"/>
      <c r="B2" s="186"/>
      <c r="C2" s="241" t="s">
        <v>2</v>
      </c>
      <c r="D2" s="241"/>
      <c r="E2" s="241"/>
      <c r="F2" s="241"/>
      <c r="G2" s="241"/>
      <c r="H2" s="241"/>
      <c r="I2" s="241"/>
      <c r="J2" s="241"/>
      <c r="K2" s="182" t="s">
        <v>89</v>
      </c>
      <c r="L2" s="183"/>
      <c r="O2" s="80"/>
      <c r="P2" s="80"/>
      <c r="Q2" s="80"/>
      <c r="R2" s="80"/>
      <c r="S2" s="80"/>
      <c r="T2" s="80"/>
      <c r="U2" s="80"/>
      <c r="V2" s="80"/>
      <c r="W2" s="80"/>
      <c r="X2" s="80"/>
      <c r="Y2" s="80"/>
      <c r="Z2" s="80"/>
      <c r="AA2" s="80"/>
    </row>
    <row r="3" spans="1:28" s="1" customFormat="1" ht="19.5" customHeight="1">
      <c r="A3" s="238"/>
      <c r="B3" s="186"/>
      <c r="C3" s="241"/>
      <c r="D3" s="241"/>
      <c r="E3" s="241"/>
      <c r="F3" s="241"/>
      <c r="G3" s="241"/>
      <c r="H3" s="241"/>
      <c r="I3" s="241"/>
      <c r="J3" s="241"/>
      <c r="K3" s="182" t="s">
        <v>3</v>
      </c>
      <c r="L3" s="183"/>
      <c r="Q3" s="132"/>
      <c r="R3" s="80"/>
      <c r="T3" s="132" t="s">
        <v>4</v>
      </c>
      <c r="U3" s="132"/>
      <c r="V3" s="80"/>
      <c r="W3" s="80"/>
      <c r="X3" s="80"/>
      <c r="Y3" s="80"/>
      <c r="Z3" s="80"/>
      <c r="AA3" s="80"/>
    </row>
    <row r="4" spans="1:28" s="1" customFormat="1" ht="19.5" customHeight="1" thickBot="1">
      <c r="A4" s="239"/>
      <c r="B4" s="240"/>
      <c r="C4" s="242"/>
      <c r="D4" s="242"/>
      <c r="E4" s="242"/>
      <c r="F4" s="242"/>
      <c r="G4" s="242"/>
      <c r="H4" s="242"/>
      <c r="I4" s="242"/>
      <c r="J4" s="242"/>
      <c r="K4" s="184" t="s">
        <v>88</v>
      </c>
      <c r="L4" s="185"/>
      <c r="Q4" s="132"/>
      <c r="R4" s="80"/>
      <c r="S4" s="132"/>
      <c r="T4" s="132"/>
      <c r="U4" s="132"/>
      <c r="V4" s="80"/>
      <c r="W4" s="80"/>
      <c r="X4" s="80"/>
      <c r="Y4" s="80"/>
      <c r="Z4" s="80"/>
      <c r="AA4" s="80"/>
    </row>
    <row r="5" spans="1:28" s="1" customFormat="1" ht="3.95" customHeight="1" thickBot="1">
      <c r="A5" s="5"/>
      <c r="B5" s="186"/>
      <c r="C5" s="186"/>
      <c r="D5" s="186"/>
      <c r="E5" s="186"/>
      <c r="F5" s="186"/>
      <c r="G5" s="186"/>
      <c r="H5" s="186"/>
      <c r="I5" s="186"/>
      <c r="J5" s="186"/>
      <c r="K5" s="186"/>
      <c r="L5" s="81"/>
      <c r="Q5" s="132"/>
      <c r="R5" s="132"/>
      <c r="T5" s="132"/>
      <c r="U5" s="132"/>
      <c r="V5" s="80"/>
      <c r="W5" s="80"/>
      <c r="X5" s="80"/>
      <c r="Y5" s="80"/>
      <c r="Z5" s="80"/>
      <c r="AA5" s="80"/>
      <c r="AB5" s="80"/>
    </row>
    <row r="6" spans="1:28" s="1" customFormat="1" ht="22.5" customHeight="1">
      <c r="A6" s="6"/>
      <c r="B6" s="7" t="s">
        <v>5</v>
      </c>
      <c r="C6" s="273" t="s">
        <v>91</v>
      </c>
      <c r="D6" s="273"/>
      <c r="E6" s="273"/>
      <c r="F6" s="273"/>
      <c r="G6" s="273"/>
      <c r="H6" s="188" t="s">
        <v>6</v>
      </c>
      <c r="I6" s="188"/>
      <c r="J6" s="189">
        <v>45884</v>
      </c>
      <c r="K6" s="189"/>
      <c r="L6" s="190"/>
      <c r="Q6" s="80"/>
      <c r="R6" s="80"/>
      <c r="T6" s="133" t="s">
        <v>7</v>
      </c>
      <c r="U6" s="80"/>
      <c r="V6" s="80"/>
      <c r="W6" s="80"/>
      <c r="X6" s="80"/>
      <c r="Y6" s="80"/>
      <c r="Z6" s="80"/>
      <c r="AA6" s="80"/>
      <c r="AB6" s="80"/>
    </row>
    <row r="7" spans="1:28" s="1" customFormat="1" ht="24.75" customHeight="1">
      <c r="A7" s="5"/>
      <c r="B7" s="9" t="s">
        <v>8</v>
      </c>
      <c r="C7" s="274" t="s">
        <v>92</v>
      </c>
      <c r="D7" s="274"/>
      <c r="E7" s="274"/>
      <c r="F7" s="274"/>
      <c r="G7" s="274"/>
      <c r="H7" s="192" t="s">
        <v>9</v>
      </c>
      <c r="I7" s="192"/>
      <c r="J7" s="193">
        <v>45937</v>
      </c>
      <c r="K7" s="193"/>
      <c r="L7" s="194"/>
      <c r="Q7" s="80"/>
      <c r="R7" s="80"/>
      <c r="T7" s="133" t="s">
        <v>10</v>
      </c>
      <c r="U7" s="80"/>
      <c r="V7" s="80"/>
      <c r="W7" s="80"/>
      <c r="X7" s="80"/>
      <c r="Y7" s="80"/>
      <c r="Z7" s="80"/>
      <c r="AA7" s="80"/>
      <c r="AB7" s="80"/>
    </row>
    <row r="8" spans="1:28" s="1" customFormat="1" ht="22.5" customHeight="1">
      <c r="A8" s="5"/>
      <c r="B8" s="9" t="s">
        <v>11</v>
      </c>
      <c r="C8" s="271" t="s">
        <v>12</v>
      </c>
      <c r="D8" s="272"/>
      <c r="E8" s="272"/>
      <c r="F8" s="272"/>
      <c r="G8" s="272"/>
      <c r="H8" s="192" t="s">
        <v>13</v>
      </c>
      <c r="I8" s="192"/>
      <c r="J8" s="193">
        <v>45968</v>
      </c>
      <c r="K8" s="193"/>
      <c r="L8" s="194"/>
      <c r="Q8" s="80"/>
      <c r="R8" s="80"/>
      <c r="S8" s="1">
        <f>17-2.57</f>
        <v>14.43</v>
      </c>
      <c r="T8" s="133" t="s">
        <v>14</v>
      </c>
      <c r="U8" s="80"/>
      <c r="V8" s="80"/>
      <c r="W8" s="80"/>
      <c r="X8" s="80"/>
      <c r="Y8" s="80"/>
      <c r="Z8" s="80"/>
      <c r="AA8" s="80"/>
      <c r="AB8" s="80"/>
    </row>
    <row r="9" spans="1:28" s="1" customFormat="1" ht="22.5" customHeight="1">
      <c r="A9" s="5"/>
      <c r="B9" s="9" t="s">
        <v>15</v>
      </c>
      <c r="C9" s="202" t="s">
        <v>93</v>
      </c>
      <c r="D9" s="202"/>
      <c r="E9" s="202"/>
      <c r="F9" s="202"/>
      <c r="G9" s="202"/>
      <c r="H9" s="192" t="s">
        <v>16</v>
      </c>
      <c r="I9" s="192"/>
      <c r="J9" s="82" t="s">
        <v>17</v>
      </c>
      <c r="K9" s="83" t="s">
        <v>90</v>
      </c>
      <c r="L9" s="84" t="s">
        <v>85</v>
      </c>
      <c r="Q9" s="80"/>
      <c r="R9" s="80"/>
      <c r="T9" s="133" t="s">
        <v>18</v>
      </c>
      <c r="U9" s="80"/>
      <c r="V9" s="80"/>
      <c r="W9" s="80"/>
      <c r="X9" s="80"/>
      <c r="Y9" s="80"/>
      <c r="Z9" s="80"/>
      <c r="AA9" s="80"/>
      <c r="AB9" s="80"/>
    </row>
    <row r="10" spans="1:28" s="1" customFormat="1" ht="22.5" customHeight="1">
      <c r="A10" s="5"/>
      <c r="B10" s="10" t="s">
        <v>19</v>
      </c>
      <c r="C10" s="202" t="s">
        <v>20</v>
      </c>
      <c r="D10" s="202"/>
      <c r="E10" s="202"/>
      <c r="F10" s="202"/>
      <c r="G10" s="202"/>
      <c r="H10" s="196" t="s">
        <v>21</v>
      </c>
      <c r="I10" s="196"/>
      <c r="J10" s="197" t="str">
        <f>CONCATENATE(K9,," ",L9,"-",D12,"-",F12)</f>
        <v>056 25-LA T-V- ROZO AP3-3</v>
      </c>
      <c r="K10" s="197"/>
      <c r="L10" s="198"/>
      <c r="Q10" s="80"/>
      <c r="R10" s="80"/>
      <c r="T10" s="133" t="s">
        <v>22</v>
      </c>
      <c r="U10" s="80"/>
      <c r="V10" s="80"/>
      <c r="W10" s="80"/>
      <c r="X10" s="80"/>
      <c r="Y10" s="80"/>
      <c r="Z10" s="80"/>
      <c r="AA10" s="80"/>
      <c r="AB10" s="80"/>
    </row>
    <row r="11" spans="1:28" s="1" customFormat="1" ht="3.95" customHeight="1" thickBot="1">
      <c r="A11" s="11"/>
      <c r="B11" s="199"/>
      <c r="C11" s="199"/>
      <c r="D11" s="199"/>
      <c r="E11" s="199"/>
      <c r="F11" s="199"/>
      <c r="G11" s="199"/>
      <c r="H11" s="199"/>
      <c r="I11" s="199"/>
      <c r="J11" s="199"/>
      <c r="K11" s="199"/>
      <c r="L11" s="85"/>
      <c r="Q11" s="80"/>
      <c r="R11" s="80"/>
      <c r="T11" s="133"/>
      <c r="U11" s="80"/>
      <c r="V11" s="80"/>
      <c r="W11" s="80"/>
      <c r="X11" s="80"/>
      <c r="Y11" s="80"/>
      <c r="Z11" s="80"/>
      <c r="AA11" s="80"/>
      <c r="AB11" s="80"/>
    </row>
    <row r="12" spans="1:28" s="1" customFormat="1" ht="22.5" customHeight="1">
      <c r="A12" s="6"/>
      <c r="B12" s="7" t="s">
        <v>23</v>
      </c>
      <c r="C12" s="12" t="s">
        <v>10</v>
      </c>
      <c r="D12" s="13" t="s">
        <v>135</v>
      </c>
      <c r="E12" s="14" t="s">
        <v>24</v>
      </c>
      <c r="F12" s="200">
        <v>3</v>
      </c>
      <c r="G12" s="200"/>
      <c r="H12" s="201" t="s">
        <v>25</v>
      </c>
      <c r="I12" s="201"/>
      <c r="J12" s="86">
        <v>1.4</v>
      </c>
      <c r="K12" s="87" t="s">
        <v>26</v>
      </c>
      <c r="L12" s="88">
        <v>1.6</v>
      </c>
      <c r="Q12" s="80"/>
      <c r="R12" s="80"/>
      <c r="T12" s="133"/>
      <c r="U12" s="80"/>
      <c r="V12" s="80"/>
      <c r="W12" s="80"/>
      <c r="X12" s="80"/>
      <c r="Y12" s="80"/>
      <c r="Z12" s="80"/>
      <c r="AA12" s="80"/>
      <c r="AB12" s="80"/>
    </row>
    <row r="13" spans="1:28" s="1" customFormat="1" ht="22.5" customHeight="1">
      <c r="A13" s="5"/>
      <c r="B13" s="9" t="s">
        <v>27</v>
      </c>
      <c r="C13" s="202" t="s">
        <v>136</v>
      </c>
      <c r="D13" s="202"/>
      <c r="E13" s="202"/>
      <c r="F13" s="202"/>
      <c r="G13" s="202"/>
      <c r="H13" s="202"/>
      <c r="I13" s="202"/>
      <c r="J13" s="202"/>
      <c r="K13" s="202"/>
      <c r="L13" s="203"/>
      <c r="O13" s="1">
        <f>-MOD1</f>
        <v>0</v>
      </c>
      <c r="Q13" s="80"/>
      <c r="R13" s="80"/>
      <c r="T13" s="133"/>
      <c r="U13" s="80"/>
      <c r="V13" s="80"/>
      <c r="W13" s="80"/>
      <c r="X13" s="80"/>
      <c r="Y13" s="80"/>
      <c r="Z13" s="80"/>
      <c r="AA13" s="80"/>
      <c r="AB13" s="80"/>
    </row>
    <row r="14" spans="1:28" s="1" customFormat="1" ht="6.95" customHeight="1" thickBot="1">
      <c r="A14" s="11"/>
      <c r="B14" s="15"/>
      <c r="C14" s="16"/>
      <c r="D14" s="16"/>
      <c r="E14" s="16"/>
      <c r="F14" s="16"/>
      <c r="G14" s="16"/>
      <c r="H14" s="16"/>
      <c r="I14" s="16"/>
      <c r="J14" s="16"/>
      <c r="K14" s="16"/>
      <c r="L14" s="89"/>
      <c r="P14" s="80"/>
      <c r="Q14" s="80"/>
      <c r="R14" s="80"/>
      <c r="S14" s="80"/>
      <c r="T14" s="80"/>
      <c r="U14" s="80"/>
      <c r="V14" s="80"/>
      <c r="W14" s="80"/>
      <c r="X14" s="80"/>
      <c r="Y14" s="80"/>
      <c r="Z14" s="80"/>
      <c r="AA14" s="80"/>
      <c r="AB14" s="80"/>
    </row>
    <row r="15" spans="1:28" ht="14.25" customHeight="1" thickBot="1">
      <c r="A15" s="17"/>
      <c r="B15" s="18"/>
      <c r="C15" s="18"/>
      <c r="D15" s="18"/>
      <c r="E15" s="18"/>
      <c r="F15" s="18"/>
      <c r="G15" s="18"/>
      <c r="H15" s="18"/>
      <c r="I15" s="18"/>
      <c r="J15" s="18"/>
      <c r="K15" s="18"/>
      <c r="L15" s="90"/>
    </row>
    <row r="16" spans="1:28" ht="22.5" customHeight="1" thickBot="1">
      <c r="A16" s="204"/>
      <c r="B16" s="205"/>
      <c r="C16" s="205"/>
      <c r="D16" s="205"/>
      <c r="E16" s="205"/>
      <c r="F16" s="205"/>
      <c r="G16" s="205"/>
      <c r="H16" s="205"/>
      <c r="I16" s="205"/>
      <c r="J16" s="205"/>
      <c r="K16" s="205"/>
      <c r="L16" s="206"/>
    </row>
    <row r="17" spans="1:19" ht="22.5" customHeight="1" thickBot="1">
      <c r="A17" s="17"/>
      <c r="B17" s="18"/>
      <c r="C17" s="18"/>
      <c r="D17" s="18"/>
      <c r="E17" s="18"/>
      <c r="F17" s="18"/>
      <c r="G17" s="19"/>
      <c r="H17" s="19"/>
      <c r="I17" s="19"/>
      <c r="J17" s="19"/>
      <c r="K17" s="19"/>
      <c r="L17" s="91"/>
    </row>
    <row r="18" spans="1:19" s="2" customFormat="1" ht="22.5" customHeight="1" thickBot="1">
      <c r="A18" s="207" t="s">
        <v>28</v>
      </c>
      <c r="B18" s="208"/>
      <c r="C18" s="208"/>
      <c r="D18" s="208"/>
      <c r="E18" s="209"/>
      <c r="F18" s="20"/>
      <c r="G18" s="207" t="s">
        <v>28</v>
      </c>
      <c r="H18" s="208"/>
      <c r="I18" s="208"/>
      <c r="J18" s="208"/>
      <c r="K18" s="208"/>
      <c r="L18" s="209"/>
      <c r="O18" s="92"/>
    </row>
    <row r="19" spans="1:19" s="2" customFormat="1" ht="27.75" customHeight="1" thickBot="1">
      <c r="A19" s="210"/>
      <c r="B19" s="211"/>
      <c r="C19" s="211"/>
      <c r="D19" s="22" t="s">
        <v>29</v>
      </c>
      <c r="E19" s="23" t="s">
        <v>30</v>
      </c>
      <c r="F19" s="24"/>
      <c r="G19" s="243" t="s">
        <v>31</v>
      </c>
      <c r="H19" s="244"/>
      <c r="I19" s="212" t="s">
        <v>32</v>
      </c>
      <c r="J19" s="213"/>
      <c r="K19" s="214" t="s">
        <v>33</v>
      </c>
      <c r="L19" s="215"/>
    </row>
    <row r="20" spans="1:19" s="2" customFormat="1" ht="22.5" customHeight="1">
      <c r="A20" s="216" t="s">
        <v>34</v>
      </c>
      <c r="B20" s="217"/>
      <c r="C20" s="25"/>
      <c r="D20" s="26">
        <v>2080</v>
      </c>
      <c r="E20" s="27">
        <v>2080</v>
      </c>
      <c r="F20" s="28"/>
      <c r="G20" s="245"/>
      <c r="H20" s="246"/>
      <c r="I20" s="93" t="s">
        <v>35</v>
      </c>
      <c r="J20" s="168" t="s">
        <v>36</v>
      </c>
      <c r="K20" s="95" t="s">
        <v>37</v>
      </c>
      <c r="L20" s="150" t="s">
        <v>36</v>
      </c>
      <c r="N20" s="92"/>
    </row>
    <row r="21" spans="1:19" s="2" customFormat="1" ht="22.5" customHeight="1">
      <c r="A21" s="216" t="s">
        <v>38</v>
      </c>
      <c r="B21" s="217"/>
      <c r="C21" s="25" t="s">
        <v>39</v>
      </c>
      <c r="D21" s="160">
        <v>15.4</v>
      </c>
      <c r="E21" s="161">
        <f>D21</f>
        <v>15.4</v>
      </c>
      <c r="F21" s="31"/>
      <c r="G21" s="96" t="s">
        <v>40</v>
      </c>
      <c r="H21" s="32" t="s">
        <v>41</v>
      </c>
      <c r="I21" s="96" t="s">
        <v>42</v>
      </c>
      <c r="J21" s="151" t="s">
        <v>43</v>
      </c>
      <c r="K21" s="96" t="s">
        <v>42</v>
      </c>
      <c r="L21" s="151" t="s">
        <v>43</v>
      </c>
      <c r="N21" s="97"/>
    </row>
    <row r="22" spans="1:19" s="2" customFormat="1" ht="22.5" customHeight="1">
      <c r="A22" s="216" t="s">
        <v>44</v>
      </c>
      <c r="B22" s="217"/>
      <c r="C22" s="25" t="s">
        <v>39</v>
      </c>
      <c r="D22" s="160">
        <v>14.7</v>
      </c>
      <c r="E22" s="161">
        <f>D22+E39</f>
        <v>14.7</v>
      </c>
      <c r="F22" s="31"/>
      <c r="G22" s="145">
        <v>0</v>
      </c>
      <c r="H22" s="33">
        <v>0</v>
      </c>
      <c r="I22" s="144">
        <v>0</v>
      </c>
      <c r="J22" s="152">
        <v>0</v>
      </c>
      <c r="K22" s="144">
        <v>0</v>
      </c>
      <c r="L22" s="152">
        <v>0</v>
      </c>
      <c r="N22" s="97"/>
      <c r="O22" s="2">
        <v>0.123</v>
      </c>
      <c r="S22" s="2">
        <v>3.6999999999999998E-2</v>
      </c>
    </row>
    <row r="23" spans="1:19" s="2" customFormat="1" ht="22.5" customHeight="1">
      <c r="A23" s="216" t="s">
        <v>45</v>
      </c>
      <c r="B23" s="217"/>
      <c r="C23" s="34" t="s">
        <v>46</v>
      </c>
      <c r="D23" s="35">
        <v>10842</v>
      </c>
      <c r="E23" s="36">
        <v>10894</v>
      </c>
      <c r="F23" s="31"/>
      <c r="G23" s="145">
        <v>5.0000000000000001E-3</v>
      </c>
      <c r="H23" s="33">
        <v>0.127</v>
      </c>
      <c r="I23" s="144">
        <f>O22</f>
        <v>0.123</v>
      </c>
      <c r="J23" s="153">
        <f t="shared" ref="J23:J34" si="0">((I23/19.32)*10)</f>
        <v>6.3664596273291921E-2</v>
      </c>
      <c r="K23" s="98">
        <f>S22</f>
        <v>3.6999999999999998E-2</v>
      </c>
      <c r="L23" s="153">
        <f t="shared" ref="L23:L34" si="1">((K23/19.32)*10)</f>
        <v>1.9151138716356108E-2</v>
      </c>
      <c r="N23" s="97"/>
      <c r="O23" s="2">
        <v>0.215</v>
      </c>
      <c r="S23" s="2">
        <v>7.3999999999999996E-2</v>
      </c>
    </row>
    <row r="24" spans="1:19" s="2" customFormat="1" ht="22.5" customHeight="1">
      <c r="A24" s="216" t="s">
        <v>47</v>
      </c>
      <c r="B24" s="217"/>
      <c r="C24" s="34" t="s">
        <v>46</v>
      </c>
      <c r="D24" s="167">
        <v>6131</v>
      </c>
      <c r="E24" s="37">
        <f>D24</f>
        <v>6131</v>
      </c>
      <c r="F24" s="38"/>
      <c r="G24" s="145">
        <v>2.5000000000000001E-2</v>
      </c>
      <c r="H24" s="33">
        <v>0.63500000000000001</v>
      </c>
      <c r="I24" s="144">
        <f t="shared" ref="I24:I34" si="2">O23</f>
        <v>0.215</v>
      </c>
      <c r="J24" s="153">
        <f t="shared" si="0"/>
        <v>0.11128364389233954</v>
      </c>
      <c r="K24" s="98">
        <f t="shared" ref="K24:K34" si="3">S23</f>
        <v>7.3999999999999996E-2</v>
      </c>
      <c r="L24" s="153">
        <f t="shared" si="1"/>
        <v>3.8302277432712216E-2</v>
      </c>
      <c r="N24" s="97"/>
      <c r="O24" s="2">
        <v>0.28799999999999998</v>
      </c>
      <c r="S24" s="2">
        <v>0.09</v>
      </c>
    </row>
    <row r="25" spans="1:19" s="2" customFormat="1" ht="22.5" customHeight="1">
      <c r="A25" s="216" t="s">
        <v>48</v>
      </c>
      <c r="B25" s="217"/>
      <c r="C25" s="34" t="s">
        <v>46</v>
      </c>
      <c r="D25" s="39">
        <f>+D23-D24</f>
        <v>4711</v>
      </c>
      <c r="E25" s="40">
        <f>E23-E24</f>
        <v>4763</v>
      </c>
      <c r="F25" s="41"/>
      <c r="G25" s="145">
        <v>0.05</v>
      </c>
      <c r="H25" s="33">
        <v>1.27</v>
      </c>
      <c r="I25" s="144">
        <f t="shared" si="2"/>
        <v>0.28799999999999998</v>
      </c>
      <c r="J25" s="153">
        <f t="shared" si="0"/>
        <v>0.14906832298136644</v>
      </c>
      <c r="K25" s="98">
        <f t="shared" si="3"/>
        <v>0.09</v>
      </c>
      <c r="L25" s="153">
        <f t="shared" si="1"/>
        <v>4.6583850931677023E-2</v>
      </c>
      <c r="N25" s="97"/>
      <c r="O25" s="2">
        <v>0.33800000000000002</v>
      </c>
      <c r="S25" s="2">
        <v>0.10100000000000001</v>
      </c>
    </row>
    <row r="26" spans="1:19" s="2" customFormat="1" ht="22.5" customHeight="1">
      <c r="A26" s="216" t="s">
        <v>49</v>
      </c>
      <c r="B26" s="217"/>
      <c r="C26" s="34" t="s">
        <v>50</v>
      </c>
      <c r="D26" s="39">
        <f>((PI()*(D21*D21))/4)*D22</f>
        <v>2738.0959179406809</v>
      </c>
      <c r="E26" s="174">
        <f>((PI()*(E21*E21))/4)*E22</f>
        <v>2738.0959179406809</v>
      </c>
      <c r="F26" s="41"/>
      <c r="G26" s="145">
        <v>7.4999999999999997E-2</v>
      </c>
      <c r="H26" s="33">
        <v>1.905</v>
      </c>
      <c r="I26" s="144">
        <f t="shared" si="2"/>
        <v>0.33800000000000002</v>
      </c>
      <c r="J26" s="153">
        <f t="shared" si="0"/>
        <v>0.17494824016563149</v>
      </c>
      <c r="K26" s="98">
        <f t="shared" si="3"/>
        <v>0.10100000000000001</v>
      </c>
      <c r="L26" s="153">
        <f t="shared" si="1"/>
        <v>5.227743271221532E-2</v>
      </c>
      <c r="N26" s="97"/>
      <c r="O26" s="2">
        <v>0.38300000000000001</v>
      </c>
      <c r="S26" s="2">
        <v>0.107</v>
      </c>
    </row>
    <row r="27" spans="1:19" s="2" customFormat="1" ht="22.5" customHeight="1">
      <c r="A27" s="216" t="s">
        <v>51</v>
      </c>
      <c r="B27" s="217"/>
      <c r="C27" s="34" t="s">
        <v>52</v>
      </c>
      <c r="D27" s="42">
        <f>D25/D26</f>
        <v>1.7205387032398551</v>
      </c>
      <c r="E27" s="175">
        <f>E25/E26</f>
        <v>1.7395300028723053</v>
      </c>
      <c r="F27" s="44"/>
      <c r="G27" s="146">
        <v>0.1</v>
      </c>
      <c r="H27" s="45">
        <v>2.54</v>
      </c>
      <c r="I27" s="154">
        <f t="shared" si="2"/>
        <v>0.38300000000000001</v>
      </c>
      <c r="J27" s="155">
        <f t="shared" si="0"/>
        <v>0.19824016563146998</v>
      </c>
      <c r="K27" s="158">
        <f t="shared" si="3"/>
        <v>0.107</v>
      </c>
      <c r="L27" s="155">
        <f t="shared" si="1"/>
        <v>5.538302277432712E-2</v>
      </c>
      <c r="N27" s="97"/>
      <c r="O27" s="2">
        <v>0.435</v>
      </c>
      <c r="S27" s="2">
        <v>0.11600000000000001</v>
      </c>
    </row>
    <row r="28" spans="1:19" s="2" customFormat="1" ht="22.5" customHeight="1" thickBot="1">
      <c r="A28" s="218" t="s">
        <v>53</v>
      </c>
      <c r="B28" s="219"/>
      <c r="C28" s="46" t="s">
        <v>52</v>
      </c>
      <c r="D28" s="47">
        <f>D27/(1+D34/100)</f>
        <v>1.4511614315204835</v>
      </c>
      <c r="E28" s="48">
        <f>E27/(1+E34/100)</f>
        <v>1.3559822560616226</v>
      </c>
      <c r="F28" s="49"/>
      <c r="G28" s="145">
        <v>0.125</v>
      </c>
      <c r="H28" s="33">
        <v>3.1749999999999998</v>
      </c>
      <c r="I28" s="144">
        <f t="shared" si="2"/>
        <v>0.435</v>
      </c>
      <c r="J28" s="153">
        <f t="shared" si="0"/>
        <v>0.2251552795031056</v>
      </c>
      <c r="K28" s="98">
        <f t="shared" si="3"/>
        <v>0.11600000000000001</v>
      </c>
      <c r="L28" s="153">
        <f t="shared" si="1"/>
        <v>6.0041407867494824E-2</v>
      </c>
      <c r="N28" s="97"/>
      <c r="O28" s="2">
        <v>0.47399999999999998</v>
      </c>
      <c r="S28" s="2">
        <v>0.123</v>
      </c>
    </row>
    <row r="29" spans="1:19" s="2" customFormat="1" ht="22.5" customHeight="1" thickBot="1">
      <c r="A29" s="207" t="s">
        <v>54</v>
      </c>
      <c r="B29" s="208" t="s">
        <v>54</v>
      </c>
      <c r="C29" s="208"/>
      <c r="D29" s="208"/>
      <c r="E29" s="209"/>
      <c r="F29" s="49"/>
      <c r="G29" s="147">
        <v>0.15</v>
      </c>
      <c r="H29" s="33">
        <v>3.81</v>
      </c>
      <c r="I29" s="144">
        <f t="shared" si="2"/>
        <v>0.47399999999999998</v>
      </c>
      <c r="J29" s="153">
        <f t="shared" si="0"/>
        <v>0.24534161490683229</v>
      </c>
      <c r="K29" s="98">
        <f t="shared" si="3"/>
        <v>0.123</v>
      </c>
      <c r="L29" s="153">
        <f>((K29/19.32)*10)</f>
        <v>6.3664596273291921E-2</v>
      </c>
      <c r="N29" s="97"/>
      <c r="O29" s="2">
        <v>0.499</v>
      </c>
      <c r="S29" s="2">
        <v>0.13</v>
      </c>
    </row>
    <row r="30" spans="1:19" s="2" customFormat="1" ht="22.5" customHeight="1">
      <c r="A30" s="258" t="s">
        <v>55</v>
      </c>
      <c r="B30" s="259"/>
      <c r="C30" s="50"/>
      <c r="D30" s="51">
        <v>803</v>
      </c>
      <c r="E30" s="52">
        <v>339</v>
      </c>
      <c r="F30" s="44"/>
      <c r="G30" s="145">
        <v>0.17499999999999999</v>
      </c>
      <c r="H30" s="33">
        <v>4.4450000000000003</v>
      </c>
      <c r="I30" s="144">
        <f t="shared" si="2"/>
        <v>0.499</v>
      </c>
      <c r="J30" s="153">
        <f t="shared" si="0"/>
        <v>0.2582815734989648</v>
      </c>
      <c r="K30" s="98">
        <f t="shared" si="3"/>
        <v>0.13</v>
      </c>
      <c r="L30" s="153">
        <f t="shared" si="1"/>
        <v>6.7287784679089024E-2</v>
      </c>
      <c r="N30" s="97"/>
      <c r="O30" s="2">
        <v>0.50900000000000001</v>
      </c>
      <c r="S30" s="2">
        <v>0.13500000000000001</v>
      </c>
    </row>
    <row r="31" spans="1:19" s="2" customFormat="1" ht="22.5" customHeight="1">
      <c r="A31" s="216" t="s">
        <v>56</v>
      </c>
      <c r="B31" s="217"/>
      <c r="C31" s="25" t="s">
        <v>46</v>
      </c>
      <c r="D31" s="53">
        <v>185.27</v>
      </c>
      <c r="E31" s="54">
        <v>1065.58</v>
      </c>
      <c r="F31" s="41"/>
      <c r="G31" s="146">
        <v>0.2</v>
      </c>
      <c r="H31" s="45">
        <v>5.08</v>
      </c>
      <c r="I31" s="154">
        <f t="shared" si="2"/>
        <v>0.50900000000000001</v>
      </c>
      <c r="J31" s="155">
        <f t="shared" si="0"/>
        <v>0.26345755693581779</v>
      </c>
      <c r="K31" s="158">
        <f t="shared" si="3"/>
        <v>0.13500000000000001</v>
      </c>
      <c r="L31" s="155">
        <f t="shared" si="1"/>
        <v>6.9875776397515535E-2</v>
      </c>
      <c r="N31" s="97"/>
      <c r="O31" s="2">
        <v>0.61199999999999999</v>
      </c>
      <c r="S31" s="2">
        <v>0.156</v>
      </c>
    </row>
    <row r="32" spans="1:19" s="2" customFormat="1" ht="22.5" customHeight="1">
      <c r="A32" s="216" t="s">
        <v>57</v>
      </c>
      <c r="B32" s="217"/>
      <c r="C32" s="25" t="s">
        <v>46</v>
      </c>
      <c r="D32" s="53">
        <v>167.29</v>
      </c>
      <c r="E32" s="54">
        <v>849.28</v>
      </c>
      <c r="F32" s="49"/>
      <c r="G32" s="145">
        <v>0.3</v>
      </c>
      <c r="H32" s="33">
        <v>7.62</v>
      </c>
      <c r="I32" s="144">
        <f t="shared" si="2"/>
        <v>0.61199999999999999</v>
      </c>
      <c r="J32" s="153">
        <f t="shared" si="0"/>
        <v>0.31677018633540377</v>
      </c>
      <c r="K32" s="98">
        <f t="shared" si="3"/>
        <v>0.156</v>
      </c>
      <c r="L32" s="153">
        <f t="shared" si="1"/>
        <v>8.0745341614906832E-2</v>
      </c>
      <c r="N32" s="97"/>
      <c r="O32" s="2">
        <v>0.70199999999999996</v>
      </c>
      <c r="S32" s="2">
        <v>0.17399999999999999</v>
      </c>
    </row>
    <row r="33" spans="1:19" s="2" customFormat="1" ht="22.5" customHeight="1">
      <c r="A33" s="216" t="s">
        <v>58</v>
      </c>
      <c r="B33" s="217"/>
      <c r="C33" s="25" t="s">
        <v>46</v>
      </c>
      <c r="D33" s="53">
        <v>70.430000000000007</v>
      </c>
      <c r="E33" s="54">
        <v>84.58</v>
      </c>
      <c r="F33" s="49"/>
      <c r="G33" s="145">
        <v>0.4</v>
      </c>
      <c r="H33" s="33">
        <v>10.16</v>
      </c>
      <c r="I33" s="144">
        <f t="shared" si="2"/>
        <v>0.70199999999999996</v>
      </c>
      <c r="J33" s="153">
        <f t="shared" si="0"/>
        <v>0.36335403726708071</v>
      </c>
      <c r="K33" s="98">
        <f t="shared" si="3"/>
        <v>0.17399999999999999</v>
      </c>
      <c r="L33" s="153">
        <f t="shared" si="1"/>
        <v>9.0062111801242226E-2</v>
      </c>
      <c r="N33" s="97"/>
      <c r="O33" s="2">
        <v>0.78900000000000003</v>
      </c>
      <c r="S33" s="2">
        <v>0.19600000000000001</v>
      </c>
    </row>
    <row r="34" spans="1:19" s="2" customFormat="1" ht="22.5" customHeight="1" thickBot="1">
      <c r="A34" s="218" t="s">
        <v>59</v>
      </c>
      <c r="B34" s="219"/>
      <c r="C34" s="46" t="s">
        <v>60</v>
      </c>
      <c r="D34" s="47">
        <f>((D31-D32)/(D32-D33))*100</f>
        <v>18.562874251497028</v>
      </c>
      <c r="E34" s="48">
        <f>((E31-E32)/(E32-E33))*100</f>
        <v>28.285602196939973</v>
      </c>
      <c r="F34" s="49"/>
      <c r="G34" s="148">
        <v>0.5</v>
      </c>
      <c r="H34" s="149">
        <v>12.7</v>
      </c>
      <c r="I34" s="156">
        <f t="shared" si="2"/>
        <v>0.78900000000000003</v>
      </c>
      <c r="J34" s="157">
        <f t="shared" si="0"/>
        <v>0.40838509316770188</v>
      </c>
      <c r="K34" s="159">
        <f t="shared" si="3"/>
        <v>0.19600000000000001</v>
      </c>
      <c r="L34" s="157">
        <f t="shared" si="1"/>
        <v>0.10144927536231885</v>
      </c>
      <c r="N34" s="97"/>
    </row>
    <row r="35" spans="1:19" s="2" customFormat="1" ht="11.25" customHeight="1" thickBot="1">
      <c r="A35" s="55"/>
      <c r="B35" s="56"/>
      <c r="C35" s="57"/>
      <c r="D35" s="58"/>
      <c r="E35" s="58"/>
      <c r="F35" s="59"/>
      <c r="G35" s="58"/>
      <c r="H35" s="58"/>
      <c r="I35" s="58"/>
      <c r="J35" s="58"/>
      <c r="K35" s="58"/>
      <c r="L35" s="99"/>
      <c r="N35" s="97"/>
    </row>
    <row r="36" spans="1:19" s="2" customFormat="1" ht="22.5" customHeight="1" thickBot="1">
      <c r="A36" s="247" t="s">
        <v>61</v>
      </c>
      <c r="B36" s="248"/>
      <c r="C36" s="248"/>
      <c r="D36" s="248"/>
      <c r="E36" s="249"/>
      <c r="F36" s="60"/>
      <c r="G36" s="60"/>
      <c r="H36" s="207" t="s">
        <v>62</v>
      </c>
      <c r="I36" s="208"/>
      <c r="J36" s="208"/>
      <c r="K36" s="209"/>
      <c r="L36" s="100"/>
    </row>
    <row r="37" spans="1:19" s="2" customFormat="1" ht="22.5" customHeight="1" thickBot="1">
      <c r="A37" s="250" t="s">
        <v>63</v>
      </c>
      <c r="B37" s="251"/>
      <c r="C37" s="61" t="s">
        <v>64</v>
      </c>
      <c r="D37" s="277">
        <v>0.40600000000000003</v>
      </c>
      <c r="E37" s="278"/>
      <c r="F37" s="62"/>
      <c r="G37" s="62"/>
      <c r="H37" s="63" t="s">
        <v>65</v>
      </c>
      <c r="I37" s="101" t="s">
        <v>86</v>
      </c>
      <c r="J37" s="63" t="s">
        <v>66</v>
      </c>
      <c r="K37" s="102" t="s">
        <v>67</v>
      </c>
      <c r="L37" s="99"/>
    </row>
    <row r="38" spans="1:19" s="2" customFormat="1" ht="22.5" customHeight="1" thickBot="1">
      <c r="A38" s="224" t="s">
        <v>68</v>
      </c>
      <c r="B38" s="225"/>
      <c r="C38" s="64" t="s">
        <v>64</v>
      </c>
      <c r="D38" s="279">
        <v>0.40250000000000002</v>
      </c>
      <c r="E38" s="280"/>
      <c r="F38" s="62"/>
      <c r="G38" s="62"/>
      <c r="H38" s="256" t="s">
        <v>69</v>
      </c>
      <c r="I38" s="257"/>
      <c r="J38" s="256" t="s">
        <v>70</v>
      </c>
      <c r="K38" s="257"/>
      <c r="L38" s="99"/>
    </row>
    <row r="39" spans="1:19" s="2" customFormat="1" ht="22.5" customHeight="1" thickBot="1">
      <c r="A39" s="224" t="s">
        <v>71</v>
      </c>
      <c r="B39" s="225"/>
      <c r="C39" s="65" t="s">
        <v>39</v>
      </c>
      <c r="D39" s="226">
        <f>(D38-D37)*2.54</f>
        <v>-8.8900000000000073E-3</v>
      </c>
      <c r="E39" s="227"/>
      <c r="F39" s="31"/>
      <c r="G39" s="31"/>
      <c r="H39" s="163" t="s">
        <v>72</v>
      </c>
      <c r="I39" s="164">
        <v>4554</v>
      </c>
      <c r="J39" s="275">
        <v>4</v>
      </c>
      <c r="K39" s="229"/>
      <c r="L39" s="99"/>
    </row>
    <row r="40" spans="1:19" s="2" customFormat="1" ht="22.5" customHeight="1" thickBot="1">
      <c r="A40" s="230" t="s">
        <v>73</v>
      </c>
      <c r="B40" s="231"/>
      <c r="C40" s="67" t="s">
        <v>60</v>
      </c>
      <c r="D40" s="232">
        <f>IF(D39&lt;&gt;"",IF(D22&lt;&gt;"",D39/D22*100,""),"")</f>
        <v>-6.0476190476190524E-2</v>
      </c>
      <c r="E40" s="233"/>
      <c r="F40" s="68"/>
      <c r="G40" s="68"/>
      <c r="H40" s="165" t="s">
        <v>33</v>
      </c>
      <c r="I40" s="166">
        <v>4554</v>
      </c>
      <c r="J40" s="276">
        <v>4</v>
      </c>
      <c r="K40" s="235"/>
      <c r="L40" s="99"/>
      <c r="P40" s="105"/>
      <c r="Q40" s="105"/>
      <c r="R40" s="134"/>
    </row>
    <row r="41" spans="1:19" s="2" customFormat="1" ht="33" customHeight="1" thickBot="1">
      <c r="A41" s="70"/>
      <c r="B41" s="58"/>
      <c r="C41" s="58"/>
      <c r="D41" s="58"/>
      <c r="E41" s="58"/>
      <c r="F41" s="71"/>
      <c r="G41" s="58"/>
      <c r="H41" s="70"/>
      <c r="I41" s="58"/>
      <c r="J41" s="107" t="str">
        <f>I19</f>
        <v>ANTES DE INMERSIÓN</v>
      </c>
      <c r="K41" s="107" t="str">
        <f>K19</f>
        <v xml:space="preserve">DESPUÉS DE INMERSIÓN </v>
      </c>
      <c r="L41" s="108"/>
      <c r="M41" s="20"/>
      <c r="P41" s="109"/>
      <c r="Q41" s="135"/>
      <c r="R41" s="136"/>
    </row>
    <row r="42" spans="1:19" s="2" customFormat="1" ht="22.5" customHeight="1">
      <c r="A42" s="70"/>
      <c r="B42" s="58"/>
      <c r="C42" s="58"/>
      <c r="D42" s="58"/>
      <c r="E42" s="58"/>
      <c r="F42" s="58"/>
      <c r="G42" s="58"/>
      <c r="H42" s="21" t="s">
        <v>74</v>
      </c>
      <c r="I42" s="110" t="s">
        <v>60</v>
      </c>
      <c r="J42" s="111">
        <f>(J27/6.9)*100</f>
        <v>2.8730458787169564</v>
      </c>
      <c r="K42" s="112">
        <f>(L27/6.9)*100</f>
        <v>0.80265250397575527</v>
      </c>
      <c r="L42" s="99"/>
      <c r="P42" s="113"/>
      <c r="Q42" s="137"/>
      <c r="R42" s="136"/>
    </row>
    <row r="43" spans="1:19" s="2" customFormat="1" ht="22.5" customHeight="1" thickBot="1">
      <c r="A43" s="70"/>
      <c r="B43" s="73"/>
      <c r="C43" s="58"/>
      <c r="D43" s="58"/>
      <c r="E43" s="58"/>
      <c r="F43" s="58"/>
      <c r="G43" s="58"/>
      <c r="H43" s="74" t="s">
        <v>75</v>
      </c>
      <c r="I43" s="114" t="s">
        <v>60</v>
      </c>
      <c r="J43" s="115">
        <f>(J31/10.3)*100</f>
        <v>2.5578403586001728</v>
      </c>
      <c r="K43" s="116">
        <f>(L31/10.3)*100</f>
        <v>0.67840559609238382</v>
      </c>
      <c r="L43" s="99"/>
      <c r="P43" s="117"/>
      <c r="Q43" s="138"/>
      <c r="R43" s="139"/>
    </row>
    <row r="44" spans="1:19" s="2" customFormat="1" ht="22.5" customHeight="1" thickBot="1">
      <c r="A44" s="70"/>
      <c r="B44" s="73"/>
      <c r="C44" s="73"/>
      <c r="D44" s="73"/>
      <c r="E44" s="58"/>
      <c r="F44" s="58"/>
      <c r="G44" s="58"/>
      <c r="H44" s="74" t="s">
        <v>76</v>
      </c>
      <c r="I44" s="114"/>
      <c r="J44" s="118">
        <f>IF(J42&lt;J43,J42,J43)</f>
        <v>2.5578403586001728</v>
      </c>
      <c r="K44" s="119">
        <f>IF(K42&lt;K43,K42,K43)</f>
        <v>0.67840559609238382</v>
      </c>
      <c r="L44" s="120"/>
      <c r="M44" s="121"/>
    </row>
    <row r="45" spans="1:19" s="2" customFormat="1" ht="22.5" customHeight="1">
      <c r="A45" s="70"/>
      <c r="B45" s="58"/>
      <c r="C45" s="58"/>
      <c r="D45" s="59"/>
      <c r="E45" s="59"/>
      <c r="F45" s="59"/>
      <c r="G45" s="58"/>
      <c r="H45" s="4"/>
      <c r="I45" s="122"/>
      <c r="J45" s="122"/>
      <c r="K45" s="122"/>
      <c r="L45" s="99"/>
    </row>
    <row r="46" spans="1:19" s="2" customFormat="1" ht="22.5" customHeight="1">
      <c r="A46" s="70"/>
      <c r="B46" s="58"/>
      <c r="C46" s="58"/>
      <c r="D46" s="59"/>
      <c r="E46" s="59"/>
      <c r="F46" s="59"/>
      <c r="G46" s="58"/>
      <c r="H46" s="222" t="s">
        <v>77</v>
      </c>
      <c r="I46" s="222"/>
      <c r="J46" s="222" t="s">
        <v>78</v>
      </c>
      <c r="K46" s="222"/>
      <c r="L46" s="223"/>
    </row>
    <row r="47" spans="1:19" s="2" customFormat="1" ht="22.5" customHeight="1">
      <c r="A47" s="70"/>
      <c r="B47" s="56"/>
      <c r="C47" s="75"/>
      <c r="D47" s="76"/>
      <c r="E47" s="59"/>
      <c r="F47" s="59"/>
      <c r="G47" s="59"/>
      <c r="H47" s="77"/>
      <c r="I47" s="123"/>
      <c r="J47" s="77"/>
      <c r="K47" s="123"/>
      <c r="L47" s="124"/>
    </row>
    <row r="48" spans="1:19" s="2" customFormat="1" ht="22.5" customHeight="1">
      <c r="A48" s="70"/>
      <c r="B48" s="56"/>
      <c r="C48" s="75"/>
      <c r="D48" s="76"/>
      <c r="E48" s="59"/>
      <c r="F48" s="59"/>
      <c r="G48" s="59"/>
      <c r="H48" s="77"/>
      <c r="I48" s="123"/>
      <c r="J48" s="77"/>
      <c r="K48" s="123"/>
      <c r="L48" s="124"/>
    </row>
    <row r="49" spans="1:15" s="2" customFormat="1" ht="22.5" customHeight="1">
      <c r="A49" s="70"/>
      <c r="B49" s="56"/>
      <c r="C49" s="75"/>
      <c r="D49" s="76"/>
      <c r="E49" s="59"/>
      <c r="F49" s="59"/>
      <c r="G49" s="59"/>
      <c r="H49" s="77"/>
      <c r="I49" s="123"/>
      <c r="J49" s="77"/>
      <c r="K49"/>
      <c r="L49" s="124"/>
    </row>
    <row r="50" spans="1:15" s="2" customFormat="1" ht="22.5" customHeight="1">
      <c r="A50" s="70"/>
      <c r="B50" s="56"/>
      <c r="C50" s="75"/>
      <c r="D50" s="76"/>
      <c r="E50" s="59"/>
      <c r="F50" s="59"/>
      <c r="G50" s="59"/>
      <c r="H50" s="78"/>
      <c r="I50" s="78"/>
      <c r="J50" s="77"/>
      <c r="K50" s="123"/>
      <c r="L50" s="124"/>
    </row>
    <row r="51" spans="1:15" s="2" customFormat="1" ht="22.5" customHeight="1">
      <c r="A51" s="70"/>
      <c r="B51" s="56"/>
      <c r="C51" s="75"/>
      <c r="D51" s="76"/>
      <c r="E51" s="59"/>
      <c r="F51" s="59"/>
      <c r="G51" s="59"/>
      <c r="H51" s="220" t="s">
        <v>79</v>
      </c>
      <c r="I51" s="220"/>
      <c r="J51" s="220" t="s">
        <v>87</v>
      </c>
      <c r="K51" s="220"/>
      <c r="L51" s="221"/>
    </row>
    <row r="52" spans="1:15" s="2" customFormat="1" ht="22.5" customHeight="1">
      <c r="A52" s="70"/>
      <c r="B52" s="56"/>
      <c r="C52" s="75"/>
      <c r="D52" s="76"/>
      <c r="E52" s="59"/>
      <c r="F52" s="59"/>
      <c r="G52" s="59"/>
      <c r="H52" s="222" t="s">
        <v>80</v>
      </c>
      <c r="I52" s="222"/>
      <c r="J52" s="222" t="s">
        <v>81</v>
      </c>
      <c r="K52" s="222"/>
      <c r="L52" s="223"/>
    </row>
    <row r="53" spans="1:15" s="2" customFormat="1" ht="22.5" customHeight="1">
      <c r="A53" s="70"/>
      <c r="B53" s="56"/>
      <c r="C53" s="75"/>
      <c r="D53" s="76"/>
      <c r="E53" s="59"/>
      <c r="F53" s="59"/>
      <c r="G53" s="59"/>
      <c r="H53" s="186"/>
      <c r="I53" s="186"/>
      <c r="J53" s="186"/>
      <c r="K53" s="186"/>
      <c r="L53" s="99"/>
    </row>
    <row r="54" spans="1:15" s="2" customFormat="1" ht="22.5" customHeight="1">
      <c r="A54" s="70"/>
      <c r="B54" s="56"/>
      <c r="C54" s="75"/>
      <c r="D54" s="76"/>
      <c r="E54" s="59"/>
      <c r="F54" s="59"/>
      <c r="G54" s="59"/>
      <c r="H54" s="58"/>
      <c r="I54" s="58"/>
      <c r="J54" s="125"/>
      <c r="K54" s="58"/>
      <c r="L54" s="99"/>
      <c r="M54" s="126"/>
      <c r="N54" s="3"/>
    </row>
    <row r="55" spans="1:15" s="2" customFormat="1" ht="22.5" customHeight="1">
      <c r="A55" s="70"/>
      <c r="B55" s="56"/>
      <c r="C55" s="75"/>
      <c r="D55" s="76"/>
      <c r="E55" s="59"/>
      <c r="F55" s="59"/>
      <c r="G55" s="59"/>
      <c r="H55" s="58"/>
      <c r="I55" s="58"/>
      <c r="J55" s="127"/>
      <c r="K55" s="125"/>
      <c r="L55" s="128"/>
      <c r="M55" s="129"/>
      <c r="N55" s="3"/>
    </row>
    <row r="56" spans="1:15" s="2" customFormat="1" ht="22.5" customHeight="1">
      <c r="A56" s="264" t="s">
        <v>82</v>
      </c>
      <c r="B56" s="265"/>
      <c r="C56" s="265"/>
      <c r="D56" s="265"/>
      <c r="E56" s="265"/>
      <c r="F56" s="265"/>
      <c r="G56" s="265"/>
      <c r="H56" s="265"/>
      <c r="I56" s="265"/>
      <c r="J56" s="265"/>
      <c r="K56" s="265"/>
      <c r="L56" s="266"/>
      <c r="M56" s="130"/>
      <c r="N56" s="3"/>
      <c r="O56" s="3"/>
    </row>
    <row r="57" spans="1:15" s="2" customFormat="1" ht="22.5" customHeight="1">
      <c r="A57" s="261" t="s">
        <v>83</v>
      </c>
      <c r="B57" s="262"/>
      <c r="C57" s="262"/>
      <c r="D57" s="262"/>
      <c r="E57" s="262"/>
      <c r="F57" s="262"/>
      <c r="G57" s="262"/>
      <c r="H57" s="262"/>
      <c r="I57" s="262"/>
      <c r="J57" s="262"/>
      <c r="K57" s="262"/>
      <c r="L57" s="263"/>
      <c r="M57" s="3"/>
      <c r="N57" s="3"/>
      <c r="O57" s="3"/>
    </row>
    <row r="58" spans="1:15" s="2" customFormat="1" ht="22.5" customHeight="1">
      <c r="A58" s="261"/>
      <c r="B58" s="262"/>
      <c r="C58" s="262"/>
      <c r="D58" s="262"/>
      <c r="E58" s="262"/>
      <c r="F58" s="262"/>
      <c r="G58" s="262"/>
      <c r="H58" s="262"/>
      <c r="I58" s="262"/>
      <c r="J58" s="262"/>
      <c r="K58" s="262"/>
      <c r="L58" s="263"/>
      <c r="M58" s="3"/>
      <c r="N58" s="3"/>
      <c r="O58" s="3"/>
    </row>
    <row r="59" spans="1:15" ht="15" thickBot="1">
      <c r="A59" s="267" t="s">
        <v>84</v>
      </c>
      <c r="B59" s="268"/>
      <c r="C59" s="268"/>
      <c r="D59" s="268"/>
      <c r="E59" s="268"/>
      <c r="F59" s="268"/>
      <c r="G59" s="268"/>
      <c r="H59" s="268"/>
      <c r="I59" s="268"/>
      <c r="J59" s="268"/>
      <c r="K59" s="268"/>
      <c r="L59" s="269"/>
    </row>
    <row r="63" spans="1:15">
      <c r="I63" s="79"/>
      <c r="J63" s="79"/>
      <c r="K63" s="79"/>
      <c r="L63" s="79"/>
      <c r="M63" s="79"/>
      <c r="N63" s="79"/>
    </row>
    <row r="64" spans="1:15" ht="15" customHeight="1">
      <c r="E64" s="79"/>
      <c r="F64" s="79"/>
      <c r="G64" s="79"/>
      <c r="H64" s="79"/>
      <c r="I64" s="131"/>
      <c r="J64" s="131"/>
      <c r="K64" s="131"/>
      <c r="L64" s="131"/>
      <c r="M64" s="131"/>
      <c r="N64" s="131"/>
    </row>
    <row r="65" spans="2:18" ht="15" customHeight="1">
      <c r="E65" s="131"/>
      <c r="F65" s="131"/>
      <c r="G65" s="131"/>
      <c r="H65" s="131"/>
      <c r="I65" s="131"/>
      <c r="J65" s="131"/>
      <c r="K65" s="131"/>
      <c r="L65" s="131"/>
      <c r="M65" s="131"/>
      <c r="N65" s="131"/>
    </row>
    <row r="66" spans="2:18" ht="15" customHeight="1">
      <c r="E66" s="131"/>
      <c r="F66" s="131"/>
      <c r="G66" s="131"/>
      <c r="H66" s="131"/>
      <c r="I66" s="131"/>
      <c r="J66" s="131"/>
      <c r="K66" s="131"/>
      <c r="L66" s="131"/>
      <c r="M66" s="131"/>
      <c r="N66" s="131"/>
    </row>
    <row r="67" spans="2:18" ht="30.75" customHeight="1">
      <c r="E67" s="131"/>
      <c r="F67" s="131"/>
      <c r="G67" s="131"/>
      <c r="H67" s="131"/>
      <c r="I67" s="140"/>
      <c r="J67" s="140"/>
      <c r="K67" s="140"/>
      <c r="L67" s="140"/>
      <c r="M67" s="140"/>
      <c r="N67" s="140"/>
    </row>
    <row r="68" spans="2:18" ht="15" customHeight="1">
      <c r="E68" s="140"/>
      <c r="F68" s="140"/>
      <c r="G68" s="140"/>
      <c r="H68" s="140"/>
      <c r="I68" s="140"/>
      <c r="J68" s="140"/>
      <c r="K68" s="140"/>
      <c r="L68" s="140"/>
      <c r="M68" s="140"/>
      <c r="N68" s="140"/>
    </row>
    <row r="69" spans="2:18" ht="15" customHeight="1">
      <c r="E69" s="140"/>
      <c r="F69" s="140"/>
      <c r="G69" s="140"/>
      <c r="H69" s="140"/>
    </row>
    <row r="70" spans="2:18" ht="31.5" customHeight="1">
      <c r="E70" s="270"/>
      <c r="F70" s="270"/>
      <c r="G70" s="270"/>
      <c r="H70" s="270"/>
      <c r="I70" s="270"/>
      <c r="J70" s="270"/>
      <c r="K70" s="270"/>
      <c r="L70" s="270"/>
      <c r="M70" s="270"/>
      <c r="N70" s="270"/>
      <c r="O70" s="270"/>
      <c r="P70" s="270"/>
    </row>
    <row r="71" spans="2:18" ht="24" customHeight="1">
      <c r="B71" s="141"/>
      <c r="C71" s="142"/>
      <c r="D71" s="142"/>
      <c r="E71" s="142"/>
      <c r="F71" s="142"/>
      <c r="G71" s="142"/>
      <c r="H71" s="142"/>
      <c r="I71" s="142"/>
      <c r="J71" s="142"/>
      <c r="K71" s="142"/>
      <c r="L71" s="142"/>
      <c r="M71" s="142"/>
      <c r="N71" s="142"/>
      <c r="O71" s="142"/>
      <c r="P71" s="142"/>
      <c r="Q71" s="142"/>
      <c r="R71" s="142"/>
    </row>
    <row r="72" spans="2:18" ht="15" customHeight="1">
      <c r="B72" s="142"/>
      <c r="C72" s="142"/>
      <c r="D72" s="260"/>
      <c r="E72" s="260"/>
      <c r="F72" s="260"/>
      <c r="G72" s="260"/>
      <c r="H72" s="260"/>
      <c r="I72" s="260"/>
      <c r="J72" s="260"/>
      <c r="K72" s="260"/>
      <c r="L72" s="260"/>
      <c r="M72" s="260"/>
      <c r="N72" s="260"/>
      <c r="O72" s="260"/>
      <c r="P72" s="142"/>
      <c r="Q72" s="142"/>
      <c r="R72" s="142"/>
    </row>
    <row r="73" spans="2:18">
      <c r="D73" s="260"/>
      <c r="E73" s="260"/>
      <c r="F73" s="260"/>
      <c r="G73" s="260"/>
      <c r="H73" s="260"/>
      <c r="I73" s="260"/>
      <c r="J73" s="260"/>
      <c r="K73" s="260"/>
      <c r="L73" s="260"/>
      <c r="M73" s="260"/>
      <c r="N73" s="260"/>
      <c r="O73" s="260"/>
    </row>
  </sheetData>
  <sheetProtection formatCells="0" formatColumns="0" insertColumns="0" insertRows="0" deleteColumns="0" deleteRows="0"/>
  <mergeCells count="74">
    <mergeCell ref="D72:O73"/>
    <mergeCell ref="H46:I46"/>
    <mergeCell ref="J46:L46"/>
    <mergeCell ref="H51:I51"/>
    <mergeCell ref="J51:L51"/>
    <mergeCell ref="H52:I52"/>
    <mergeCell ref="J52:L52"/>
    <mergeCell ref="H53:K53"/>
    <mergeCell ref="A56:L56"/>
    <mergeCell ref="A57:L58"/>
    <mergeCell ref="A59:L59"/>
    <mergeCell ref="E70:P70"/>
    <mergeCell ref="A39:B39"/>
    <mergeCell ref="D39:E39"/>
    <mergeCell ref="J39:K39"/>
    <mergeCell ref="A40:B40"/>
    <mergeCell ref="D40:E40"/>
    <mergeCell ref="J40:K40"/>
    <mergeCell ref="A38:B38"/>
    <mergeCell ref="D38:E38"/>
    <mergeCell ref="H38:I38"/>
    <mergeCell ref="J38:K38"/>
    <mergeCell ref="A28:B28"/>
    <mergeCell ref="A29:E29"/>
    <mergeCell ref="A30:B30"/>
    <mergeCell ref="A31:B31"/>
    <mergeCell ref="A32:B32"/>
    <mergeCell ref="A33:B33"/>
    <mergeCell ref="A34:B34"/>
    <mergeCell ref="A36:E36"/>
    <mergeCell ref="H36:K36"/>
    <mergeCell ref="A37:B37"/>
    <mergeCell ref="D37:E37"/>
    <mergeCell ref="A27:B27"/>
    <mergeCell ref="A19:C19"/>
    <mergeCell ref="G19:H20"/>
    <mergeCell ref="I19:J19"/>
    <mergeCell ref="K19:L19"/>
    <mergeCell ref="A20:B20"/>
    <mergeCell ref="A21:B21"/>
    <mergeCell ref="A22:B22"/>
    <mergeCell ref="A23:B23"/>
    <mergeCell ref="A24:B24"/>
    <mergeCell ref="A25:B25"/>
    <mergeCell ref="A26:B26"/>
    <mergeCell ref="A18:E18"/>
    <mergeCell ref="G18:L18"/>
    <mergeCell ref="C8:G8"/>
    <mergeCell ref="H8:I8"/>
    <mergeCell ref="J8:L8"/>
    <mergeCell ref="C9:G9"/>
    <mergeCell ref="H9:I9"/>
    <mergeCell ref="C10:G10"/>
    <mergeCell ref="H10:I10"/>
    <mergeCell ref="J10:L10"/>
    <mergeCell ref="B11:K11"/>
    <mergeCell ref="F12:G12"/>
    <mergeCell ref="H12:I12"/>
    <mergeCell ref="C13:L13"/>
    <mergeCell ref="A16:L16"/>
    <mergeCell ref="B5:K5"/>
    <mergeCell ref="C6:G6"/>
    <mergeCell ref="H6:I6"/>
    <mergeCell ref="J6:L6"/>
    <mergeCell ref="C7:G7"/>
    <mergeCell ref="H7:I7"/>
    <mergeCell ref="J7:L7"/>
    <mergeCell ref="A1:B4"/>
    <mergeCell ref="C1:J1"/>
    <mergeCell ref="K1:L1"/>
    <mergeCell ref="C2:J4"/>
    <mergeCell ref="K2:L2"/>
    <mergeCell ref="K3:L3"/>
    <mergeCell ref="K4:L4"/>
  </mergeCells>
  <conditionalFormatting sqref="C6:G10">
    <cfRule type="containsBlanks" dxfId="59" priority="10">
      <formula>LEN(TRIM(C6))=0</formula>
    </cfRule>
  </conditionalFormatting>
  <conditionalFormatting sqref="C13:L13">
    <cfRule type="containsBlanks" dxfId="58" priority="9">
      <formula>LEN(TRIM(C13))=0</formula>
    </cfRule>
  </conditionalFormatting>
  <conditionalFormatting sqref="D20:D24">
    <cfRule type="containsBlanks" dxfId="57" priority="4">
      <formula>LEN(TRIM(D20))=0</formula>
    </cfRule>
  </conditionalFormatting>
  <conditionalFormatting sqref="D37:D38">
    <cfRule type="containsBlanks" dxfId="56" priority="3">
      <formula>LEN(TRIM(D37))=0</formula>
    </cfRule>
  </conditionalFormatting>
  <conditionalFormatting sqref="D30:E33">
    <cfRule type="containsBlanks" dxfId="55" priority="1">
      <formula>LEN(TRIM(D30))=0</formula>
    </cfRule>
  </conditionalFormatting>
  <conditionalFormatting sqref="E23">
    <cfRule type="containsBlanks" dxfId="54" priority="5">
      <formula>LEN(TRIM(E23))=0</formula>
    </cfRule>
  </conditionalFormatting>
  <conditionalFormatting sqref="F12:G12">
    <cfRule type="containsBlanks" dxfId="53" priority="8">
      <formula>LEN(TRIM(F12))=0</formula>
    </cfRule>
  </conditionalFormatting>
  <conditionalFormatting sqref="I22:I34">
    <cfRule type="containsBlanks" dxfId="52" priority="7">
      <formula>LEN(TRIM(I22))=0</formula>
    </cfRule>
  </conditionalFormatting>
  <conditionalFormatting sqref="I37">
    <cfRule type="containsBlanks" dxfId="51" priority="2">
      <formula>LEN(TRIM(I37))=0</formula>
    </cfRule>
  </conditionalFormatting>
  <conditionalFormatting sqref="K22:K34">
    <cfRule type="containsBlanks" dxfId="50" priority="6">
      <formula>LEN(TRIM(K22))=0</formula>
    </cfRule>
  </conditionalFormatting>
  <dataValidations count="2">
    <dataValidation type="list" allowBlank="1" showInputMessage="1" showErrorMessage="1" sqref="I37" xr:uid="{FB54D0DA-7734-4980-BF1B-307409C32097}">
      <formula1>"5 kN, 50 kN"</formula1>
    </dataValidation>
    <dataValidation type="list" allowBlank="1" showInputMessage="1" showErrorMessage="1" sqref="C12" xr:uid="{113CF355-F0EA-45DF-9B7B-129DB47B7D15}">
      <formula1>$T$6:$T$13</formula1>
    </dataValidation>
  </dataValidations>
  <printOptions horizontalCentered="1" verticalCentered="1"/>
  <pageMargins left="0.31496062992126" right="0.31496062992126" top="0.15748031496063" bottom="0.55118110236220497" header="0" footer="0.118110236220472"/>
  <pageSetup scale="42" fitToWidth="0" fitToHeight="0" orientation="landscape" r:id="rId1"/>
  <headerFooter>
    <oddFooter>&amp;C&amp;"Arial,Normal"&amp;10GEODELTA S.A.S. Calle 68 B bis No 70 C 95, Móvil: 318 7902368 Bogotá DC - Colombia
e-mail: laboratoriogeodelta@gmail.com</oddFooter>
  </headerFooter>
  <drawing r:id="rId2"/>
  <legacyDrawing r:id="rId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DF5F-BE63-4351-B8F2-6489179E1A23}">
  <sheetPr>
    <tabColor theme="8" tint="0.79998168889431442"/>
  </sheetPr>
  <dimension ref="A1:AB73"/>
  <sheetViews>
    <sheetView showGridLines="0" view="pageBreakPreview" topLeftCell="A14" zoomScale="96" zoomScaleNormal="50" zoomScaleSheetLayoutView="96" zoomScalePageLayoutView="50" workbookViewId="0">
      <selection activeCell="J15" sqref="J15"/>
    </sheetView>
  </sheetViews>
  <sheetFormatPr baseColWidth="10" defaultColWidth="11" defaultRowHeight="14.25"/>
  <cols>
    <col min="1" max="1" width="10.5703125" style="3" customWidth="1"/>
    <col min="2" max="2" width="35.42578125" style="3" customWidth="1"/>
    <col min="3" max="3" width="20.85546875" style="3" customWidth="1"/>
    <col min="4" max="5" width="26.7109375" style="3" customWidth="1"/>
    <col min="6" max="6" width="3.7109375" style="3" customWidth="1"/>
    <col min="7" max="7" width="29.140625" style="3" customWidth="1"/>
    <col min="8" max="8" width="27.140625" style="3" customWidth="1"/>
    <col min="9" max="10" width="24.28515625" style="3" customWidth="1"/>
    <col min="11" max="12" width="22.42578125" style="3" customWidth="1"/>
    <col min="13" max="13" width="1.85546875" style="3" customWidth="1"/>
    <col min="14" max="16" width="12.85546875" style="3" customWidth="1"/>
    <col min="17" max="17" width="6.5703125" style="3" customWidth="1"/>
    <col min="18" max="18" width="6.28515625" style="3" customWidth="1"/>
    <col min="19" max="184" width="11" style="3"/>
    <col min="185" max="185" width="0.7109375" style="3" customWidth="1"/>
    <col min="186" max="186" width="6.5703125" style="3" customWidth="1"/>
    <col min="187" max="187" width="13.5703125" style="3" customWidth="1"/>
    <col min="188" max="188" width="13.42578125" style="3" customWidth="1"/>
    <col min="189" max="190" width="12.5703125" style="3" customWidth="1"/>
    <col min="191" max="191" width="14.85546875" style="3" customWidth="1"/>
    <col min="192" max="192" width="20.7109375" style="3" customWidth="1"/>
    <col min="193" max="193" width="12.5703125" style="3" customWidth="1"/>
    <col min="194" max="194" width="13" style="3" customWidth="1"/>
    <col min="195" max="195" width="16" style="3" customWidth="1"/>
    <col min="196" max="196" width="6.42578125" style="3" customWidth="1"/>
    <col min="197" max="197" width="16" style="3" customWidth="1"/>
    <col min="198" max="198" width="2.85546875" style="3" customWidth="1"/>
    <col min="199" max="199" width="0.85546875" style="3" customWidth="1"/>
    <col min="200" max="200" width="11" style="3"/>
    <col min="201" max="201" width="15.42578125" style="3" customWidth="1"/>
    <col min="202" max="204" width="14.85546875" style="3" customWidth="1"/>
    <col min="205" max="205" width="0.7109375" style="3" customWidth="1"/>
    <col min="206" max="206" width="11" style="3"/>
    <col min="207" max="207" width="15.7109375" style="3" customWidth="1"/>
    <col min="208" max="209" width="14.85546875" style="3" customWidth="1"/>
    <col min="210" max="210" width="3.28515625" style="3" customWidth="1"/>
    <col min="211" max="211" width="20.140625" style="3" customWidth="1"/>
    <col min="212" max="212" width="3.28515625" style="3" customWidth="1"/>
    <col min="213" max="217" width="11" style="3"/>
    <col min="218" max="230" width="4.7109375" style="3" customWidth="1"/>
    <col min="231" max="440" width="11" style="3"/>
    <col min="441" max="441" width="0.7109375" style="3" customWidth="1"/>
    <col min="442" max="442" width="6.5703125" style="3" customWidth="1"/>
    <col min="443" max="443" width="13.5703125" style="3" customWidth="1"/>
    <col min="444" max="444" width="13.42578125" style="3" customWidth="1"/>
    <col min="445" max="446" width="12.5703125" style="3" customWidth="1"/>
    <col min="447" max="447" width="14.85546875" style="3" customWidth="1"/>
    <col min="448" max="448" width="20.7109375" style="3" customWidth="1"/>
    <col min="449" max="449" width="12.5703125" style="3" customWidth="1"/>
    <col min="450" max="450" width="13" style="3" customWidth="1"/>
    <col min="451" max="451" width="16" style="3" customWidth="1"/>
    <col min="452" max="452" width="6.42578125" style="3" customWidth="1"/>
    <col min="453" max="453" width="16" style="3" customWidth="1"/>
    <col min="454" max="454" width="2.85546875" style="3" customWidth="1"/>
    <col min="455" max="455" width="0.85546875" style="3" customWidth="1"/>
    <col min="456" max="456" width="11" style="3"/>
    <col min="457" max="457" width="15.42578125" style="3" customWidth="1"/>
    <col min="458" max="460" width="14.85546875" style="3" customWidth="1"/>
    <col min="461" max="461" width="0.7109375" style="3" customWidth="1"/>
    <col min="462" max="462" width="11" style="3"/>
    <col min="463" max="463" width="15.7109375" style="3" customWidth="1"/>
    <col min="464" max="465" width="14.85546875" style="3" customWidth="1"/>
    <col min="466" max="466" width="3.28515625" style="3" customWidth="1"/>
    <col min="467" max="467" width="20.140625" style="3" customWidth="1"/>
    <col min="468" max="468" width="3.28515625" style="3" customWidth="1"/>
    <col min="469" max="473" width="11" style="3"/>
    <col min="474" max="486" width="4.7109375" style="3" customWidth="1"/>
    <col min="487" max="696" width="11" style="3"/>
    <col min="697" max="697" width="0.7109375" style="3" customWidth="1"/>
    <col min="698" max="698" width="6.5703125" style="3" customWidth="1"/>
    <col min="699" max="699" width="13.5703125" style="3" customWidth="1"/>
    <col min="700" max="700" width="13.42578125" style="3" customWidth="1"/>
    <col min="701" max="702" width="12.5703125" style="3" customWidth="1"/>
    <col min="703" max="703" width="14.85546875" style="3" customWidth="1"/>
    <col min="704" max="704" width="20.7109375" style="3" customWidth="1"/>
    <col min="705" max="705" width="12.5703125" style="3" customWidth="1"/>
    <col min="706" max="706" width="13" style="3" customWidth="1"/>
    <col min="707" max="707" width="16" style="3" customWidth="1"/>
    <col min="708" max="708" width="6.42578125" style="3" customWidth="1"/>
    <col min="709" max="709" width="16" style="3" customWidth="1"/>
    <col min="710" max="710" width="2.85546875" style="3" customWidth="1"/>
    <col min="711" max="711" width="0.85546875" style="3" customWidth="1"/>
    <col min="712" max="712" width="11" style="3"/>
    <col min="713" max="713" width="15.42578125" style="3" customWidth="1"/>
    <col min="714" max="716" width="14.85546875" style="3" customWidth="1"/>
    <col min="717" max="717" width="0.7109375" style="3" customWidth="1"/>
    <col min="718" max="718" width="11" style="3"/>
    <col min="719" max="719" width="15.7109375" style="3" customWidth="1"/>
    <col min="720" max="721" width="14.85546875" style="3" customWidth="1"/>
    <col min="722" max="722" width="3.28515625" style="3" customWidth="1"/>
    <col min="723" max="723" width="20.140625" style="3" customWidth="1"/>
    <col min="724" max="724" width="3.28515625" style="3" customWidth="1"/>
    <col min="725" max="729" width="11" style="3"/>
    <col min="730" max="742" width="4.7109375" style="3" customWidth="1"/>
    <col min="743" max="952" width="11" style="3"/>
    <col min="953" max="953" width="0.7109375" style="3" customWidth="1"/>
    <col min="954" max="954" width="6.5703125" style="3" customWidth="1"/>
    <col min="955" max="955" width="13.5703125" style="3" customWidth="1"/>
    <col min="956" max="956" width="13.42578125" style="3" customWidth="1"/>
    <col min="957" max="958" width="12.5703125" style="3" customWidth="1"/>
    <col min="959" max="959" width="14.85546875" style="3" customWidth="1"/>
    <col min="960" max="960" width="20.7109375" style="3" customWidth="1"/>
    <col min="961" max="961" width="12.5703125" style="3" customWidth="1"/>
    <col min="962" max="962" width="13" style="3" customWidth="1"/>
    <col min="963" max="963" width="16" style="3" customWidth="1"/>
    <col min="964" max="964" width="6.42578125" style="3" customWidth="1"/>
    <col min="965" max="965" width="16" style="3" customWidth="1"/>
    <col min="966" max="966" width="2.85546875" style="3" customWidth="1"/>
    <col min="967" max="967" width="0.85546875" style="3" customWidth="1"/>
    <col min="968" max="968" width="11" style="3"/>
    <col min="969" max="969" width="15.42578125" style="3" customWidth="1"/>
    <col min="970" max="972" width="14.85546875" style="3" customWidth="1"/>
    <col min="973" max="973" width="0.7109375" style="3" customWidth="1"/>
    <col min="974" max="974" width="11" style="3"/>
    <col min="975" max="975" width="15.7109375" style="3" customWidth="1"/>
    <col min="976" max="977" width="14.85546875" style="3" customWidth="1"/>
    <col min="978" max="978" width="3.28515625" style="3" customWidth="1"/>
    <col min="979" max="979" width="20.140625" style="3" customWidth="1"/>
    <col min="980" max="980" width="3.28515625" style="3" customWidth="1"/>
    <col min="981" max="985" width="11" style="3"/>
    <col min="986" max="998" width="4.7109375" style="3" customWidth="1"/>
    <col min="999" max="1208" width="11" style="3"/>
    <col min="1209" max="1209" width="0.7109375" style="3" customWidth="1"/>
    <col min="1210" max="1210" width="6.5703125" style="3" customWidth="1"/>
    <col min="1211" max="1211" width="13.5703125" style="3" customWidth="1"/>
    <col min="1212" max="1212" width="13.42578125" style="3" customWidth="1"/>
    <col min="1213" max="1214" width="12.5703125" style="3" customWidth="1"/>
    <col min="1215" max="1215" width="14.85546875" style="3" customWidth="1"/>
    <col min="1216" max="1216" width="20.7109375" style="3" customWidth="1"/>
    <col min="1217" max="1217" width="12.5703125" style="3" customWidth="1"/>
    <col min="1218" max="1218" width="13" style="3" customWidth="1"/>
    <col min="1219" max="1219" width="16" style="3" customWidth="1"/>
    <col min="1220" max="1220" width="6.42578125" style="3" customWidth="1"/>
    <col min="1221" max="1221" width="16" style="3" customWidth="1"/>
    <col min="1222" max="1222" width="2.85546875" style="3" customWidth="1"/>
    <col min="1223" max="1223" width="0.85546875" style="3" customWidth="1"/>
    <col min="1224" max="1224" width="11" style="3"/>
    <col min="1225" max="1225" width="15.42578125" style="3" customWidth="1"/>
    <col min="1226" max="1228" width="14.85546875" style="3" customWidth="1"/>
    <col min="1229" max="1229" width="0.7109375" style="3" customWidth="1"/>
    <col min="1230" max="1230" width="11" style="3"/>
    <col min="1231" max="1231" width="15.7109375" style="3" customWidth="1"/>
    <col min="1232" max="1233" width="14.85546875" style="3" customWidth="1"/>
    <col min="1234" max="1234" width="3.28515625" style="3" customWidth="1"/>
    <col min="1235" max="1235" width="20.140625" style="3" customWidth="1"/>
    <col min="1236" max="1236" width="3.28515625" style="3" customWidth="1"/>
    <col min="1237" max="1241" width="11" style="3"/>
    <col min="1242" max="1254" width="4.7109375" style="3" customWidth="1"/>
    <col min="1255" max="1464" width="11" style="3"/>
    <col min="1465" max="1465" width="0.7109375" style="3" customWidth="1"/>
    <col min="1466" max="1466" width="6.5703125" style="3" customWidth="1"/>
    <col min="1467" max="1467" width="13.5703125" style="3" customWidth="1"/>
    <col min="1468" max="1468" width="13.42578125" style="3" customWidth="1"/>
    <col min="1469" max="1470" width="12.5703125" style="3" customWidth="1"/>
    <col min="1471" max="1471" width="14.85546875" style="3" customWidth="1"/>
    <col min="1472" max="1472" width="20.7109375" style="3" customWidth="1"/>
    <col min="1473" max="1473" width="12.5703125" style="3" customWidth="1"/>
    <col min="1474" max="1474" width="13" style="3" customWidth="1"/>
    <col min="1475" max="1475" width="16" style="3" customWidth="1"/>
    <col min="1476" max="1476" width="6.42578125" style="3" customWidth="1"/>
    <col min="1477" max="1477" width="16" style="3" customWidth="1"/>
    <col min="1478" max="1478" width="2.85546875" style="3" customWidth="1"/>
    <col min="1479" max="1479" width="0.85546875" style="3" customWidth="1"/>
    <col min="1480" max="1480" width="11" style="3"/>
    <col min="1481" max="1481" width="15.42578125" style="3" customWidth="1"/>
    <col min="1482" max="1484" width="14.85546875" style="3" customWidth="1"/>
    <col min="1485" max="1485" width="0.7109375" style="3" customWidth="1"/>
    <col min="1486" max="1486" width="11" style="3"/>
    <col min="1487" max="1487" width="15.7109375" style="3" customWidth="1"/>
    <col min="1488" max="1489" width="14.85546875" style="3" customWidth="1"/>
    <col min="1490" max="1490" width="3.28515625" style="3" customWidth="1"/>
    <col min="1491" max="1491" width="20.140625" style="3" customWidth="1"/>
    <col min="1492" max="1492" width="3.28515625" style="3" customWidth="1"/>
    <col min="1493" max="1497" width="11" style="3"/>
    <col min="1498" max="1510" width="4.7109375" style="3" customWidth="1"/>
    <col min="1511" max="1720" width="11" style="3"/>
    <col min="1721" max="1721" width="0.7109375" style="3" customWidth="1"/>
    <col min="1722" max="1722" width="6.5703125" style="3" customWidth="1"/>
    <col min="1723" max="1723" width="13.5703125" style="3" customWidth="1"/>
    <col min="1724" max="1724" width="13.42578125" style="3" customWidth="1"/>
    <col min="1725" max="1726" width="12.5703125" style="3" customWidth="1"/>
    <col min="1727" max="1727" width="14.85546875" style="3" customWidth="1"/>
    <col min="1728" max="1728" width="20.7109375" style="3" customWidth="1"/>
    <col min="1729" max="1729" width="12.5703125" style="3" customWidth="1"/>
    <col min="1730" max="1730" width="13" style="3" customWidth="1"/>
    <col min="1731" max="1731" width="16" style="3" customWidth="1"/>
    <col min="1732" max="1732" width="6.42578125" style="3" customWidth="1"/>
    <col min="1733" max="1733" width="16" style="3" customWidth="1"/>
    <col min="1734" max="1734" width="2.85546875" style="3" customWidth="1"/>
    <col min="1735" max="1735" width="0.85546875" style="3" customWidth="1"/>
    <col min="1736" max="1736" width="11" style="3"/>
    <col min="1737" max="1737" width="15.42578125" style="3" customWidth="1"/>
    <col min="1738" max="1740" width="14.85546875" style="3" customWidth="1"/>
    <col min="1741" max="1741" width="0.7109375" style="3" customWidth="1"/>
    <col min="1742" max="1742" width="11" style="3"/>
    <col min="1743" max="1743" width="15.7109375" style="3" customWidth="1"/>
    <col min="1744" max="1745" width="14.85546875" style="3" customWidth="1"/>
    <col min="1746" max="1746" width="3.28515625" style="3" customWidth="1"/>
    <col min="1747" max="1747" width="20.140625" style="3" customWidth="1"/>
    <col min="1748" max="1748" width="3.28515625" style="3" customWidth="1"/>
    <col min="1749" max="1753" width="11" style="3"/>
    <col min="1754" max="1766" width="4.7109375" style="3" customWidth="1"/>
    <col min="1767" max="1976" width="11" style="3"/>
    <col min="1977" max="1977" width="0.7109375" style="3" customWidth="1"/>
    <col min="1978" max="1978" width="6.5703125" style="3" customWidth="1"/>
    <col min="1979" max="1979" width="13.5703125" style="3" customWidth="1"/>
    <col min="1980" max="1980" width="13.42578125" style="3" customWidth="1"/>
    <col min="1981" max="1982" width="12.5703125" style="3" customWidth="1"/>
    <col min="1983" max="1983" width="14.85546875" style="3" customWidth="1"/>
    <col min="1984" max="1984" width="20.7109375" style="3" customWidth="1"/>
    <col min="1985" max="1985" width="12.5703125" style="3" customWidth="1"/>
    <col min="1986" max="1986" width="13" style="3" customWidth="1"/>
    <col min="1987" max="1987" width="16" style="3" customWidth="1"/>
    <col min="1988" max="1988" width="6.42578125" style="3" customWidth="1"/>
    <col min="1989" max="1989" width="16" style="3" customWidth="1"/>
    <col min="1990" max="1990" width="2.85546875" style="3" customWidth="1"/>
    <col min="1991" max="1991" width="0.85546875" style="3" customWidth="1"/>
    <col min="1992" max="1992" width="11" style="3"/>
    <col min="1993" max="1993" width="15.42578125" style="3" customWidth="1"/>
    <col min="1994" max="1996" width="14.85546875" style="3" customWidth="1"/>
    <col min="1997" max="1997" width="0.7109375" style="3" customWidth="1"/>
    <col min="1998" max="1998" width="11" style="3"/>
    <col min="1999" max="1999" width="15.7109375" style="3" customWidth="1"/>
    <col min="2000" max="2001" width="14.85546875" style="3" customWidth="1"/>
    <col min="2002" max="2002" width="3.28515625" style="3" customWidth="1"/>
    <col min="2003" max="2003" width="20.140625" style="3" customWidth="1"/>
    <col min="2004" max="2004" width="3.28515625" style="3" customWidth="1"/>
    <col min="2005" max="2009" width="11" style="3"/>
    <col min="2010" max="2022" width="4.7109375" style="3" customWidth="1"/>
    <col min="2023" max="2232" width="11" style="3"/>
    <col min="2233" max="2233" width="0.7109375" style="3" customWidth="1"/>
    <col min="2234" max="2234" width="6.5703125" style="3" customWidth="1"/>
    <col min="2235" max="2235" width="13.5703125" style="3" customWidth="1"/>
    <col min="2236" max="2236" width="13.42578125" style="3" customWidth="1"/>
    <col min="2237" max="2238" width="12.5703125" style="3" customWidth="1"/>
    <col min="2239" max="2239" width="14.85546875" style="3" customWidth="1"/>
    <col min="2240" max="2240" width="20.7109375" style="3" customWidth="1"/>
    <col min="2241" max="2241" width="12.5703125" style="3" customWidth="1"/>
    <col min="2242" max="2242" width="13" style="3" customWidth="1"/>
    <col min="2243" max="2243" width="16" style="3" customWidth="1"/>
    <col min="2244" max="2244" width="6.42578125" style="3" customWidth="1"/>
    <col min="2245" max="2245" width="16" style="3" customWidth="1"/>
    <col min="2246" max="2246" width="2.85546875" style="3" customWidth="1"/>
    <col min="2247" max="2247" width="0.85546875" style="3" customWidth="1"/>
    <col min="2248" max="2248" width="11" style="3"/>
    <col min="2249" max="2249" width="15.42578125" style="3" customWidth="1"/>
    <col min="2250" max="2252" width="14.85546875" style="3" customWidth="1"/>
    <col min="2253" max="2253" width="0.7109375" style="3" customWidth="1"/>
    <col min="2254" max="2254" width="11" style="3"/>
    <col min="2255" max="2255" width="15.7109375" style="3" customWidth="1"/>
    <col min="2256" max="2257" width="14.85546875" style="3" customWidth="1"/>
    <col min="2258" max="2258" width="3.28515625" style="3" customWidth="1"/>
    <col min="2259" max="2259" width="20.140625" style="3" customWidth="1"/>
    <col min="2260" max="2260" width="3.28515625" style="3" customWidth="1"/>
    <col min="2261" max="2265" width="11" style="3"/>
    <col min="2266" max="2278" width="4.7109375" style="3" customWidth="1"/>
    <col min="2279" max="2488" width="11" style="3"/>
    <col min="2489" max="2489" width="0.7109375" style="3" customWidth="1"/>
    <col min="2490" max="2490" width="6.5703125" style="3" customWidth="1"/>
    <col min="2491" max="2491" width="13.5703125" style="3" customWidth="1"/>
    <col min="2492" max="2492" width="13.42578125" style="3" customWidth="1"/>
    <col min="2493" max="2494" width="12.5703125" style="3" customWidth="1"/>
    <col min="2495" max="2495" width="14.85546875" style="3" customWidth="1"/>
    <col min="2496" max="2496" width="20.7109375" style="3" customWidth="1"/>
    <col min="2497" max="2497" width="12.5703125" style="3" customWidth="1"/>
    <col min="2498" max="2498" width="13" style="3" customWidth="1"/>
    <col min="2499" max="2499" width="16" style="3" customWidth="1"/>
    <col min="2500" max="2500" width="6.42578125" style="3" customWidth="1"/>
    <col min="2501" max="2501" width="16" style="3" customWidth="1"/>
    <col min="2502" max="2502" width="2.85546875" style="3" customWidth="1"/>
    <col min="2503" max="2503" width="0.85546875" style="3" customWidth="1"/>
    <col min="2504" max="2504" width="11" style="3"/>
    <col min="2505" max="2505" width="15.42578125" style="3" customWidth="1"/>
    <col min="2506" max="2508" width="14.85546875" style="3" customWidth="1"/>
    <col min="2509" max="2509" width="0.7109375" style="3" customWidth="1"/>
    <col min="2510" max="2510" width="11" style="3"/>
    <col min="2511" max="2511" width="15.7109375" style="3" customWidth="1"/>
    <col min="2512" max="2513" width="14.85546875" style="3" customWidth="1"/>
    <col min="2514" max="2514" width="3.28515625" style="3" customWidth="1"/>
    <col min="2515" max="2515" width="20.140625" style="3" customWidth="1"/>
    <col min="2516" max="2516" width="3.28515625" style="3" customWidth="1"/>
    <col min="2517" max="2521" width="11" style="3"/>
    <col min="2522" max="2534" width="4.7109375" style="3" customWidth="1"/>
    <col min="2535" max="2744" width="11" style="3"/>
    <col min="2745" max="2745" width="0.7109375" style="3" customWidth="1"/>
    <col min="2746" max="2746" width="6.5703125" style="3" customWidth="1"/>
    <col min="2747" max="2747" width="13.5703125" style="3" customWidth="1"/>
    <col min="2748" max="2748" width="13.42578125" style="3" customWidth="1"/>
    <col min="2749" max="2750" width="12.5703125" style="3" customWidth="1"/>
    <col min="2751" max="2751" width="14.85546875" style="3" customWidth="1"/>
    <col min="2752" max="2752" width="20.7109375" style="3" customWidth="1"/>
    <col min="2753" max="2753" width="12.5703125" style="3" customWidth="1"/>
    <col min="2754" max="2754" width="13" style="3" customWidth="1"/>
    <col min="2755" max="2755" width="16" style="3" customWidth="1"/>
    <col min="2756" max="2756" width="6.42578125" style="3" customWidth="1"/>
    <col min="2757" max="2757" width="16" style="3" customWidth="1"/>
    <col min="2758" max="2758" width="2.85546875" style="3" customWidth="1"/>
    <col min="2759" max="2759" width="0.85546875" style="3" customWidth="1"/>
    <col min="2760" max="2760" width="11" style="3"/>
    <col min="2761" max="2761" width="15.42578125" style="3" customWidth="1"/>
    <col min="2762" max="2764" width="14.85546875" style="3" customWidth="1"/>
    <col min="2765" max="2765" width="0.7109375" style="3" customWidth="1"/>
    <col min="2766" max="2766" width="11" style="3"/>
    <col min="2767" max="2767" width="15.7109375" style="3" customWidth="1"/>
    <col min="2768" max="2769" width="14.85546875" style="3" customWidth="1"/>
    <col min="2770" max="2770" width="3.28515625" style="3" customWidth="1"/>
    <col min="2771" max="2771" width="20.140625" style="3" customWidth="1"/>
    <col min="2772" max="2772" width="3.28515625" style="3" customWidth="1"/>
    <col min="2773" max="2777" width="11" style="3"/>
    <col min="2778" max="2790" width="4.7109375" style="3" customWidth="1"/>
    <col min="2791" max="3000" width="11" style="3"/>
    <col min="3001" max="3001" width="0.7109375" style="3" customWidth="1"/>
    <col min="3002" max="3002" width="6.5703125" style="3" customWidth="1"/>
    <col min="3003" max="3003" width="13.5703125" style="3" customWidth="1"/>
    <col min="3004" max="3004" width="13.42578125" style="3" customWidth="1"/>
    <col min="3005" max="3006" width="12.5703125" style="3" customWidth="1"/>
    <col min="3007" max="3007" width="14.85546875" style="3" customWidth="1"/>
    <col min="3008" max="3008" width="20.7109375" style="3" customWidth="1"/>
    <col min="3009" max="3009" width="12.5703125" style="3" customWidth="1"/>
    <col min="3010" max="3010" width="13" style="3" customWidth="1"/>
    <col min="3011" max="3011" width="16" style="3" customWidth="1"/>
    <col min="3012" max="3012" width="6.42578125" style="3" customWidth="1"/>
    <col min="3013" max="3013" width="16" style="3" customWidth="1"/>
    <col min="3014" max="3014" width="2.85546875" style="3" customWidth="1"/>
    <col min="3015" max="3015" width="0.85546875" style="3" customWidth="1"/>
    <col min="3016" max="3016" width="11" style="3"/>
    <col min="3017" max="3017" width="15.42578125" style="3" customWidth="1"/>
    <col min="3018" max="3020" width="14.85546875" style="3" customWidth="1"/>
    <col min="3021" max="3021" width="0.7109375" style="3" customWidth="1"/>
    <col min="3022" max="3022" width="11" style="3"/>
    <col min="3023" max="3023" width="15.7109375" style="3" customWidth="1"/>
    <col min="3024" max="3025" width="14.85546875" style="3" customWidth="1"/>
    <col min="3026" max="3026" width="3.28515625" style="3" customWidth="1"/>
    <col min="3027" max="3027" width="20.140625" style="3" customWidth="1"/>
    <col min="3028" max="3028" width="3.28515625" style="3" customWidth="1"/>
    <col min="3029" max="3033" width="11" style="3"/>
    <col min="3034" max="3046" width="4.7109375" style="3" customWidth="1"/>
    <col min="3047" max="3256" width="11" style="3"/>
    <col min="3257" max="3257" width="0.7109375" style="3" customWidth="1"/>
    <col min="3258" max="3258" width="6.5703125" style="3" customWidth="1"/>
    <col min="3259" max="3259" width="13.5703125" style="3" customWidth="1"/>
    <col min="3260" max="3260" width="13.42578125" style="3" customWidth="1"/>
    <col min="3261" max="3262" width="12.5703125" style="3" customWidth="1"/>
    <col min="3263" max="3263" width="14.85546875" style="3" customWidth="1"/>
    <col min="3264" max="3264" width="20.7109375" style="3" customWidth="1"/>
    <col min="3265" max="3265" width="12.5703125" style="3" customWidth="1"/>
    <col min="3266" max="3266" width="13" style="3" customWidth="1"/>
    <col min="3267" max="3267" width="16" style="3" customWidth="1"/>
    <col min="3268" max="3268" width="6.42578125" style="3" customWidth="1"/>
    <col min="3269" max="3269" width="16" style="3" customWidth="1"/>
    <col min="3270" max="3270" width="2.85546875" style="3" customWidth="1"/>
    <col min="3271" max="3271" width="0.85546875" style="3" customWidth="1"/>
    <col min="3272" max="3272" width="11" style="3"/>
    <col min="3273" max="3273" width="15.42578125" style="3" customWidth="1"/>
    <col min="3274" max="3276" width="14.85546875" style="3" customWidth="1"/>
    <col min="3277" max="3277" width="0.7109375" style="3" customWidth="1"/>
    <col min="3278" max="3278" width="11" style="3"/>
    <col min="3279" max="3279" width="15.7109375" style="3" customWidth="1"/>
    <col min="3280" max="3281" width="14.85546875" style="3" customWidth="1"/>
    <col min="3282" max="3282" width="3.28515625" style="3" customWidth="1"/>
    <col min="3283" max="3283" width="20.140625" style="3" customWidth="1"/>
    <col min="3284" max="3284" width="3.28515625" style="3" customWidth="1"/>
    <col min="3285" max="3289" width="11" style="3"/>
    <col min="3290" max="3302" width="4.7109375" style="3" customWidth="1"/>
    <col min="3303" max="3512" width="11" style="3"/>
    <col min="3513" max="3513" width="0.7109375" style="3" customWidth="1"/>
    <col min="3514" max="3514" width="6.5703125" style="3" customWidth="1"/>
    <col min="3515" max="3515" width="13.5703125" style="3" customWidth="1"/>
    <col min="3516" max="3516" width="13.42578125" style="3" customWidth="1"/>
    <col min="3517" max="3518" width="12.5703125" style="3" customWidth="1"/>
    <col min="3519" max="3519" width="14.85546875" style="3" customWidth="1"/>
    <col min="3520" max="3520" width="20.7109375" style="3" customWidth="1"/>
    <col min="3521" max="3521" width="12.5703125" style="3" customWidth="1"/>
    <col min="3522" max="3522" width="13" style="3" customWidth="1"/>
    <col min="3523" max="3523" width="16" style="3" customWidth="1"/>
    <col min="3524" max="3524" width="6.42578125" style="3" customWidth="1"/>
    <col min="3525" max="3525" width="16" style="3" customWidth="1"/>
    <col min="3526" max="3526" width="2.85546875" style="3" customWidth="1"/>
    <col min="3527" max="3527" width="0.85546875" style="3" customWidth="1"/>
    <col min="3528" max="3528" width="11" style="3"/>
    <col min="3529" max="3529" width="15.42578125" style="3" customWidth="1"/>
    <col min="3530" max="3532" width="14.85546875" style="3" customWidth="1"/>
    <col min="3533" max="3533" width="0.7109375" style="3" customWidth="1"/>
    <col min="3534" max="3534" width="11" style="3"/>
    <col min="3535" max="3535" width="15.7109375" style="3" customWidth="1"/>
    <col min="3536" max="3537" width="14.85546875" style="3" customWidth="1"/>
    <col min="3538" max="3538" width="3.28515625" style="3" customWidth="1"/>
    <col min="3539" max="3539" width="20.140625" style="3" customWidth="1"/>
    <col min="3540" max="3540" width="3.28515625" style="3" customWidth="1"/>
    <col min="3541" max="3545" width="11" style="3"/>
    <col min="3546" max="3558" width="4.7109375" style="3" customWidth="1"/>
    <col min="3559" max="3768" width="11" style="3"/>
    <col min="3769" max="3769" width="0.7109375" style="3" customWidth="1"/>
    <col min="3770" max="3770" width="6.5703125" style="3" customWidth="1"/>
    <col min="3771" max="3771" width="13.5703125" style="3" customWidth="1"/>
    <col min="3772" max="3772" width="13.42578125" style="3" customWidth="1"/>
    <col min="3773" max="3774" width="12.5703125" style="3" customWidth="1"/>
    <col min="3775" max="3775" width="14.85546875" style="3" customWidth="1"/>
    <col min="3776" max="3776" width="20.7109375" style="3" customWidth="1"/>
    <col min="3777" max="3777" width="12.5703125" style="3" customWidth="1"/>
    <col min="3778" max="3778" width="13" style="3" customWidth="1"/>
    <col min="3779" max="3779" width="16" style="3" customWidth="1"/>
    <col min="3780" max="3780" width="6.42578125" style="3" customWidth="1"/>
    <col min="3781" max="3781" width="16" style="3" customWidth="1"/>
    <col min="3782" max="3782" width="2.85546875" style="3" customWidth="1"/>
    <col min="3783" max="3783" width="0.85546875" style="3" customWidth="1"/>
    <col min="3784" max="3784" width="11" style="3"/>
    <col min="3785" max="3785" width="15.42578125" style="3" customWidth="1"/>
    <col min="3786" max="3788" width="14.85546875" style="3" customWidth="1"/>
    <col min="3789" max="3789" width="0.7109375" style="3" customWidth="1"/>
    <col min="3790" max="3790" width="11" style="3"/>
    <col min="3791" max="3791" width="15.7109375" style="3" customWidth="1"/>
    <col min="3792" max="3793" width="14.85546875" style="3" customWidth="1"/>
    <col min="3794" max="3794" width="3.28515625" style="3" customWidth="1"/>
    <col min="3795" max="3795" width="20.140625" style="3" customWidth="1"/>
    <col min="3796" max="3796" width="3.28515625" style="3" customWidth="1"/>
    <col min="3797" max="3801" width="11" style="3"/>
    <col min="3802" max="3814" width="4.7109375" style="3" customWidth="1"/>
    <col min="3815" max="4024" width="11" style="3"/>
    <col min="4025" max="4025" width="0.7109375" style="3" customWidth="1"/>
    <col min="4026" max="4026" width="6.5703125" style="3" customWidth="1"/>
    <col min="4027" max="4027" width="13.5703125" style="3" customWidth="1"/>
    <col min="4028" max="4028" width="13.42578125" style="3" customWidth="1"/>
    <col min="4029" max="4030" width="12.5703125" style="3" customWidth="1"/>
    <col min="4031" max="4031" width="14.85546875" style="3" customWidth="1"/>
    <col min="4032" max="4032" width="20.7109375" style="3" customWidth="1"/>
    <col min="4033" max="4033" width="12.5703125" style="3" customWidth="1"/>
    <col min="4034" max="4034" width="13" style="3" customWidth="1"/>
    <col min="4035" max="4035" width="16" style="3" customWidth="1"/>
    <col min="4036" max="4036" width="6.42578125" style="3" customWidth="1"/>
    <col min="4037" max="4037" width="16" style="3" customWidth="1"/>
    <col min="4038" max="4038" width="2.85546875" style="3" customWidth="1"/>
    <col min="4039" max="4039" width="0.85546875" style="3" customWidth="1"/>
    <col min="4040" max="4040" width="11" style="3"/>
    <col min="4041" max="4041" width="15.42578125" style="3" customWidth="1"/>
    <col min="4042" max="4044" width="14.85546875" style="3" customWidth="1"/>
    <col min="4045" max="4045" width="0.7109375" style="3" customWidth="1"/>
    <col min="4046" max="4046" width="11" style="3"/>
    <col min="4047" max="4047" width="15.7109375" style="3" customWidth="1"/>
    <col min="4048" max="4049" width="14.85546875" style="3" customWidth="1"/>
    <col min="4050" max="4050" width="3.28515625" style="3" customWidth="1"/>
    <col min="4051" max="4051" width="20.140625" style="3" customWidth="1"/>
    <col min="4052" max="4052" width="3.28515625" style="3" customWidth="1"/>
    <col min="4053" max="4057" width="11" style="3"/>
    <col min="4058" max="4070" width="4.7109375" style="3" customWidth="1"/>
    <col min="4071" max="4280" width="11" style="3"/>
    <col min="4281" max="4281" width="0.7109375" style="3" customWidth="1"/>
    <col min="4282" max="4282" width="6.5703125" style="3" customWidth="1"/>
    <col min="4283" max="4283" width="13.5703125" style="3" customWidth="1"/>
    <col min="4284" max="4284" width="13.42578125" style="3" customWidth="1"/>
    <col min="4285" max="4286" width="12.5703125" style="3" customWidth="1"/>
    <col min="4287" max="4287" width="14.85546875" style="3" customWidth="1"/>
    <col min="4288" max="4288" width="20.7109375" style="3" customWidth="1"/>
    <col min="4289" max="4289" width="12.5703125" style="3" customWidth="1"/>
    <col min="4290" max="4290" width="13" style="3" customWidth="1"/>
    <col min="4291" max="4291" width="16" style="3" customWidth="1"/>
    <col min="4292" max="4292" width="6.42578125" style="3" customWidth="1"/>
    <col min="4293" max="4293" width="16" style="3" customWidth="1"/>
    <col min="4294" max="4294" width="2.85546875" style="3" customWidth="1"/>
    <col min="4295" max="4295" width="0.85546875" style="3" customWidth="1"/>
    <col min="4296" max="4296" width="11" style="3"/>
    <col min="4297" max="4297" width="15.42578125" style="3" customWidth="1"/>
    <col min="4298" max="4300" width="14.85546875" style="3" customWidth="1"/>
    <col min="4301" max="4301" width="0.7109375" style="3" customWidth="1"/>
    <col min="4302" max="4302" width="11" style="3"/>
    <col min="4303" max="4303" width="15.7109375" style="3" customWidth="1"/>
    <col min="4304" max="4305" width="14.85546875" style="3" customWidth="1"/>
    <col min="4306" max="4306" width="3.28515625" style="3" customWidth="1"/>
    <col min="4307" max="4307" width="20.140625" style="3" customWidth="1"/>
    <col min="4308" max="4308" width="3.28515625" style="3" customWidth="1"/>
    <col min="4309" max="4313" width="11" style="3"/>
    <col min="4314" max="4326" width="4.7109375" style="3" customWidth="1"/>
    <col min="4327" max="4536" width="11" style="3"/>
    <col min="4537" max="4537" width="0.7109375" style="3" customWidth="1"/>
    <col min="4538" max="4538" width="6.5703125" style="3" customWidth="1"/>
    <col min="4539" max="4539" width="13.5703125" style="3" customWidth="1"/>
    <col min="4540" max="4540" width="13.42578125" style="3" customWidth="1"/>
    <col min="4541" max="4542" width="12.5703125" style="3" customWidth="1"/>
    <col min="4543" max="4543" width="14.85546875" style="3" customWidth="1"/>
    <col min="4544" max="4544" width="20.7109375" style="3" customWidth="1"/>
    <col min="4545" max="4545" width="12.5703125" style="3" customWidth="1"/>
    <col min="4546" max="4546" width="13" style="3" customWidth="1"/>
    <col min="4547" max="4547" width="16" style="3" customWidth="1"/>
    <col min="4548" max="4548" width="6.42578125" style="3" customWidth="1"/>
    <col min="4549" max="4549" width="16" style="3" customWidth="1"/>
    <col min="4550" max="4550" width="2.85546875" style="3" customWidth="1"/>
    <col min="4551" max="4551" width="0.85546875" style="3" customWidth="1"/>
    <col min="4552" max="4552" width="11" style="3"/>
    <col min="4553" max="4553" width="15.42578125" style="3" customWidth="1"/>
    <col min="4554" max="4556" width="14.85546875" style="3" customWidth="1"/>
    <col min="4557" max="4557" width="0.7109375" style="3" customWidth="1"/>
    <col min="4558" max="4558" width="11" style="3"/>
    <col min="4559" max="4559" width="15.7109375" style="3" customWidth="1"/>
    <col min="4560" max="4561" width="14.85546875" style="3" customWidth="1"/>
    <col min="4562" max="4562" width="3.28515625" style="3" customWidth="1"/>
    <col min="4563" max="4563" width="20.140625" style="3" customWidth="1"/>
    <col min="4564" max="4564" width="3.28515625" style="3" customWidth="1"/>
    <col min="4565" max="4569" width="11" style="3"/>
    <col min="4570" max="4582" width="4.7109375" style="3" customWidth="1"/>
    <col min="4583" max="4792" width="11" style="3"/>
    <col min="4793" max="4793" width="0.7109375" style="3" customWidth="1"/>
    <col min="4794" max="4794" width="6.5703125" style="3" customWidth="1"/>
    <col min="4795" max="4795" width="13.5703125" style="3" customWidth="1"/>
    <col min="4796" max="4796" width="13.42578125" style="3" customWidth="1"/>
    <col min="4797" max="4798" width="12.5703125" style="3" customWidth="1"/>
    <col min="4799" max="4799" width="14.85546875" style="3" customWidth="1"/>
    <col min="4800" max="4800" width="20.7109375" style="3" customWidth="1"/>
    <col min="4801" max="4801" width="12.5703125" style="3" customWidth="1"/>
    <col min="4802" max="4802" width="13" style="3" customWidth="1"/>
    <col min="4803" max="4803" width="16" style="3" customWidth="1"/>
    <col min="4804" max="4804" width="6.42578125" style="3" customWidth="1"/>
    <col min="4805" max="4805" width="16" style="3" customWidth="1"/>
    <col min="4806" max="4806" width="2.85546875" style="3" customWidth="1"/>
    <col min="4807" max="4807" width="0.85546875" style="3" customWidth="1"/>
    <col min="4808" max="4808" width="11" style="3"/>
    <col min="4809" max="4809" width="15.42578125" style="3" customWidth="1"/>
    <col min="4810" max="4812" width="14.85546875" style="3" customWidth="1"/>
    <col min="4813" max="4813" width="0.7109375" style="3" customWidth="1"/>
    <col min="4814" max="4814" width="11" style="3"/>
    <col min="4815" max="4815" width="15.7109375" style="3" customWidth="1"/>
    <col min="4816" max="4817" width="14.85546875" style="3" customWidth="1"/>
    <col min="4818" max="4818" width="3.28515625" style="3" customWidth="1"/>
    <col min="4819" max="4819" width="20.140625" style="3" customWidth="1"/>
    <col min="4820" max="4820" width="3.28515625" style="3" customWidth="1"/>
    <col min="4821" max="4825" width="11" style="3"/>
    <col min="4826" max="4838" width="4.7109375" style="3" customWidth="1"/>
    <col min="4839" max="5048" width="11" style="3"/>
    <col min="5049" max="5049" width="0.7109375" style="3" customWidth="1"/>
    <col min="5050" max="5050" width="6.5703125" style="3" customWidth="1"/>
    <col min="5051" max="5051" width="13.5703125" style="3" customWidth="1"/>
    <col min="5052" max="5052" width="13.42578125" style="3" customWidth="1"/>
    <col min="5053" max="5054" width="12.5703125" style="3" customWidth="1"/>
    <col min="5055" max="5055" width="14.85546875" style="3" customWidth="1"/>
    <col min="5056" max="5056" width="20.7109375" style="3" customWidth="1"/>
    <col min="5057" max="5057" width="12.5703125" style="3" customWidth="1"/>
    <col min="5058" max="5058" width="13" style="3" customWidth="1"/>
    <col min="5059" max="5059" width="16" style="3" customWidth="1"/>
    <col min="5060" max="5060" width="6.42578125" style="3" customWidth="1"/>
    <col min="5061" max="5061" width="16" style="3" customWidth="1"/>
    <col min="5062" max="5062" width="2.85546875" style="3" customWidth="1"/>
    <col min="5063" max="5063" width="0.85546875" style="3" customWidth="1"/>
    <col min="5064" max="5064" width="11" style="3"/>
    <col min="5065" max="5065" width="15.42578125" style="3" customWidth="1"/>
    <col min="5066" max="5068" width="14.85546875" style="3" customWidth="1"/>
    <col min="5069" max="5069" width="0.7109375" style="3" customWidth="1"/>
    <col min="5070" max="5070" width="11" style="3"/>
    <col min="5071" max="5071" width="15.7109375" style="3" customWidth="1"/>
    <col min="5072" max="5073" width="14.85546875" style="3" customWidth="1"/>
    <col min="5074" max="5074" width="3.28515625" style="3" customWidth="1"/>
    <col min="5075" max="5075" width="20.140625" style="3" customWidth="1"/>
    <col min="5076" max="5076" width="3.28515625" style="3" customWidth="1"/>
    <col min="5077" max="5081" width="11" style="3"/>
    <col min="5082" max="5094" width="4.7109375" style="3" customWidth="1"/>
    <col min="5095" max="5304" width="11" style="3"/>
    <col min="5305" max="5305" width="0.7109375" style="3" customWidth="1"/>
    <col min="5306" max="5306" width="6.5703125" style="3" customWidth="1"/>
    <col min="5307" max="5307" width="13.5703125" style="3" customWidth="1"/>
    <col min="5308" max="5308" width="13.42578125" style="3" customWidth="1"/>
    <col min="5309" max="5310" width="12.5703125" style="3" customWidth="1"/>
    <col min="5311" max="5311" width="14.85546875" style="3" customWidth="1"/>
    <col min="5312" max="5312" width="20.7109375" style="3" customWidth="1"/>
    <col min="5313" max="5313" width="12.5703125" style="3" customWidth="1"/>
    <col min="5314" max="5314" width="13" style="3" customWidth="1"/>
    <col min="5315" max="5315" width="16" style="3" customWidth="1"/>
    <col min="5316" max="5316" width="6.42578125" style="3" customWidth="1"/>
    <col min="5317" max="5317" width="16" style="3" customWidth="1"/>
    <col min="5318" max="5318" width="2.85546875" style="3" customWidth="1"/>
    <col min="5319" max="5319" width="0.85546875" style="3" customWidth="1"/>
    <col min="5320" max="5320" width="11" style="3"/>
    <col min="5321" max="5321" width="15.42578125" style="3" customWidth="1"/>
    <col min="5322" max="5324" width="14.85546875" style="3" customWidth="1"/>
    <col min="5325" max="5325" width="0.7109375" style="3" customWidth="1"/>
    <col min="5326" max="5326" width="11" style="3"/>
    <col min="5327" max="5327" width="15.7109375" style="3" customWidth="1"/>
    <col min="5328" max="5329" width="14.85546875" style="3" customWidth="1"/>
    <col min="5330" max="5330" width="3.28515625" style="3" customWidth="1"/>
    <col min="5331" max="5331" width="20.140625" style="3" customWidth="1"/>
    <col min="5332" max="5332" width="3.28515625" style="3" customWidth="1"/>
    <col min="5333" max="5337" width="11" style="3"/>
    <col min="5338" max="5350" width="4.7109375" style="3" customWidth="1"/>
    <col min="5351" max="5560" width="11" style="3"/>
    <col min="5561" max="5561" width="0.7109375" style="3" customWidth="1"/>
    <col min="5562" max="5562" width="6.5703125" style="3" customWidth="1"/>
    <col min="5563" max="5563" width="13.5703125" style="3" customWidth="1"/>
    <col min="5564" max="5564" width="13.42578125" style="3" customWidth="1"/>
    <col min="5565" max="5566" width="12.5703125" style="3" customWidth="1"/>
    <col min="5567" max="5567" width="14.85546875" style="3" customWidth="1"/>
    <col min="5568" max="5568" width="20.7109375" style="3" customWidth="1"/>
    <col min="5569" max="5569" width="12.5703125" style="3" customWidth="1"/>
    <col min="5570" max="5570" width="13" style="3" customWidth="1"/>
    <col min="5571" max="5571" width="16" style="3" customWidth="1"/>
    <col min="5572" max="5572" width="6.42578125" style="3" customWidth="1"/>
    <col min="5573" max="5573" width="16" style="3" customWidth="1"/>
    <col min="5574" max="5574" width="2.85546875" style="3" customWidth="1"/>
    <col min="5575" max="5575" width="0.85546875" style="3" customWidth="1"/>
    <col min="5576" max="5576" width="11" style="3"/>
    <col min="5577" max="5577" width="15.42578125" style="3" customWidth="1"/>
    <col min="5578" max="5580" width="14.85546875" style="3" customWidth="1"/>
    <col min="5581" max="5581" width="0.7109375" style="3" customWidth="1"/>
    <col min="5582" max="5582" width="11" style="3"/>
    <col min="5583" max="5583" width="15.7109375" style="3" customWidth="1"/>
    <col min="5584" max="5585" width="14.85546875" style="3" customWidth="1"/>
    <col min="5586" max="5586" width="3.28515625" style="3" customWidth="1"/>
    <col min="5587" max="5587" width="20.140625" style="3" customWidth="1"/>
    <col min="5588" max="5588" width="3.28515625" style="3" customWidth="1"/>
    <col min="5589" max="5593" width="11" style="3"/>
    <col min="5594" max="5606" width="4.7109375" style="3" customWidth="1"/>
    <col min="5607" max="5816" width="11" style="3"/>
    <col min="5817" max="5817" width="0.7109375" style="3" customWidth="1"/>
    <col min="5818" max="5818" width="6.5703125" style="3" customWidth="1"/>
    <col min="5819" max="5819" width="13.5703125" style="3" customWidth="1"/>
    <col min="5820" max="5820" width="13.42578125" style="3" customWidth="1"/>
    <col min="5821" max="5822" width="12.5703125" style="3" customWidth="1"/>
    <col min="5823" max="5823" width="14.85546875" style="3" customWidth="1"/>
    <col min="5824" max="5824" width="20.7109375" style="3" customWidth="1"/>
    <col min="5825" max="5825" width="12.5703125" style="3" customWidth="1"/>
    <col min="5826" max="5826" width="13" style="3" customWidth="1"/>
    <col min="5827" max="5827" width="16" style="3" customWidth="1"/>
    <col min="5828" max="5828" width="6.42578125" style="3" customWidth="1"/>
    <col min="5829" max="5829" width="16" style="3" customWidth="1"/>
    <col min="5830" max="5830" width="2.85546875" style="3" customWidth="1"/>
    <col min="5831" max="5831" width="0.85546875" style="3" customWidth="1"/>
    <col min="5832" max="5832" width="11" style="3"/>
    <col min="5833" max="5833" width="15.42578125" style="3" customWidth="1"/>
    <col min="5834" max="5836" width="14.85546875" style="3" customWidth="1"/>
    <col min="5837" max="5837" width="0.7109375" style="3" customWidth="1"/>
    <col min="5838" max="5838" width="11" style="3"/>
    <col min="5839" max="5839" width="15.7109375" style="3" customWidth="1"/>
    <col min="5840" max="5841" width="14.85546875" style="3" customWidth="1"/>
    <col min="5842" max="5842" width="3.28515625" style="3" customWidth="1"/>
    <col min="5843" max="5843" width="20.140625" style="3" customWidth="1"/>
    <col min="5844" max="5844" width="3.28515625" style="3" customWidth="1"/>
    <col min="5845" max="5849" width="11" style="3"/>
    <col min="5850" max="5862" width="4.7109375" style="3" customWidth="1"/>
    <col min="5863" max="6072" width="11" style="3"/>
    <col min="6073" max="6073" width="0.7109375" style="3" customWidth="1"/>
    <col min="6074" max="6074" width="6.5703125" style="3" customWidth="1"/>
    <col min="6075" max="6075" width="13.5703125" style="3" customWidth="1"/>
    <col min="6076" max="6076" width="13.42578125" style="3" customWidth="1"/>
    <col min="6077" max="6078" width="12.5703125" style="3" customWidth="1"/>
    <col min="6079" max="6079" width="14.85546875" style="3" customWidth="1"/>
    <col min="6080" max="6080" width="20.7109375" style="3" customWidth="1"/>
    <col min="6081" max="6081" width="12.5703125" style="3" customWidth="1"/>
    <col min="6082" max="6082" width="13" style="3" customWidth="1"/>
    <col min="6083" max="6083" width="16" style="3" customWidth="1"/>
    <col min="6084" max="6084" width="6.42578125" style="3" customWidth="1"/>
    <col min="6085" max="6085" width="16" style="3" customWidth="1"/>
    <col min="6086" max="6086" width="2.85546875" style="3" customWidth="1"/>
    <col min="6087" max="6087" width="0.85546875" style="3" customWidth="1"/>
    <col min="6088" max="6088" width="11" style="3"/>
    <col min="6089" max="6089" width="15.42578125" style="3" customWidth="1"/>
    <col min="6090" max="6092" width="14.85546875" style="3" customWidth="1"/>
    <col min="6093" max="6093" width="0.7109375" style="3" customWidth="1"/>
    <col min="6094" max="6094" width="11" style="3"/>
    <col min="6095" max="6095" width="15.7109375" style="3" customWidth="1"/>
    <col min="6096" max="6097" width="14.85546875" style="3" customWidth="1"/>
    <col min="6098" max="6098" width="3.28515625" style="3" customWidth="1"/>
    <col min="6099" max="6099" width="20.140625" style="3" customWidth="1"/>
    <col min="6100" max="6100" width="3.28515625" style="3" customWidth="1"/>
    <col min="6101" max="6105" width="11" style="3"/>
    <col min="6106" max="6118" width="4.7109375" style="3" customWidth="1"/>
    <col min="6119" max="6328" width="11" style="3"/>
    <col min="6329" max="6329" width="0.7109375" style="3" customWidth="1"/>
    <col min="6330" max="6330" width="6.5703125" style="3" customWidth="1"/>
    <col min="6331" max="6331" width="13.5703125" style="3" customWidth="1"/>
    <col min="6332" max="6332" width="13.42578125" style="3" customWidth="1"/>
    <col min="6333" max="6334" width="12.5703125" style="3" customWidth="1"/>
    <col min="6335" max="6335" width="14.85546875" style="3" customWidth="1"/>
    <col min="6336" max="6336" width="20.7109375" style="3" customWidth="1"/>
    <col min="6337" max="6337" width="12.5703125" style="3" customWidth="1"/>
    <col min="6338" max="6338" width="13" style="3" customWidth="1"/>
    <col min="6339" max="6339" width="16" style="3" customWidth="1"/>
    <col min="6340" max="6340" width="6.42578125" style="3" customWidth="1"/>
    <col min="6341" max="6341" width="16" style="3" customWidth="1"/>
    <col min="6342" max="6342" width="2.85546875" style="3" customWidth="1"/>
    <col min="6343" max="6343" width="0.85546875" style="3" customWidth="1"/>
    <col min="6344" max="6344" width="11" style="3"/>
    <col min="6345" max="6345" width="15.42578125" style="3" customWidth="1"/>
    <col min="6346" max="6348" width="14.85546875" style="3" customWidth="1"/>
    <col min="6349" max="6349" width="0.7109375" style="3" customWidth="1"/>
    <col min="6350" max="6350" width="11" style="3"/>
    <col min="6351" max="6351" width="15.7109375" style="3" customWidth="1"/>
    <col min="6352" max="6353" width="14.85546875" style="3" customWidth="1"/>
    <col min="6354" max="6354" width="3.28515625" style="3" customWidth="1"/>
    <col min="6355" max="6355" width="20.140625" style="3" customWidth="1"/>
    <col min="6356" max="6356" width="3.28515625" style="3" customWidth="1"/>
    <col min="6357" max="6361" width="11" style="3"/>
    <col min="6362" max="6374" width="4.7109375" style="3" customWidth="1"/>
    <col min="6375" max="6584" width="11" style="3"/>
    <col min="6585" max="6585" width="0.7109375" style="3" customWidth="1"/>
    <col min="6586" max="6586" width="6.5703125" style="3" customWidth="1"/>
    <col min="6587" max="6587" width="13.5703125" style="3" customWidth="1"/>
    <col min="6588" max="6588" width="13.42578125" style="3" customWidth="1"/>
    <col min="6589" max="6590" width="12.5703125" style="3" customWidth="1"/>
    <col min="6591" max="6591" width="14.85546875" style="3" customWidth="1"/>
    <col min="6592" max="6592" width="20.7109375" style="3" customWidth="1"/>
    <col min="6593" max="6593" width="12.5703125" style="3" customWidth="1"/>
    <col min="6594" max="6594" width="13" style="3" customWidth="1"/>
    <col min="6595" max="6595" width="16" style="3" customWidth="1"/>
    <col min="6596" max="6596" width="6.42578125" style="3" customWidth="1"/>
    <col min="6597" max="6597" width="16" style="3" customWidth="1"/>
    <col min="6598" max="6598" width="2.85546875" style="3" customWidth="1"/>
    <col min="6599" max="6599" width="0.85546875" style="3" customWidth="1"/>
    <col min="6600" max="6600" width="11" style="3"/>
    <col min="6601" max="6601" width="15.42578125" style="3" customWidth="1"/>
    <col min="6602" max="6604" width="14.85546875" style="3" customWidth="1"/>
    <col min="6605" max="6605" width="0.7109375" style="3" customWidth="1"/>
    <col min="6606" max="6606" width="11" style="3"/>
    <col min="6607" max="6607" width="15.7109375" style="3" customWidth="1"/>
    <col min="6608" max="6609" width="14.85546875" style="3" customWidth="1"/>
    <col min="6610" max="6610" width="3.28515625" style="3" customWidth="1"/>
    <col min="6611" max="6611" width="20.140625" style="3" customWidth="1"/>
    <col min="6612" max="6612" width="3.28515625" style="3" customWidth="1"/>
    <col min="6613" max="6617" width="11" style="3"/>
    <col min="6618" max="6630" width="4.7109375" style="3" customWidth="1"/>
    <col min="6631" max="6840" width="11" style="3"/>
    <col min="6841" max="6841" width="0.7109375" style="3" customWidth="1"/>
    <col min="6842" max="6842" width="6.5703125" style="3" customWidth="1"/>
    <col min="6843" max="6843" width="13.5703125" style="3" customWidth="1"/>
    <col min="6844" max="6844" width="13.42578125" style="3" customWidth="1"/>
    <col min="6845" max="6846" width="12.5703125" style="3" customWidth="1"/>
    <col min="6847" max="6847" width="14.85546875" style="3" customWidth="1"/>
    <col min="6848" max="6848" width="20.7109375" style="3" customWidth="1"/>
    <col min="6849" max="6849" width="12.5703125" style="3" customWidth="1"/>
    <col min="6850" max="6850" width="13" style="3" customWidth="1"/>
    <col min="6851" max="6851" width="16" style="3" customWidth="1"/>
    <col min="6852" max="6852" width="6.42578125" style="3" customWidth="1"/>
    <col min="6853" max="6853" width="16" style="3" customWidth="1"/>
    <col min="6854" max="6854" width="2.85546875" style="3" customWidth="1"/>
    <col min="6855" max="6855" width="0.85546875" style="3" customWidth="1"/>
    <col min="6856" max="6856" width="11" style="3"/>
    <col min="6857" max="6857" width="15.42578125" style="3" customWidth="1"/>
    <col min="6858" max="6860" width="14.85546875" style="3" customWidth="1"/>
    <col min="6861" max="6861" width="0.7109375" style="3" customWidth="1"/>
    <col min="6862" max="6862" width="11" style="3"/>
    <col min="6863" max="6863" width="15.7109375" style="3" customWidth="1"/>
    <col min="6864" max="6865" width="14.85546875" style="3" customWidth="1"/>
    <col min="6866" max="6866" width="3.28515625" style="3" customWidth="1"/>
    <col min="6867" max="6867" width="20.140625" style="3" customWidth="1"/>
    <col min="6868" max="6868" width="3.28515625" style="3" customWidth="1"/>
    <col min="6869" max="6873" width="11" style="3"/>
    <col min="6874" max="6886" width="4.7109375" style="3" customWidth="1"/>
    <col min="6887" max="7096" width="11" style="3"/>
    <col min="7097" max="7097" width="0.7109375" style="3" customWidth="1"/>
    <col min="7098" max="7098" width="6.5703125" style="3" customWidth="1"/>
    <col min="7099" max="7099" width="13.5703125" style="3" customWidth="1"/>
    <col min="7100" max="7100" width="13.42578125" style="3" customWidth="1"/>
    <col min="7101" max="7102" width="12.5703125" style="3" customWidth="1"/>
    <col min="7103" max="7103" width="14.85546875" style="3" customWidth="1"/>
    <col min="7104" max="7104" width="20.7109375" style="3" customWidth="1"/>
    <col min="7105" max="7105" width="12.5703125" style="3" customWidth="1"/>
    <col min="7106" max="7106" width="13" style="3" customWidth="1"/>
    <col min="7107" max="7107" width="16" style="3" customWidth="1"/>
    <col min="7108" max="7108" width="6.42578125" style="3" customWidth="1"/>
    <col min="7109" max="7109" width="16" style="3" customWidth="1"/>
    <col min="7110" max="7110" width="2.85546875" style="3" customWidth="1"/>
    <col min="7111" max="7111" width="0.85546875" style="3" customWidth="1"/>
    <col min="7112" max="7112" width="11" style="3"/>
    <col min="7113" max="7113" width="15.42578125" style="3" customWidth="1"/>
    <col min="7114" max="7116" width="14.85546875" style="3" customWidth="1"/>
    <col min="7117" max="7117" width="0.7109375" style="3" customWidth="1"/>
    <col min="7118" max="7118" width="11" style="3"/>
    <col min="7119" max="7119" width="15.7109375" style="3" customWidth="1"/>
    <col min="7120" max="7121" width="14.85546875" style="3" customWidth="1"/>
    <col min="7122" max="7122" width="3.28515625" style="3" customWidth="1"/>
    <col min="7123" max="7123" width="20.140625" style="3" customWidth="1"/>
    <col min="7124" max="7124" width="3.28515625" style="3" customWidth="1"/>
    <col min="7125" max="7129" width="11" style="3"/>
    <col min="7130" max="7142" width="4.7109375" style="3" customWidth="1"/>
    <col min="7143" max="7352" width="11" style="3"/>
    <col min="7353" max="7353" width="0.7109375" style="3" customWidth="1"/>
    <col min="7354" max="7354" width="6.5703125" style="3" customWidth="1"/>
    <col min="7355" max="7355" width="13.5703125" style="3" customWidth="1"/>
    <col min="7356" max="7356" width="13.42578125" style="3" customWidth="1"/>
    <col min="7357" max="7358" width="12.5703125" style="3" customWidth="1"/>
    <col min="7359" max="7359" width="14.85546875" style="3" customWidth="1"/>
    <col min="7360" max="7360" width="20.7109375" style="3" customWidth="1"/>
    <col min="7361" max="7361" width="12.5703125" style="3" customWidth="1"/>
    <col min="7362" max="7362" width="13" style="3" customWidth="1"/>
    <col min="7363" max="7363" width="16" style="3" customWidth="1"/>
    <col min="7364" max="7364" width="6.42578125" style="3" customWidth="1"/>
    <col min="7365" max="7365" width="16" style="3" customWidth="1"/>
    <col min="7366" max="7366" width="2.85546875" style="3" customWidth="1"/>
    <col min="7367" max="7367" width="0.85546875" style="3" customWidth="1"/>
    <col min="7368" max="7368" width="11" style="3"/>
    <col min="7369" max="7369" width="15.42578125" style="3" customWidth="1"/>
    <col min="7370" max="7372" width="14.85546875" style="3" customWidth="1"/>
    <col min="7373" max="7373" width="0.7109375" style="3" customWidth="1"/>
    <col min="7374" max="7374" width="11" style="3"/>
    <col min="7375" max="7375" width="15.7109375" style="3" customWidth="1"/>
    <col min="7376" max="7377" width="14.85546875" style="3" customWidth="1"/>
    <col min="7378" max="7378" width="3.28515625" style="3" customWidth="1"/>
    <col min="7379" max="7379" width="20.140625" style="3" customWidth="1"/>
    <col min="7380" max="7380" width="3.28515625" style="3" customWidth="1"/>
    <col min="7381" max="7385" width="11" style="3"/>
    <col min="7386" max="7398" width="4.7109375" style="3" customWidth="1"/>
    <col min="7399" max="7608" width="11" style="3"/>
    <col min="7609" max="7609" width="0.7109375" style="3" customWidth="1"/>
    <col min="7610" max="7610" width="6.5703125" style="3" customWidth="1"/>
    <col min="7611" max="7611" width="13.5703125" style="3" customWidth="1"/>
    <col min="7612" max="7612" width="13.42578125" style="3" customWidth="1"/>
    <col min="7613" max="7614" width="12.5703125" style="3" customWidth="1"/>
    <col min="7615" max="7615" width="14.85546875" style="3" customWidth="1"/>
    <col min="7616" max="7616" width="20.7109375" style="3" customWidth="1"/>
    <col min="7617" max="7617" width="12.5703125" style="3" customWidth="1"/>
    <col min="7618" max="7618" width="13" style="3" customWidth="1"/>
    <col min="7619" max="7619" width="16" style="3" customWidth="1"/>
    <col min="7620" max="7620" width="6.42578125" style="3" customWidth="1"/>
    <col min="7621" max="7621" width="16" style="3" customWidth="1"/>
    <col min="7622" max="7622" width="2.85546875" style="3" customWidth="1"/>
    <col min="7623" max="7623" width="0.85546875" style="3" customWidth="1"/>
    <col min="7624" max="7624" width="11" style="3"/>
    <col min="7625" max="7625" width="15.42578125" style="3" customWidth="1"/>
    <col min="7626" max="7628" width="14.85546875" style="3" customWidth="1"/>
    <col min="7629" max="7629" width="0.7109375" style="3" customWidth="1"/>
    <col min="7630" max="7630" width="11" style="3"/>
    <col min="7631" max="7631" width="15.7109375" style="3" customWidth="1"/>
    <col min="7632" max="7633" width="14.85546875" style="3" customWidth="1"/>
    <col min="7634" max="7634" width="3.28515625" style="3" customWidth="1"/>
    <col min="7635" max="7635" width="20.140625" style="3" customWidth="1"/>
    <col min="7636" max="7636" width="3.28515625" style="3" customWidth="1"/>
    <col min="7637" max="7641" width="11" style="3"/>
    <col min="7642" max="7654" width="4.7109375" style="3" customWidth="1"/>
    <col min="7655" max="7864" width="11" style="3"/>
    <col min="7865" max="7865" width="0.7109375" style="3" customWidth="1"/>
    <col min="7866" max="7866" width="6.5703125" style="3" customWidth="1"/>
    <col min="7867" max="7867" width="13.5703125" style="3" customWidth="1"/>
    <col min="7868" max="7868" width="13.42578125" style="3" customWidth="1"/>
    <col min="7869" max="7870" width="12.5703125" style="3" customWidth="1"/>
    <col min="7871" max="7871" width="14.85546875" style="3" customWidth="1"/>
    <col min="7872" max="7872" width="20.7109375" style="3" customWidth="1"/>
    <col min="7873" max="7873" width="12.5703125" style="3" customWidth="1"/>
    <col min="7874" max="7874" width="13" style="3" customWidth="1"/>
    <col min="7875" max="7875" width="16" style="3" customWidth="1"/>
    <col min="7876" max="7876" width="6.42578125" style="3" customWidth="1"/>
    <col min="7877" max="7877" width="16" style="3" customWidth="1"/>
    <col min="7878" max="7878" width="2.85546875" style="3" customWidth="1"/>
    <col min="7879" max="7879" width="0.85546875" style="3" customWidth="1"/>
    <col min="7880" max="7880" width="11" style="3"/>
    <col min="7881" max="7881" width="15.42578125" style="3" customWidth="1"/>
    <col min="7882" max="7884" width="14.85546875" style="3" customWidth="1"/>
    <col min="7885" max="7885" width="0.7109375" style="3" customWidth="1"/>
    <col min="7886" max="7886" width="11" style="3"/>
    <col min="7887" max="7887" width="15.7109375" style="3" customWidth="1"/>
    <col min="7888" max="7889" width="14.85546875" style="3" customWidth="1"/>
    <col min="7890" max="7890" width="3.28515625" style="3" customWidth="1"/>
    <col min="7891" max="7891" width="20.140625" style="3" customWidth="1"/>
    <col min="7892" max="7892" width="3.28515625" style="3" customWidth="1"/>
    <col min="7893" max="7897" width="11" style="3"/>
    <col min="7898" max="7910" width="4.7109375" style="3" customWidth="1"/>
    <col min="7911" max="8120" width="11" style="3"/>
    <col min="8121" max="8121" width="0.7109375" style="3" customWidth="1"/>
    <col min="8122" max="8122" width="6.5703125" style="3" customWidth="1"/>
    <col min="8123" max="8123" width="13.5703125" style="3" customWidth="1"/>
    <col min="8124" max="8124" width="13.42578125" style="3" customWidth="1"/>
    <col min="8125" max="8126" width="12.5703125" style="3" customWidth="1"/>
    <col min="8127" max="8127" width="14.85546875" style="3" customWidth="1"/>
    <col min="8128" max="8128" width="20.7109375" style="3" customWidth="1"/>
    <col min="8129" max="8129" width="12.5703125" style="3" customWidth="1"/>
    <col min="8130" max="8130" width="13" style="3" customWidth="1"/>
    <col min="8131" max="8131" width="16" style="3" customWidth="1"/>
    <col min="8132" max="8132" width="6.42578125" style="3" customWidth="1"/>
    <col min="8133" max="8133" width="16" style="3" customWidth="1"/>
    <col min="8134" max="8134" width="2.85546875" style="3" customWidth="1"/>
    <col min="8135" max="8135" width="0.85546875" style="3" customWidth="1"/>
    <col min="8136" max="8136" width="11" style="3"/>
    <col min="8137" max="8137" width="15.42578125" style="3" customWidth="1"/>
    <col min="8138" max="8140" width="14.85546875" style="3" customWidth="1"/>
    <col min="8141" max="8141" width="0.7109375" style="3" customWidth="1"/>
    <col min="8142" max="8142" width="11" style="3"/>
    <col min="8143" max="8143" width="15.7109375" style="3" customWidth="1"/>
    <col min="8144" max="8145" width="14.85546875" style="3" customWidth="1"/>
    <col min="8146" max="8146" width="3.28515625" style="3" customWidth="1"/>
    <col min="8147" max="8147" width="20.140625" style="3" customWidth="1"/>
    <col min="8148" max="8148" width="3.28515625" style="3" customWidth="1"/>
    <col min="8149" max="8153" width="11" style="3"/>
    <col min="8154" max="8166" width="4.7109375" style="3" customWidth="1"/>
    <col min="8167" max="8376" width="11" style="3"/>
    <col min="8377" max="8377" width="0.7109375" style="3" customWidth="1"/>
    <col min="8378" max="8378" width="6.5703125" style="3" customWidth="1"/>
    <col min="8379" max="8379" width="13.5703125" style="3" customWidth="1"/>
    <col min="8380" max="8380" width="13.42578125" style="3" customWidth="1"/>
    <col min="8381" max="8382" width="12.5703125" style="3" customWidth="1"/>
    <col min="8383" max="8383" width="14.85546875" style="3" customWidth="1"/>
    <col min="8384" max="8384" width="20.7109375" style="3" customWidth="1"/>
    <col min="8385" max="8385" width="12.5703125" style="3" customWidth="1"/>
    <col min="8386" max="8386" width="13" style="3" customWidth="1"/>
    <col min="8387" max="8387" width="16" style="3" customWidth="1"/>
    <col min="8388" max="8388" width="6.42578125" style="3" customWidth="1"/>
    <col min="8389" max="8389" width="16" style="3" customWidth="1"/>
    <col min="8390" max="8390" width="2.85546875" style="3" customWidth="1"/>
    <col min="8391" max="8391" width="0.85546875" style="3" customWidth="1"/>
    <col min="8392" max="8392" width="11" style="3"/>
    <col min="8393" max="8393" width="15.42578125" style="3" customWidth="1"/>
    <col min="8394" max="8396" width="14.85546875" style="3" customWidth="1"/>
    <col min="8397" max="8397" width="0.7109375" style="3" customWidth="1"/>
    <col min="8398" max="8398" width="11" style="3"/>
    <col min="8399" max="8399" width="15.7109375" style="3" customWidth="1"/>
    <col min="8400" max="8401" width="14.85546875" style="3" customWidth="1"/>
    <col min="8402" max="8402" width="3.28515625" style="3" customWidth="1"/>
    <col min="8403" max="8403" width="20.140625" style="3" customWidth="1"/>
    <col min="8404" max="8404" width="3.28515625" style="3" customWidth="1"/>
    <col min="8405" max="8409" width="11" style="3"/>
    <col min="8410" max="8422" width="4.7109375" style="3" customWidth="1"/>
    <col min="8423" max="8632" width="11" style="3"/>
    <col min="8633" max="8633" width="0.7109375" style="3" customWidth="1"/>
    <col min="8634" max="8634" width="6.5703125" style="3" customWidth="1"/>
    <col min="8635" max="8635" width="13.5703125" style="3" customWidth="1"/>
    <col min="8636" max="8636" width="13.42578125" style="3" customWidth="1"/>
    <col min="8637" max="8638" width="12.5703125" style="3" customWidth="1"/>
    <col min="8639" max="8639" width="14.85546875" style="3" customWidth="1"/>
    <col min="8640" max="8640" width="20.7109375" style="3" customWidth="1"/>
    <col min="8641" max="8641" width="12.5703125" style="3" customWidth="1"/>
    <col min="8642" max="8642" width="13" style="3" customWidth="1"/>
    <col min="8643" max="8643" width="16" style="3" customWidth="1"/>
    <col min="8644" max="8644" width="6.42578125" style="3" customWidth="1"/>
    <col min="8645" max="8645" width="16" style="3" customWidth="1"/>
    <col min="8646" max="8646" width="2.85546875" style="3" customWidth="1"/>
    <col min="8647" max="8647" width="0.85546875" style="3" customWidth="1"/>
    <col min="8648" max="8648" width="11" style="3"/>
    <col min="8649" max="8649" width="15.42578125" style="3" customWidth="1"/>
    <col min="8650" max="8652" width="14.85546875" style="3" customWidth="1"/>
    <col min="8653" max="8653" width="0.7109375" style="3" customWidth="1"/>
    <col min="8654" max="8654" width="11" style="3"/>
    <col min="8655" max="8655" width="15.7109375" style="3" customWidth="1"/>
    <col min="8656" max="8657" width="14.85546875" style="3" customWidth="1"/>
    <col min="8658" max="8658" width="3.28515625" style="3" customWidth="1"/>
    <col min="8659" max="8659" width="20.140625" style="3" customWidth="1"/>
    <col min="8660" max="8660" width="3.28515625" style="3" customWidth="1"/>
    <col min="8661" max="8665" width="11" style="3"/>
    <col min="8666" max="8678" width="4.7109375" style="3" customWidth="1"/>
    <col min="8679" max="8888" width="11" style="3"/>
    <col min="8889" max="8889" width="0.7109375" style="3" customWidth="1"/>
    <col min="8890" max="8890" width="6.5703125" style="3" customWidth="1"/>
    <col min="8891" max="8891" width="13.5703125" style="3" customWidth="1"/>
    <col min="8892" max="8892" width="13.42578125" style="3" customWidth="1"/>
    <col min="8893" max="8894" width="12.5703125" style="3" customWidth="1"/>
    <col min="8895" max="8895" width="14.85546875" style="3" customWidth="1"/>
    <col min="8896" max="8896" width="20.7109375" style="3" customWidth="1"/>
    <col min="8897" max="8897" width="12.5703125" style="3" customWidth="1"/>
    <col min="8898" max="8898" width="13" style="3" customWidth="1"/>
    <col min="8899" max="8899" width="16" style="3" customWidth="1"/>
    <col min="8900" max="8900" width="6.42578125" style="3" customWidth="1"/>
    <col min="8901" max="8901" width="16" style="3" customWidth="1"/>
    <col min="8902" max="8902" width="2.85546875" style="3" customWidth="1"/>
    <col min="8903" max="8903" width="0.85546875" style="3" customWidth="1"/>
    <col min="8904" max="8904" width="11" style="3"/>
    <col min="8905" max="8905" width="15.42578125" style="3" customWidth="1"/>
    <col min="8906" max="8908" width="14.85546875" style="3" customWidth="1"/>
    <col min="8909" max="8909" width="0.7109375" style="3" customWidth="1"/>
    <col min="8910" max="8910" width="11" style="3"/>
    <col min="8911" max="8911" width="15.7109375" style="3" customWidth="1"/>
    <col min="8912" max="8913" width="14.85546875" style="3" customWidth="1"/>
    <col min="8914" max="8914" width="3.28515625" style="3" customWidth="1"/>
    <col min="8915" max="8915" width="20.140625" style="3" customWidth="1"/>
    <col min="8916" max="8916" width="3.28515625" style="3" customWidth="1"/>
    <col min="8917" max="8921" width="11" style="3"/>
    <col min="8922" max="8934" width="4.7109375" style="3" customWidth="1"/>
    <col min="8935" max="9144" width="11" style="3"/>
    <col min="9145" max="9145" width="0.7109375" style="3" customWidth="1"/>
    <col min="9146" max="9146" width="6.5703125" style="3" customWidth="1"/>
    <col min="9147" max="9147" width="13.5703125" style="3" customWidth="1"/>
    <col min="9148" max="9148" width="13.42578125" style="3" customWidth="1"/>
    <col min="9149" max="9150" width="12.5703125" style="3" customWidth="1"/>
    <col min="9151" max="9151" width="14.85546875" style="3" customWidth="1"/>
    <col min="9152" max="9152" width="20.7109375" style="3" customWidth="1"/>
    <col min="9153" max="9153" width="12.5703125" style="3" customWidth="1"/>
    <col min="9154" max="9154" width="13" style="3" customWidth="1"/>
    <col min="9155" max="9155" width="16" style="3" customWidth="1"/>
    <col min="9156" max="9156" width="6.42578125" style="3" customWidth="1"/>
    <col min="9157" max="9157" width="16" style="3" customWidth="1"/>
    <col min="9158" max="9158" width="2.85546875" style="3" customWidth="1"/>
    <col min="9159" max="9159" width="0.85546875" style="3" customWidth="1"/>
    <col min="9160" max="9160" width="11" style="3"/>
    <col min="9161" max="9161" width="15.42578125" style="3" customWidth="1"/>
    <col min="9162" max="9164" width="14.85546875" style="3" customWidth="1"/>
    <col min="9165" max="9165" width="0.7109375" style="3" customWidth="1"/>
    <col min="9166" max="9166" width="11" style="3"/>
    <col min="9167" max="9167" width="15.7109375" style="3" customWidth="1"/>
    <col min="9168" max="9169" width="14.85546875" style="3" customWidth="1"/>
    <col min="9170" max="9170" width="3.28515625" style="3" customWidth="1"/>
    <col min="9171" max="9171" width="20.140625" style="3" customWidth="1"/>
    <col min="9172" max="9172" width="3.28515625" style="3" customWidth="1"/>
    <col min="9173" max="9177" width="11" style="3"/>
    <col min="9178" max="9190" width="4.7109375" style="3" customWidth="1"/>
    <col min="9191" max="9400" width="11" style="3"/>
    <col min="9401" max="9401" width="0.7109375" style="3" customWidth="1"/>
    <col min="9402" max="9402" width="6.5703125" style="3" customWidth="1"/>
    <col min="9403" max="9403" width="13.5703125" style="3" customWidth="1"/>
    <col min="9404" max="9404" width="13.42578125" style="3" customWidth="1"/>
    <col min="9405" max="9406" width="12.5703125" style="3" customWidth="1"/>
    <col min="9407" max="9407" width="14.85546875" style="3" customWidth="1"/>
    <col min="9408" max="9408" width="20.7109375" style="3" customWidth="1"/>
    <col min="9409" max="9409" width="12.5703125" style="3" customWidth="1"/>
    <col min="9410" max="9410" width="13" style="3" customWidth="1"/>
    <col min="9411" max="9411" width="16" style="3" customWidth="1"/>
    <col min="9412" max="9412" width="6.42578125" style="3" customWidth="1"/>
    <col min="9413" max="9413" width="16" style="3" customWidth="1"/>
    <col min="9414" max="9414" width="2.85546875" style="3" customWidth="1"/>
    <col min="9415" max="9415" width="0.85546875" style="3" customWidth="1"/>
    <col min="9416" max="9416" width="11" style="3"/>
    <col min="9417" max="9417" width="15.42578125" style="3" customWidth="1"/>
    <col min="9418" max="9420" width="14.85546875" style="3" customWidth="1"/>
    <col min="9421" max="9421" width="0.7109375" style="3" customWidth="1"/>
    <col min="9422" max="9422" width="11" style="3"/>
    <col min="9423" max="9423" width="15.7109375" style="3" customWidth="1"/>
    <col min="9424" max="9425" width="14.85546875" style="3" customWidth="1"/>
    <col min="9426" max="9426" width="3.28515625" style="3" customWidth="1"/>
    <col min="9427" max="9427" width="20.140625" style="3" customWidth="1"/>
    <col min="9428" max="9428" width="3.28515625" style="3" customWidth="1"/>
    <col min="9429" max="9433" width="11" style="3"/>
    <col min="9434" max="9446" width="4.7109375" style="3" customWidth="1"/>
    <col min="9447" max="9656" width="11" style="3"/>
    <col min="9657" max="9657" width="0.7109375" style="3" customWidth="1"/>
    <col min="9658" max="9658" width="6.5703125" style="3" customWidth="1"/>
    <col min="9659" max="9659" width="13.5703125" style="3" customWidth="1"/>
    <col min="9660" max="9660" width="13.42578125" style="3" customWidth="1"/>
    <col min="9661" max="9662" width="12.5703125" style="3" customWidth="1"/>
    <col min="9663" max="9663" width="14.85546875" style="3" customWidth="1"/>
    <col min="9664" max="9664" width="20.7109375" style="3" customWidth="1"/>
    <col min="9665" max="9665" width="12.5703125" style="3" customWidth="1"/>
    <col min="9666" max="9666" width="13" style="3" customWidth="1"/>
    <col min="9667" max="9667" width="16" style="3" customWidth="1"/>
    <col min="9668" max="9668" width="6.42578125" style="3" customWidth="1"/>
    <col min="9669" max="9669" width="16" style="3" customWidth="1"/>
    <col min="9670" max="9670" width="2.85546875" style="3" customWidth="1"/>
    <col min="9671" max="9671" width="0.85546875" style="3" customWidth="1"/>
    <col min="9672" max="9672" width="11" style="3"/>
    <col min="9673" max="9673" width="15.42578125" style="3" customWidth="1"/>
    <col min="9674" max="9676" width="14.85546875" style="3" customWidth="1"/>
    <col min="9677" max="9677" width="0.7109375" style="3" customWidth="1"/>
    <col min="9678" max="9678" width="11" style="3"/>
    <col min="9679" max="9679" width="15.7109375" style="3" customWidth="1"/>
    <col min="9680" max="9681" width="14.85546875" style="3" customWidth="1"/>
    <col min="9682" max="9682" width="3.28515625" style="3" customWidth="1"/>
    <col min="9683" max="9683" width="20.140625" style="3" customWidth="1"/>
    <col min="9684" max="9684" width="3.28515625" style="3" customWidth="1"/>
    <col min="9685" max="9689" width="11" style="3"/>
    <col min="9690" max="9702" width="4.7109375" style="3" customWidth="1"/>
    <col min="9703" max="9912" width="11" style="3"/>
    <col min="9913" max="9913" width="0.7109375" style="3" customWidth="1"/>
    <col min="9914" max="9914" width="6.5703125" style="3" customWidth="1"/>
    <col min="9915" max="9915" width="13.5703125" style="3" customWidth="1"/>
    <col min="9916" max="9916" width="13.42578125" style="3" customWidth="1"/>
    <col min="9917" max="9918" width="12.5703125" style="3" customWidth="1"/>
    <col min="9919" max="9919" width="14.85546875" style="3" customWidth="1"/>
    <col min="9920" max="9920" width="20.7109375" style="3" customWidth="1"/>
    <col min="9921" max="9921" width="12.5703125" style="3" customWidth="1"/>
    <col min="9922" max="9922" width="13" style="3" customWidth="1"/>
    <col min="9923" max="9923" width="16" style="3" customWidth="1"/>
    <col min="9924" max="9924" width="6.42578125" style="3" customWidth="1"/>
    <col min="9925" max="9925" width="16" style="3" customWidth="1"/>
    <col min="9926" max="9926" width="2.85546875" style="3" customWidth="1"/>
    <col min="9927" max="9927" width="0.85546875" style="3" customWidth="1"/>
    <col min="9928" max="9928" width="11" style="3"/>
    <col min="9929" max="9929" width="15.42578125" style="3" customWidth="1"/>
    <col min="9930" max="9932" width="14.85546875" style="3" customWidth="1"/>
    <col min="9933" max="9933" width="0.7109375" style="3" customWidth="1"/>
    <col min="9934" max="9934" width="11" style="3"/>
    <col min="9935" max="9935" width="15.7109375" style="3" customWidth="1"/>
    <col min="9936" max="9937" width="14.85546875" style="3" customWidth="1"/>
    <col min="9938" max="9938" width="3.28515625" style="3" customWidth="1"/>
    <col min="9939" max="9939" width="20.140625" style="3" customWidth="1"/>
    <col min="9940" max="9940" width="3.28515625" style="3" customWidth="1"/>
    <col min="9941" max="9945" width="11" style="3"/>
    <col min="9946" max="9958" width="4.7109375" style="3" customWidth="1"/>
    <col min="9959" max="10168" width="11" style="3"/>
    <col min="10169" max="10169" width="0.7109375" style="3" customWidth="1"/>
    <col min="10170" max="10170" width="6.5703125" style="3" customWidth="1"/>
    <col min="10171" max="10171" width="13.5703125" style="3" customWidth="1"/>
    <col min="10172" max="10172" width="13.42578125" style="3" customWidth="1"/>
    <col min="10173" max="10174" width="12.5703125" style="3" customWidth="1"/>
    <col min="10175" max="10175" width="14.85546875" style="3" customWidth="1"/>
    <col min="10176" max="10176" width="20.7109375" style="3" customWidth="1"/>
    <col min="10177" max="10177" width="12.5703125" style="3" customWidth="1"/>
    <col min="10178" max="10178" width="13" style="3" customWidth="1"/>
    <col min="10179" max="10179" width="16" style="3" customWidth="1"/>
    <col min="10180" max="10180" width="6.42578125" style="3" customWidth="1"/>
    <col min="10181" max="10181" width="16" style="3" customWidth="1"/>
    <col min="10182" max="10182" width="2.85546875" style="3" customWidth="1"/>
    <col min="10183" max="10183" width="0.85546875" style="3" customWidth="1"/>
    <col min="10184" max="10184" width="11" style="3"/>
    <col min="10185" max="10185" width="15.42578125" style="3" customWidth="1"/>
    <col min="10186" max="10188" width="14.85546875" style="3" customWidth="1"/>
    <col min="10189" max="10189" width="0.7109375" style="3" customWidth="1"/>
    <col min="10190" max="10190" width="11" style="3"/>
    <col min="10191" max="10191" width="15.7109375" style="3" customWidth="1"/>
    <col min="10192" max="10193" width="14.85546875" style="3" customWidth="1"/>
    <col min="10194" max="10194" width="3.28515625" style="3" customWidth="1"/>
    <col min="10195" max="10195" width="20.140625" style="3" customWidth="1"/>
    <col min="10196" max="10196" width="3.28515625" style="3" customWidth="1"/>
    <col min="10197" max="10201" width="11" style="3"/>
    <col min="10202" max="10214" width="4.7109375" style="3" customWidth="1"/>
    <col min="10215" max="10424" width="11" style="3"/>
    <col min="10425" max="10425" width="0.7109375" style="3" customWidth="1"/>
    <col min="10426" max="10426" width="6.5703125" style="3" customWidth="1"/>
    <col min="10427" max="10427" width="13.5703125" style="3" customWidth="1"/>
    <col min="10428" max="10428" width="13.42578125" style="3" customWidth="1"/>
    <col min="10429" max="10430" width="12.5703125" style="3" customWidth="1"/>
    <col min="10431" max="10431" width="14.85546875" style="3" customWidth="1"/>
    <col min="10432" max="10432" width="20.7109375" style="3" customWidth="1"/>
    <col min="10433" max="10433" width="12.5703125" style="3" customWidth="1"/>
    <col min="10434" max="10434" width="13" style="3" customWidth="1"/>
    <col min="10435" max="10435" width="16" style="3" customWidth="1"/>
    <col min="10436" max="10436" width="6.42578125" style="3" customWidth="1"/>
    <col min="10437" max="10437" width="16" style="3" customWidth="1"/>
    <col min="10438" max="10438" width="2.85546875" style="3" customWidth="1"/>
    <col min="10439" max="10439" width="0.85546875" style="3" customWidth="1"/>
    <col min="10440" max="10440" width="11" style="3"/>
    <col min="10441" max="10441" width="15.42578125" style="3" customWidth="1"/>
    <col min="10442" max="10444" width="14.85546875" style="3" customWidth="1"/>
    <col min="10445" max="10445" width="0.7109375" style="3" customWidth="1"/>
    <col min="10446" max="10446" width="11" style="3"/>
    <col min="10447" max="10447" width="15.7109375" style="3" customWidth="1"/>
    <col min="10448" max="10449" width="14.85546875" style="3" customWidth="1"/>
    <col min="10450" max="10450" width="3.28515625" style="3" customWidth="1"/>
    <col min="10451" max="10451" width="20.140625" style="3" customWidth="1"/>
    <col min="10452" max="10452" width="3.28515625" style="3" customWidth="1"/>
    <col min="10453" max="10457" width="11" style="3"/>
    <col min="10458" max="10470" width="4.7109375" style="3" customWidth="1"/>
    <col min="10471" max="10680" width="11" style="3"/>
    <col min="10681" max="10681" width="0.7109375" style="3" customWidth="1"/>
    <col min="10682" max="10682" width="6.5703125" style="3" customWidth="1"/>
    <col min="10683" max="10683" width="13.5703125" style="3" customWidth="1"/>
    <col min="10684" max="10684" width="13.42578125" style="3" customWidth="1"/>
    <col min="10685" max="10686" width="12.5703125" style="3" customWidth="1"/>
    <col min="10687" max="10687" width="14.85546875" style="3" customWidth="1"/>
    <col min="10688" max="10688" width="20.7109375" style="3" customWidth="1"/>
    <col min="10689" max="10689" width="12.5703125" style="3" customWidth="1"/>
    <col min="10690" max="10690" width="13" style="3" customWidth="1"/>
    <col min="10691" max="10691" width="16" style="3" customWidth="1"/>
    <col min="10692" max="10692" width="6.42578125" style="3" customWidth="1"/>
    <col min="10693" max="10693" width="16" style="3" customWidth="1"/>
    <col min="10694" max="10694" width="2.85546875" style="3" customWidth="1"/>
    <col min="10695" max="10695" width="0.85546875" style="3" customWidth="1"/>
    <col min="10696" max="10696" width="11" style="3"/>
    <col min="10697" max="10697" width="15.42578125" style="3" customWidth="1"/>
    <col min="10698" max="10700" width="14.85546875" style="3" customWidth="1"/>
    <col min="10701" max="10701" width="0.7109375" style="3" customWidth="1"/>
    <col min="10702" max="10702" width="11" style="3"/>
    <col min="10703" max="10703" width="15.7109375" style="3" customWidth="1"/>
    <col min="10704" max="10705" width="14.85546875" style="3" customWidth="1"/>
    <col min="10706" max="10706" width="3.28515625" style="3" customWidth="1"/>
    <col min="10707" max="10707" width="20.140625" style="3" customWidth="1"/>
    <col min="10708" max="10708" width="3.28515625" style="3" customWidth="1"/>
    <col min="10709" max="10713" width="11" style="3"/>
    <col min="10714" max="10726" width="4.7109375" style="3" customWidth="1"/>
    <col min="10727" max="10936" width="11" style="3"/>
    <col min="10937" max="10937" width="0.7109375" style="3" customWidth="1"/>
    <col min="10938" max="10938" width="6.5703125" style="3" customWidth="1"/>
    <col min="10939" max="10939" width="13.5703125" style="3" customWidth="1"/>
    <col min="10940" max="10940" width="13.42578125" style="3" customWidth="1"/>
    <col min="10941" max="10942" width="12.5703125" style="3" customWidth="1"/>
    <col min="10943" max="10943" width="14.85546875" style="3" customWidth="1"/>
    <col min="10944" max="10944" width="20.7109375" style="3" customWidth="1"/>
    <col min="10945" max="10945" width="12.5703125" style="3" customWidth="1"/>
    <col min="10946" max="10946" width="13" style="3" customWidth="1"/>
    <col min="10947" max="10947" width="16" style="3" customWidth="1"/>
    <col min="10948" max="10948" width="6.42578125" style="3" customWidth="1"/>
    <col min="10949" max="10949" width="16" style="3" customWidth="1"/>
    <col min="10950" max="10950" width="2.85546875" style="3" customWidth="1"/>
    <col min="10951" max="10951" width="0.85546875" style="3" customWidth="1"/>
    <col min="10952" max="10952" width="11" style="3"/>
    <col min="10953" max="10953" width="15.42578125" style="3" customWidth="1"/>
    <col min="10954" max="10956" width="14.85546875" style="3" customWidth="1"/>
    <col min="10957" max="10957" width="0.7109375" style="3" customWidth="1"/>
    <col min="10958" max="10958" width="11" style="3"/>
    <col min="10959" max="10959" width="15.7109375" style="3" customWidth="1"/>
    <col min="10960" max="10961" width="14.85546875" style="3" customWidth="1"/>
    <col min="10962" max="10962" width="3.28515625" style="3" customWidth="1"/>
    <col min="10963" max="10963" width="20.140625" style="3" customWidth="1"/>
    <col min="10964" max="10964" width="3.28515625" style="3" customWidth="1"/>
    <col min="10965" max="10969" width="11" style="3"/>
    <col min="10970" max="10982" width="4.7109375" style="3" customWidth="1"/>
    <col min="10983" max="11192" width="11" style="3"/>
    <col min="11193" max="11193" width="0.7109375" style="3" customWidth="1"/>
    <col min="11194" max="11194" width="6.5703125" style="3" customWidth="1"/>
    <col min="11195" max="11195" width="13.5703125" style="3" customWidth="1"/>
    <col min="11196" max="11196" width="13.42578125" style="3" customWidth="1"/>
    <col min="11197" max="11198" width="12.5703125" style="3" customWidth="1"/>
    <col min="11199" max="11199" width="14.85546875" style="3" customWidth="1"/>
    <col min="11200" max="11200" width="20.7109375" style="3" customWidth="1"/>
    <col min="11201" max="11201" width="12.5703125" style="3" customWidth="1"/>
    <col min="11202" max="11202" width="13" style="3" customWidth="1"/>
    <col min="11203" max="11203" width="16" style="3" customWidth="1"/>
    <col min="11204" max="11204" width="6.42578125" style="3" customWidth="1"/>
    <col min="11205" max="11205" width="16" style="3" customWidth="1"/>
    <col min="11206" max="11206" width="2.85546875" style="3" customWidth="1"/>
    <col min="11207" max="11207" width="0.85546875" style="3" customWidth="1"/>
    <col min="11208" max="11208" width="11" style="3"/>
    <col min="11209" max="11209" width="15.42578125" style="3" customWidth="1"/>
    <col min="11210" max="11212" width="14.85546875" style="3" customWidth="1"/>
    <col min="11213" max="11213" width="0.7109375" style="3" customWidth="1"/>
    <col min="11214" max="11214" width="11" style="3"/>
    <col min="11215" max="11215" width="15.7109375" style="3" customWidth="1"/>
    <col min="11216" max="11217" width="14.85546875" style="3" customWidth="1"/>
    <col min="11218" max="11218" width="3.28515625" style="3" customWidth="1"/>
    <col min="11219" max="11219" width="20.140625" style="3" customWidth="1"/>
    <col min="11220" max="11220" width="3.28515625" style="3" customWidth="1"/>
    <col min="11221" max="11225" width="11" style="3"/>
    <col min="11226" max="11238" width="4.7109375" style="3" customWidth="1"/>
    <col min="11239" max="11448" width="11" style="3"/>
    <col min="11449" max="11449" width="0.7109375" style="3" customWidth="1"/>
    <col min="11450" max="11450" width="6.5703125" style="3" customWidth="1"/>
    <col min="11451" max="11451" width="13.5703125" style="3" customWidth="1"/>
    <col min="11452" max="11452" width="13.42578125" style="3" customWidth="1"/>
    <col min="11453" max="11454" width="12.5703125" style="3" customWidth="1"/>
    <col min="11455" max="11455" width="14.85546875" style="3" customWidth="1"/>
    <col min="11456" max="11456" width="20.7109375" style="3" customWidth="1"/>
    <col min="11457" max="11457" width="12.5703125" style="3" customWidth="1"/>
    <col min="11458" max="11458" width="13" style="3" customWidth="1"/>
    <col min="11459" max="11459" width="16" style="3" customWidth="1"/>
    <col min="11460" max="11460" width="6.42578125" style="3" customWidth="1"/>
    <col min="11461" max="11461" width="16" style="3" customWidth="1"/>
    <col min="11462" max="11462" width="2.85546875" style="3" customWidth="1"/>
    <col min="11463" max="11463" width="0.85546875" style="3" customWidth="1"/>
    <col min="11464" max="11464" width="11" style="3"/>
    <col min="11465" max="11465" width="15.42578125" style="3" customWidth="1"/>
    <col min="11466" max="11468" width="14.85546875" style="3" customWidth="1"/>
    <col min="11469" max="11469" width="0.7109375" style="3" customWidth="1"/>
    <col min="11470" max="11470" width="11" style="3"/>
    <col min="11471" max="11471" width="15.7109375" style="3" customWidth="1"/>
    <col min="11472" max="11473" width="14.85546875" style="3" customWidth="1"/>
    <col min="11474" max="11474" width="3.28515625" style="3" customWidth="1"/>
    <col min="11475" max="11475" width="20.140625" style="3" customWidth="1"/>
    <col min="11476" max="11476" width="3.28515625" style="3" customWidth="1"/>
    <col min="11477" max="11481" width="11" style="3"/>
    <col min="11482" max="11494" width="4.7109375" style="3" customWidth="1"/>
    <col min="11495" max="11704" width="11" style="3"/>
    <col min="11705" max="11705" width="0.7109375" style="3" customWidth="1"/>
    <col min="11706" max="11706" width="6.5703125" style="3" customWidth="1"/>
    <col min="11707" max="11707" width="13.5703125" style="3" customWidth="1"/>
    <col min="11708" max="11708" width="13.42578125" style="3" customWidth="1"/>
    <col min="11709" max="11710" width="12.5703125" style="3" customWidth="1"/>
    <col min="11711" max="11711" width="14.85546875" style="3" customWidth="1"/>
    <col min="11712" max="11712" width="20.7109375" style="3" customWidth="1"/>
    <col min="11713" max="11713" width="12.5703125" style="3" customWidth="1"/>
    <col min="11714" max="11714" width="13" style="3" customWidth="1"/>
    <col min="11715" max="11715" width="16" style="3" customWidth="1"/>
    <col min="11716" max="11716" width="6.42578125" style="3" customWidth="1"/>
    <col min="11717" max="11717" width="16" style="3" customWidth="1"/>
    <col min="11718" max="11718" width="2.85546875" style="3" customWidth="1"/>
    <col min="11719" max="11719" width="0.85546875" style="3" customWidth="1"/>
    <col min="11720" max="11720" width="11" style="3"/>
    <col min="11721" max="11721" width="15.42578125" style="3" customWidth="1"/>
    <col min="11722" max="11724" width="14.85546875" style="3" customWidth="1"/>
    <col min="11725" max="11725" width="0.7109375" style="3" customWidth="1"/>
    <col min="11726" max="11726" width="11" style="3"/>
    <col min="11727" max="11727" width="15.7109375" style="3" customWidth="1"/>
    <col min="11728" max="11729" width="14.85546875" style="3" customWidth="1"/>
    <col min="11730" max="11730" width="3.28515625" style="3" customWidth="1"/>
    <col min="11731" max="11731" width="20.140625" style="3" customWidth="1"/>
    <col min="11732" max="11732" width="3.28515625" style="3" customWidth="1"/>
    <col min="11733" max="11737" width="11" style="3"/>
    <col min="11738" max="11750" width="4.7109375" style="3" customWidth="1"/>
    <col min="11751" max="11960" width="11" style="3"/>
    <col min="11961" max="11961" width="0.7109375" style="3" customWidth="1"/>
    <col min="11962" max="11962" width="6.5703125" style="3" customWidth="1"/>
    <col min="11963" max="11963" width="13.5703125" style="3" customWidth="1"/>
    <col min="11964" max="11964" width="13.42578125" style="3" customWidth="1"/>
    <col min="11965" max="11966" width="12.5703125" style="3" customWidth="1"/>
    <col min="11967" max="11967" width="14.85546875" style="3" customWidth="1"/>
    <col min="11968" max="11968" width="20.7109375" style="3" customWidth="1"/>
    <col min="11969" max="11969" width="12.5703125" style="3" customWidth="1"/>
    <col min="11970" max="11970" width="13" style="3" customWidth="1"/>
    <col min="11971" max="11971" width="16" style="3" customWidth="1"/>
    <col min="11972" max="11972" width="6.42578125" style="3" customWidth="1"/>
    <col min="11973" max="11973" width="16" style="3" customWidth="1"/>
    <col min="11974" max="11974" width="2.85546875" style="3" customWidth="1"/>
    <col min="11975" max="11975" width="0.85546875" style="3" customWidth="1"/>
    <col min="11976" max="11976" width="11" style="3"/>
    <col min="11977" max="11977" width="15.42578125" style="3" customWidth="1"/>
    <col min="11978" max="11980" width="14.85546875" style="3" customWidth="1"/>
    <col min="11981" max="11981" width="0.7109375" style="3" customWidth="1"/>
    <col min="11982" max="11982" width="11" style="3"/>
    <col min="11983" max="11983" width="15.7109375" style="3" customWidth="1"/>
    <col min="11984" max="11985" width="14.85546875" style="3" customWidth="1"/>
    <col min="11986" max="11986" width="3.28515625" style="3" customWidth="1"/>
    <col min="11987" max="11987" width="20.140625" style="3" customWidth="1"/>
    <col min="11988" max="11988" width="3.28515625" style="3" customWidth="1"/>
    <col min="11989" max="11993" width="11" style="3"/>
    <col min="11994" max="12006" width="4.7109375" style="3" customWidth="1"/>
    <col min="12007" max="12216" width="11" style="3"/>
    <col min="12217" max="12217" width="0.7109375" style="3" customWidth="1"/>
    <col min="12218" max="12218" width="6.5703125" style="3" customWidth="1"/>
    <col min="12219" max="12219" width="13.5703125" style="3" customWidth="1"/>
    <col min="12220" max="12220" width="13.42578125" style="3" customWidth="1"/>
    <col min="12221" max="12222" width="12.5703125" style="3" customWidth="1"/>
    <col min="12223" max="12223" width="14.85546875" style="3" customWidth="1"/>
    <col min="12224" max="12224" width="20.7109375" style="3" customWidth="1"/>
    <col min="12225" max="12225" width="12.5703125" style="3" customWidth="1"/>
    <col min="12226" max="12226" width="13" style="3" customWidth="1"/>
    <col min="12227" max="12227" width="16" style="3" customWidth="1"/>
    <col min="12228" max="12228" width="6.42578125" style="3" customWidth="1"/>
    <col min="12229" max="12229" width="16" style="3" customWidth="1"/>
    <col min="12230" max="12230" width="2.85546875" style="3" customWidth="1"/>
    <col min="12231" max="12231" width="0.85546875" style="3" customWidth="1"/>
    <col min="12232" max="12232" width="11" style="3"/>
    <col min="12233" max="12233" width="15.42578125" style="3" customWidth="1"/>
    <col min="12234" max="12236" width="14.85546875" style="3" customWidth="1"/>
    <col min="12237" max="12237" width="0.7109375" style="3" customWidth="1"/>
    <col min="12238" max="12238" width="11" style="3"/>
    <col min="12239" max="12239" width="15.7109375" style="3" customWidth="1"/>
    <col min="12240" max="12241" width="14.85546875" style="3" customWidth="1"/>
    <col min="12242" max="12242" width="3.28515625" style="3" customWidth="1"/>
    <col min="12243" max="12243" width="20.140625" style="3" customWidth="1"/>
    <col min="12244" max="12244" width="3.28515625" style="3" customWidth="1"/>
    <col min="12245" max="12249" width="11" style="3"/>
    <col min="12250" max="12262" width="4.7109375" style="3" customWidth="1"/>
    <col min="12263" max="12472" width="11" style="3"/>
    <col min="12473" max="12473" width="0.7109375" style="3" customWidth="1"/>
    <col min="12474" max="12474" width="6.5703125" style="3" customWidth="1"/>
    <col min="12475" max="12475" width="13.5703125" style="3" customWidth="1"/>
    <col min="12476" max="12476" width="13.42578125" style="3" customWidth="1"/>
    <col min="12477" max="12478" width="12.5703125" style="3" customWidth="1"/>
    <col min="12479" max="12479" width="14.85546875" style="3" customWidth="1"/>
    <col min="12480" max="12480" width="20.7109375" style="3" customWidth="1"/>
    <col min="12481" max="12481" width="12.5703125" style="3" customWidth="1"/>
    <col min="12482" max="12482" width="13" style="3" customWidth="1"/>
    <col min="12483" max="12483" width="16" style="3" customWidth="1"/>
    <col min="12484" max="12484" width="6.42578125" style="3" customWidth="1"/>
    <col min="12485" max="12485" width="16" style="3" customWidth="1"/>
    <col min="12486" max="12486" width="2.85546875" style="3" customWidth="1"/>
    <col min="12487" max="12487" width="0.85546875" style="3" customWidth="1"/>
    <col min="12488" max="12488" width="11" style="3"/>
    <col min="12489" max="12489" width="15.42578125" style="3" customWidth="1"/>
    <col min="12490" max="12492" width="14.85546875" style="3" customWidth="1"/>
    <col min="12493" max="12493" width="0.7109375" style="3" customWidth="1"/>
    <col min="12494" max="12494" width="11" style="3"/>
    <col min="12495" max="12495" width="15.7109375" style="3" customWidth="1"/>
    <col min="12496" max="12497" width="14.85546875" style="3" customWidth="1"/>
    <col min="12498" max="12498" width="3.28515625" style="3" customWidth="1"/>
    <col min="12499" max="12499" width="20.140625" style="3" customWidth="1"/>
    <col min="12500" max="12500" width="3.28515625" style="3" customWidth="1"/>
    <col min="12501" max="12505" width="11" style="3"/>
    <col min="12506" max="12518" width="4.7109375" style="3" customWidth="1"/>
    <col min="12519" max="12728" width="11" style="3"/>
    <col min="12729" max="12729" width="0.7109375" style="3" customWidth="1"/>
    <col min="12730" max="12730" width="6.5703125" style="3" customWidth="1"/>
    <col min="12731" max="12731" width="13.5703125" style="3" customWidth="1"/>
    <col min="12732" max="12732" width="13.42578125" style="3" customWidth="1"/>
    <col min="12733" max="12734" width="12.5703125" style="3" customWidth="1"/>
    <col min="12735" max="12735" width="14.85546875" style="3" customWidth="1"/>
    <col min="12736" max="12736" width="20.7109375" style="3" customWidth="1"/>
    <col min="12737" max="12737" width="12.5703125" style="3" customWidth="1"/>
    <col min="12738" max="12738" width="13" style="3" customWidth="1"/>
    <col min="12739" max="12739" width="16" style="3" customWidth="1"/>
    <col min="12740" max="12740" width="6.42578125" style="3" customWidth="1"/>
    <col min="12741" max="12741" width="16" style="3" customWidth="1"/>
    <col min="12742" max="12742" width="2.85546875" style="3" customWidth="1"/>
    <col min="12743" max="12743" width="0.85546875" style="3" customWidth="1"/>
    <col min="12744" max="12744" width="11" style="3"/>
    <col min="12745" max="12745" width="15.42578125" style="3" customWidth="1"/>
    <col min="12746" max="12748" width="14.85546875" style="3" customWidth="1"/>
    <col min="12749" max="12749" width="0.7109375" style="3" customWidth="1"/>
    <col min="12750" max="12750" width="11" style="3"/>
    <col min="12751" max="12751" width="15.7109375" style="3" customWidth="1"/>
    <col min="12752" max="12753" width="14.85546875" style="3" customWidth="1"/>
    <col min="12754" max="12754" width="3.28515625" style="3" customWidth="1"/>
    <col min="12755" max="12755" width="20.140625" style="3" customWidth="1"/>
    <col min="12756" max="12756" width="3.28515625" style="3" customWidth="1"/>
    <col min="12757" max="12761" width="11" style="3"/>
    <col min="12762" max="12774" width="4.7109375" style="3" customWidth="1"/>
    <col min="12775" max="12984" width="11" style="3"/>
    <col min="12985" max="12985" width="0.7109375" style="3" customWidth="1"/>
    <col min="12986" max="12986" width="6.5703125" style="3" customWidth="1"/>
    <col min="12987" max="12987" width="13.5703125" style="3" customWidth="1"/>
    <col min="12988" max="12988" width="13.42578125" style="3" customWidth="1"/>
    <col min="12989" max="12990" width="12.5703125" style="3" customWidth="1"/>
    <col min="12991" max="12991" width="14.85546875" style="3" customWidth="1"/>
    <col min="12992" max="12992" width="20.7109375" style="3" customWidth="1"/>
    <col min="12993" max="12993" width="12.5703125" style="3" customWidth="1"/>
    <col min="12994" max="12994" width="13" style="3" customWidth="1"/>
    <col min="12995" max="12995" width="16" style="3" customWidth="1"/>
    <col min="12996" max="12996" width="6.42578125" style="3" customWidth="1"/>
    <col min="12997" max="12997" width="16" style="3" customWidth="1"/>
    <col min="12998" max="12998" width="2.85546875" style="3" customWidth="1"/>
    <col min="12999" max="12999" width="0.85546875" style="3" customWidth="1"/>
    <col min="13000" max="13000" width="11" style="3"/>
    <col min="13001" max="13001" width="15.42578125" style="3" customWidth="1"/>
    <col min="13002" max="13004" width="14.85546875" style="3" customWidth="1"/>
    <col min="13005" max="13005" width="0.7109375" style="3" customWidth="1"/>
    <col min="13006" max="13006" width="11" style="3"/>
    <col min="13007" max="13007" width="15.7109375" style="3" customWidth="1"/>
    <col min="13008" max="13009" width="14.85546875" style="3" customWidth="1"/>
    <col min="13010" max="13010" width="3.28515625" style="3" customWidth="1"/>
    <col min="13011" max="13011" width="20.140625" style="3" customWidth="1"/>
    <col min="13012" max="13012" width="3.28515625" style="3" customWidth="1"/>
    <col min="13013" max="13017" width="11" style="3"/>
    <col min="13018" max="13030" width="4.7109375" style="3" customWidth="1"/>
    <col min="13031" max="13240" width="11" style="3"/>
    <col min="13241" max="13241" width="0.7109375" style="3" customWidth="1"/>
    <col min="13242" max="13242" width="6.5703125" style="3" customWidth="1"/>
    <col min="13243" max="13243" width="13.5703125" style="3" customWidth="1"/>
    <col min="13244" max="13244" width="13.42578125" style="3" customWidth="1"/>
    <col min="13245" max="13246" width="12.5703125" style="3" customWidth="1"/>
    <col min="13247" max="13247" width="14.85546875" style="3" customWidth="1"/>
    <col min="13248" max="13248" width="20.7109375" style="3" customWidth="1"/>
    <col min="13249" max="13249" width="12.5703125" style="3" customWidth="1"/>
    <col min="13250" max="13250" width="13" style="3" customWidth="1"/>
    <col min="13251" max="13251" width="16" style="3" customWidth="1"/>
    <col min="13252" max="13252" width="6.42578125" style="3" customWidth="1"/>
    <col min="13253" max="13253" width="16" style="3" customWidth="1"/>
    <col min="13254" max="13254" width="2.85546875" style="3" customWidth="1"/>
    <col min="13255" max="13255" width="0.85546875" style="3" customWidth="1"/>
    <col min="13256" max="13256" width="11" style="3"/>
    <col min="13257" max="13257" width="15.42578125" style="3" customWidth="1"/>
    <col min="13258" max="13260" width="14.85546875" style="3" customWidth="1"/>
    <col min="13261" max="13261" width="0.7109375" style="3" customWidth="1"/>
    <col min="13262" max="13262" width="11" style="3"/>
    <col min="13263" max="13263" width="15.7109375" style="3" customWidth="1"/>
    <col min="13264" max="13265" width="14.85546875" style="3" customWidth="1"/>
    <col min="13266" max="13266" width="3.28515625" style="3" customWidth="1"/>
    <col min="13267" max="13267" width="20.140625" style="3" customWidth="1"/>
    <col min="13268" max="13268" width="3.28515625" style="3" customWidth="1"/>
    <col min="13269" max="13273" width="11" style="3"/>
    <col min="13274" max="13286" width="4.7109375" style="3" customWidth="1"/>
    <col min="13287" max="13496" width="11" style="3"/>
    <col min="13497" max="13497" width="0.7109375" style="3" customWidth="1"/>
    <col min="13498" max="13498" width="6.5703125" style="3" customWidth="1"/>
    <col min="13499" max="13499" width="13.5703125" style="3" customWidth="1"/>
    <col min="13500" max="13500" width="13.42578125" style="3" customWidth="1"/>
    <col min="13501" max="13502" width="12.5703125" style="3" customWidth="1"/>
    <col min="13503" max="13503" width="14.85546875" style="3" customWidth="1"/>
    <col min="13504" max="13504" width="20.7109375" style="3" customWidth="1"/>
    <col min="13505" max="13505" width="12.5703125" style="3" customWidth="1"/>
    <col min="13506" max="13506" width="13" style="3" customWidth="1"/>
    <col min="13507" max="13507" width="16" style="3" customWidth="1"/>
    <col min="13508" max="13508" width="6.42578125" style="3" customWidth="1"/>
    <col min="13509" max="13509" width="16" style="3" customWidth="1"/>
    <col min="13510" max="13510" width="2.85546875" style="3" customWidth="1"/>
    <col min="13511" max="13511" width="0.85546875" style="3" customWidth="1"/>
    <col min="13512" max="13512" width="11" style="3"/>
    <col min="13513" max="13513" width="15.42578125" style="3" customWidth="1"/>
    <col min="13514" max="13516" width="14.85546875" style="3" customWidth="1"/>
    <col min="13517" max="13517" width="0.7109375" style="3" customWidth="1"/>
    <col min="13518" max="13518" width="11" style="3"/>
    <col min="13519" max="13519" width="15.7109375" style="3" customWidth="1"/>
    <col min="13520" max="13521" width="14.85546875" style="3" customWidth="1"/>
    <col min="13522" max="13522" width="3.28515625" style="3" customWidth="1"/>
    <col min="13523" max="13523" width="20.140625" style="3" customWidth="1"/>
    <col min="13524" max="13524" width="3.28515625" style="3" customWidth="1"/>
    <col min="13525" max="13529" width="11" style="3"/>
    <col min="13530" max="13542" width="4.7109375" style="3" customWidth="1"/>
    <col min="13543" max="13752" width="11" style="3"/>
    <col min="13753" max="13753" width="0.7109375" style="3" customWidth="1"/>
    <col min="13754" max="13754" width="6.5703125" style="3" customWidth="1"/>
    <col min="13755" max="13755" width="13.5703125" style="3" customWidth="1"/>
    <col min="13756" max="13756" width="13.42578125" style="3" customWidth="1"/>
    <col min="13757" max="13758" width="12.5703125" style="3" customWidth="1"/>
    <col min="13759" max="13759" width="14.85546875" style="3" customWidth="1"/>
    <col min="13760" max="13760" width="20.7109375" style="3" customWidth="1"/>
    <col min="13761" max="13761" width="12.5703125" style="3" customWidth="1"/>
    <col min="13762" max="13762" width="13" style="3" customWidth="1"/>
    <col min="13763" max="13763" width="16" style="3" customWidth="1"/>
    <col min="13764" max="13764" width="6.42578125" style="3" customWidth="1"/>
    <col min="13765" max="13765" width="16" style="3" customWidth="1"/>
    <col min="13766" max="13766" width="2.85546875" style="3" customWidth="1"/>
    <col min="13767" max="13767" width="0.85546875" style="3" customWidth="1"/>
    <col min="13768" max="13768" width="11" style="3"/>
    <col min="13769" max="13769" width="15.42578125" style="3" customWidth="1"/>
    <col min="13770" max="13772" width="14.85546875" style="3" customWidth="1"/>
    <col min="13773" max="13773" width="0.7109375" style="3" customWidth="1"/>
    <col min="13774" max="13774" width="11" style="3"/>
    <col min="13775" max="13775" width="15.7109375" style="3" customWidth="1"/>
    <col min="13776" max="13777" width="14.85546875" style="3" customWidth="1"/>
    <col min="13778" max="13778" width="3.28515625" style="3" customWidth="1"/>
    <col min="13779" max="13779" width="20.140625" style="3" customWidth="1"/>
    <col min="13780" max="13780" width="3.28515625" style="3" customWidth="1"/>
    <col min="13781" max="13785" width="11" style="3"/>
    <col min="13786" max="13798" width="4.7109375" style="3" customWidth="1"/>
    <col min="13799" max="14008" width="11" style="3"/>
    <col min="14009" max="14009" width="0.7109375" style="3" customWidth="1"/>
    <col min="14010" max="14010" width="6.5703125" style="3" customWidth="1"/>
    <col min="14011" max="14011" width="13.5703125" style="3" customWidth="1"/>
    <col min="14012" max="14012" width="13.42578125" style="3" customWidth="1"/>
    <col min="14013" max="14014" width="12.5703125" style="3" customWidth="1"/>
    <col min="14015" max="14015" width="14.85546875" style="3" customWidth="1"/>
    <col min="14016" max="14016" width="20.7109375" style="3" customWidth="1"/>
    <col min="14017" max="14017" width="12.5703125" style="3" customWidth="1"/>
    <col min="14018" max="14018" width="13" style="3" customWidth="1"/>
    <col min="14019" max="14019" width="16" style="3" customWidth="1"/>
    <col min="14020" max="14020" width="6.42578125" style="3" customWidth="1"/>
    <col min="14021" max="14021" width="16" style="3" customWidth="1"/>
    <col min="14022" max="14022" width="2.85546875" style="3" customWidth="1"/>
    <col min="14023" max="14023" width="0.85546875" style="3" customWidth="1"/>
    <col min="14024" max="14024" width="11" style="3"/>
    <col min="14025" max="14025" width="15.42578125" style="3" customWidth="1"/>
    <col min="14026" max="14028" width="14.85546875" style="3" customWidth="1"/>
    <col min="14029" max="14029" width="0.7109375" style="3" customWidth="1"/>
    <col min="14030" max="14030" width="11" style="3"/>
    <col min="14031" max="14031" width="15.7109375" style="3" customWidth="1"/>
    <col min="14032" max="14033" width="14.85546875" style="3" customWidth="1"/>
    <col min="14034" max="14034" width="3.28515625" style="3" customWidth="1"/>
    <col min="14035" max="14035" width="20.140625" style="3" customWidth="1"/>
    <col min="14036" max="14036" width="3.28515625" style="3" customWidth="1"/>
    <col min="14037" max="14041" width="11" style="3"/>
    <col min="14042" max="14054" width="4.7109375" style="3" customWidth="1"/>
    <col min="14055" max="14264" width="11" style="3"/>
    <col min="14265" max="14265" width="0.7109375" style="3" customWidth="1"/>
    <col min="14266" max="14266" width="6.5703125" style="3" customWidth="1"/>
    <col min="14267" max="14267" width="13.5703125" style="3" customWidth="1"/>
    <col min="14268" max="14268" width="13.42578125" style="3" customWidth="1"/>
    <col min="14269" max="14270" width="12.5703125" style="3" customWidth="1"/>
    <col min="14271" max="14271" width="14.85546875" style="3" customWidth="1"/>
    <col min="14272" max="14272" width="20.7109375" style="3" customWidth="1"/>
    <col min="14273" max="14273" width="12.5703125" style="3" customWidth="1"/>
    <col min="14274" max="14274" width="13" style="3" customWidth="1"/>
    <col min="14275" max="14275" width="16" style="3" customWidth="1"/>
    <col min="14276" max="14276" width="6.42578125" style="3" customWidth="1"/>
    <col min="14277" max="14277" width="16" style="3" customWidth="1"/>
    <col min="14278" max="14278" width="2.85546875" style="3" customWidth="1"/>
    <col min="14279" max="14279" width="0.85546875" style="3" customWidth="1"/>
    <col min="14280" max="14280" width="11" style="3"/>
    <col min="14281" max="14281" width="15.42578125" style="3" customWidth="1"/>
    <col min="14282" max="14284" width="14.85546875" style="3" customWidth="1"/>
    <col min="14285" max="14285" width="0.7109375" style="3" customWidth="1"/>
    <col min="14286" max="14286" width="11" style="3"/>
    <col min="14287" max="14287" width="15.7109375" style="3" customWidth="1"/>
    <col min="14288" max="14289" width="14.85546875" style="3" customWidth="1"/>
    <col min="14290" max="14290" width="3.28515625" style="3" customWidth="1"/>
    <col min="14291" max="14291" width="20.140625" style="3" customWidth="1"/>
    <col min="14292" max="14292" width="3.28515625" style="3" customWidth="1"/>
    <col min="14293" max="14297" width="11" style="3"/>
    <col min="14298" max="14310" width="4.7109375" style="3" customWidth="1"/>
    <col min="14311" max="14520" width="11" style="3"/>
    <col min="14521" max="14521" width="0.7109375" style="3" customWidth="1"/>
    <col min="14522" max="14522" width="6.5703125" style="3" customWidth="1"/>
    <col min="14523" max="14523" width="13.5703125" style="3" customWidth="1"/>
    <col min="14524" max="14524" width="13.42578125" style="3" customWidth="1"/>
    <col min="14525" max="14526" width="12.5703125" style="3" customWidth="1"/>
    <col min="14527" max="14527" width="14.85546875" style="3" customWidth="1"/>
    <col min="14528" max="14528" width="20.7109375" style="3" customWidth="1"/>
    <col min="14529" max="14529" width="12.5703125" style="3" customWidth="1"/>
    <col min="14530" max="14530" width="13" style="3" customWidth="1"/>
    <col min="14531" max="14531" width="16" style="3" customWidth="1"/>
    <col min="14532" max="14532" width="6.42578125" style="3" customWidth="1"/>
    <col min="14533" max="14533" width="16" style="3" customWidth="1"/>
    <col min="14534" max="14534" width="2.85546875" style="3" customWidth="1"/>
    <col min="14535" max="14535" width="0.85546875" style="3" customWidth="1"/>
    <col min="14536" max="14536" width="11" style="3"/>
    <col min="14537" max="14537" width="15.42578125" style="3" customWidth="1"/>
    <col min="14538" max="14540" width="14.85546875" style="3" customWidth="1"/>
    <col min="14541" max="14541" width="0.7109375" style="3" customWidth="1"/>
    <col min="14542" max="14542" width="11" style="3"/>
    <col min="14543" max="14543" width="15.7109375" style="3" customWidth="1"/>
    <col min="14544" max="14545" width="14.85546875" style="3" customWidth="1"/>
    <col min="14546" max="14546" width="3.28515625" style="3" customWidth="1"/>
    <col min="14547" max="14547" width="20.140625" style="3" customWidth="1"/>
    <col min="14548" max="14548" width="3.28515625" style="3" customWidth="1"/>
    <col min="14549" max="14553" width="11" style="3"/>
    <col min="14554" max="14566" width="4.7109375" style="3" customWidth="1"/>
    <col min="14567" max="14776" width="11" style="3"/>
    <col min="14777" max="14777" width="0.7109375" style="3" customWidth="1"/>
    <col min="14778" max="14778" width="6.5703125" style="3" customWidth="1"/>
    <col min="14779" max="14779" width="13.5703125" style="3" customWidth="1"/>
    <col min="14780" max="14780" width="13.42578125" style="3" customWidth="1"/>
    <col min="14781" max="14782" width="12.5703125" style="3" customWidth="1"/>
    <col min="14783" max="14783" width="14.85546875" style="3" customWidth="1"/>
    <col min="14784" max="14784" width="20.7109375" style="3" customWidth="1"/>
    <col min="14785" max="14785" width="12.5703125" style="3" customWidth="1"/>
    <col min="14786" max="14786" width="13" style="3" customWidth="1"/>
    <col min="14787" max="14787" width="16" style="3" customWidth="1"/>
    <col min="14788" max="14788" width="6.42578125" style="3" customWidth="1"/>
    <col min="14789" max="14789" width="16" style="3" customWidth="1"/>
    <col min="14790" max="14790" width="2.85546875" style="3" customWidth="1"/>
    <col min="14791" max="14791" width="0.85546875" style="3" customWidth="1"/>
    <col min="14792" max="14792" width="11" style="3"/>
    <col min="14793" max="14793" width="15.42578125" style="3" customWidth="1"/>
    <col min="14794" max="14796" width="14.85546875" style="3" customWidth="1"/>
    <col min="14797" max="14797" width="0.7109375" style="3" customWidth="1"/>
    <col min="14798" max="14798" width="11" style="3"/>
    <col min="14799" max="14799" width="15.7109375" style="3" customWidth="1"/>
    <col min="14800" max="14801" width="14.85546875" style="3" customWidth="1"/>
    <col min="14802" max="14802" width="3.28515625" style="3" customWidth="1"/>
    <col min="14803" max="14803" width="20.140625" style="3" customWidth="1"/>
    <col min="14804" max="14804" width="3.28515625" style="3" customWidth="1"/>
    <col min="14805" max="14809" width="11" style="3"/>
    <col min="14810" max="14822" width="4.7109375" style="3" customWidth="1"/>
    <col min="14823" max="15032" width="11" style="3"/>
    <col min="15033" max="15033" width="0.7109375" style="3" customWidth="1"/>
    <col min="15034" max="15034" width="6.5703125" style="3" customWidth="1"/>
    <col min="15035" max="15035" width="13.5703125" style="3" customWidth="1"/>
    <col min="15036" max="15036" width="13.42578125" style="3" customWidth="1"/>
    <col min="15037" max="15038" width="12.5703125" style="3" customWidth="1"/>
    <col min="15039" max="15039" width="14.85546875" style="3" customWidth="1"/>
    <col min="15040" max="15040" width="20.7109375" style="3" customWidth="1"/>
    <col min="15041" max="15041" width="12.5703125" style="3" customWidth="1"/>
    <col min="15042" max="15042" width="13" style="3" customWidth="1"/>
    <col min="15043" max="15043" width="16" style="3" customWidth="1"/>
    <col min="15044" max="15044" width="6.42578125" style="3" customWidth="1"/>
    <col min="15045" max="15045" width="16" style="3" customWidth="1"/>
    <col min="15046" max="15046" width="2.85546875" style="3" customWidth="1"/>
    <col min="15047" max="15047" width="0.85546875" style="3" customWidth="1"/>
    <col min="15048" max="15048" width="11" style="3"/>
    <col min="15049" max="15049" width="15.42578125" style="3" customWidth="1"/>
    <col min="15050" max="15052" width="14.85546875" style="3" customWidth="1"/>
    <col min="15053" max="15053" width="0.7109375" style="3" customWidth="1"/>
    <col min="15054" max="15054" width="11" style="3"/>
    <col min="15055" max="15055" width="15.7109375" style="3" customWidth="1"/>
    <col min="15056" max="15057" width="14.85546875" style="3" customWidth="1"/>
    <col min="15058" max="15058" width="3.28515625" style="3" customWidth="1"/>
    <col min="15059" max="15059" width="20.140625" style="3" customWidth="1"/>
    <col min="15060" max="15060" width="3.28515625" style="3" customWidth="1"/>
    <col min="15061" max="15065" width="11" style="3"/>
    <col min="15066" max="15078" width="4.7109375" style="3" customWidth="1"/>
    <col min="15079" max="15288" width="11" style="3"/>
    <col min="15289" max="15289" width="0.7109375" style="3" customWidth="1"/>
    <col min="15290" max="15290" width="6.5703125" style="3" customWidth="1"/>
    <col min="15291" max="15291" width="13.5703125" style="3" customWidth="1"/>
    <col min="15292" max="15292" width="13.42578125" style="3" customWidth="1"/>
    <col min="15293" max="15294" width="12.5703125" style="3" customWidth="1"/>
    <col min="15295" max="15295" width="14.85546875" style="3" customWidth="1"/>
    <col min="15296" max="15296" width="20.7109375" style="3" customWidth="1"/>
    <col min="15297" max="15297" width="12.5703125" style="3" customWidth="1"/>
    <col min="15298" max="15298" width="13" style="3" customWidth="1"/>
    <col min="15299" max="15299" width="16" style="3" customWidth="1"/>
    <col min="15300" max="15300" width="6.42578125" style="3" customWidth="1"/>
    <col min="15301" max="15301" width="16" style="3" customWidth="1"/>
    <col min="15302" max="15302" width="2.85546875" style="3" customWidth="1"/>
    <col min="15303" max="15303" width="0.85546875" style="3" customWidth="1"/>
    <col min="15304" max="15304" width="11" style="3"/>
    <col min="15305" max="15305" width="15.42578125" style="3" customWidth="1"/>
    <col min="15306" max="15308" width="14.85546875" style="3" customWidth="1"/>
    <col min="15309" max="15309" width="0.7109375" style="3" customWidth="1"/>
    <col min="15310" max="15310" width="11" style="3"/>
    <col min="15311" max="15311" width="15.7109375" style="3" customWidth="1"/>
    <col min="15312" max="15313" width="14.85546875" style="3" customWidth="1"/>
    <col min="15314" max="15314" width="3.28515625" style="3" customWidth="1"/>
    <col min="15315" max="15315" width="20.140625" style="3" customWidth="1"/>
    <col min="15316" max="15316" width="3.28515625" style="3" customWidth="1"/>
    <col min="15317" max="15321" width="11" style="3"/>
    <col min="15322" max="15334" width="4.7109375" style="3" customWidth="1"/>
    <col min="15335" max="15544" width="11" style="3"/>
    <col min="15545" max="15545" width="0.7109375" style="3" customWidth="1"/>
    <col min="15546" max="15546" width="6.5703125" style="3" customWidth="1"/>
    <col min="15547" max="15547" width="13.5703125" style="3" customWidth="1"/>
    <col min="15548" max="15548" width="13.42578125" style="3" customWidth="1"/>
    <col min="15549" max="15550" width="12.5703125" style="3" customWidth="1"/>
    <col min="15551" max="15551" width="14.85546875" style="3" customWidth="1"/>
    <col min="15552" max="15552" width="20.7109375" style="3" customWidth="1"/>
    <col min="15553" max="15553" width="12.5703125" style="3" customWidth="1"/>
    <col min="15554" max="15554" width="13" style="3" customWidth="1"/>
    <col min="15555" max="15555" width="16" style="3" customWidth="1"/>
    <col min="15556" max="15556" width="6.42578125" style="3" customWidth="1"/>
    <col min="15557" max="15557" width="16" style="3" customWidth="1"/>
    <col min="15558" max="15558" width="2.85546875" style="3" customWidth="1"/>
    <col min="15559" max="15559" width="0.85546875" style="3" customWidth="1"/>
    <col min="15560" max="15560" width="11" style="3"/>
    <col min="15561" max="15561" width="15.42578125" style="3" customWidth="1"/>
    <col min="15562" max="15564" width="14.85546875" style="3" customWidth="1"/>
    <col min="15565" max="15565" width="0.7109375" style="3" customWidth="1"/>
    <col min="15566" max="15566" width="11" style="3"/>
    <col min="15567" max="15567" width="15.7109375" style="3" customWidth="1"/>
    <col min="15568" max="15569" width="14.85546875" style="3" customWidth="1"/>
    <col min="15570" max="15570" width="3.28515625" style="3" customWidth="1"/>
    <col min="15571" max="15571" width="20.140625" style="3" customWidth="1"/>
    <col min="15572" max="15572" width="3.28515625" style="3" customWidth="1"/>
    <col min="15573" max="15577" width="11" style="3"/>
    <col min="15578" max="15590" width="4.7109375" style="3" customWidth="1"/>
    <col min="15591" max="15800" width="11" style="3"/>
    <col min="15801" max="15801" width="0.7109375" style="3" customWidth="1"/>
    <col min="15802" max="15802" width="6.5703125" style="3" customWidth="1"/>
    <col min="15803" max="15803" width="13.5703125" style="3" customWidth="1"/>
    <col min="15804" max="15804" width="13.42578125" style="3" customWidth="1"/>
    <col min="15805" max="15806" width="12.5703125" style="3" customWidth="1"/>
    <col min="15807" max="15807" width="14.85546875" style="3" customWidth="1"/>
    <col min="15808" max="15808" width="20.7109375" style="3" customWidth="1"/>
    <col min="15809" max="15809" width="12.5703125" style="3" customWidth="1"/>
    <col min="15810" max="15810" width="13" style="3" customWidth="1"/>
    <col min="15811" max="15811" width="16" style="3" customWidth="1"/>
    <col min="15812" max="15812" width="6.42578125" style="3" customWidth="1"/>
    <col min="15813" max="15813" width="16" style="3" customWidth="1"/>
    <col min="15814" max="15814" width="2.85546875" style="3" customWidth="1"/>
    <col min="15815" max="15815" width="0.85546875" style="3" customWidth="1"/>
    <col min="15816" max="15816" width="11" style="3"/>
    <col min="15817" max="15817" width="15.42578125" style="3" customWidth="1"/>
    <col min="15818" max="15820" width="14.85546875" style="3" customWidth="1"/>
    <col min="15821" max="15821" width="0.7109375" style="3" customWidth="1"/>
    <col min="15822" max="15822" width="11" style="3"/>
    <col min="15823" max="15823" width="15.7109375" style="3" customWidth="1"/>
    <col min="15824" max="15825" width="14.85546875" style="3" customWidth="1"/>
    <col min="15826" max="15826" width="3.28515625" style="3" customWidth="1"/>
    <col min="15827" max="15827" width="20.140625" style="3" customWidth="1"/>
    <col min="15828" max="15828" width="3.28515625" style="3" customWidth="1"/>
    <col min="15829" max="15833" width="11" style="3"/>
    <col min="15834" max="15846" width="4.7109375" style="3" customWidth="1"/>
    <col min="15847" max="16056" width="11" style="3"/>
    <col min="16057" max="16057" width="0.7109375" style="3" customWidth="1"/>
    <col min="16058" max="16058" width="6.5703125" style="3" customWidth="1"/>
    <col min="16059" max="16059" width="13.5703125" style="3" customWidth="1"/>
    <col min="16060" max="16060" width="13.42578125" style="3" customWidth="1"/>
    <col min="16061" max="16062" width="12.5703125" style="3" customWidth="1"/>
    <col min="16063" max="16063" width="14.85546875" style="3" customWidth="1"/>
    <col min="16064" max="16064" width="20.7109375" style="3" customWidth="1"/>
    <col min="16065" max="16065" width="12.5703125" style="3" customWidth="1"/>
    <col min="16066" max="16066" width="13" style="3" customWidth="1"/>
    <col min="16067" max="16067" width="16" style="3" customWidth="1"/>
    <col min="16068" max="16068" width="6.42578125" style="3" customWidth="1"/>
    <col min="16069" max="16069" width="16" style="3" customWidth="1"/>
    <col min="16070" max="16070" width="2.85546875" style="3" customWidth="1"/>
    <col min="16071" max="16071" width="0.85546875" style="3" customWidth="1"/>
    <col min="16072" max="16072" width="11" style="3"/>
    <col min="16073" max="16073" width="15.42578125" style="3" customWidth="1"/>
    <col min="16074" max="16076" width="14.85546875" style="3" customWidth="1"/>
    <col min="16077" max="16077" width="0.7109375" style="3" customWidth="1"/>
    <col min="16078" max="16078" width="11" style="3"/>
    <col min="16079" max="16079" width="15.7109375" style="3" customWidth="1"/>
    <col min="16080" max="16081" width="14.85546875" style="3" customWidth="1"/>
    <col min="16082" max="16082" width="3.28515625" style="3" customWidth="1"/>
    <col min="16083" max="16083" width="20.140625" style="3" customWidth="1"/>
    <col min="16084" max="16084" width="3.28515625" style="3" customWidth="1"/>
    <col min="16085" max="16089" width="11" style="3"/>
    <col min="16090" max="16102" width="4.7109375" style="3" customWidth="1"/>
    <col min="16103" max="16384" width="11" style="3"/>
  </cols>
  <sheetData>
    <row r="1" spans="1:28" s="1" customFormat="1" ht="19.5" customHeight="1">
      <c r="A1" s="236"/>
      <c r="B1" s="237"/>
      <c r="C1" s="179" t="s">
        <v>0</v>
      </c>
      <c r="D1" s="179"/>
      <c r="E1" s="179"/>
      <c r="F1" s="179"/>
      <c r="G1" s="179"/>
      <c r="H1" s="179"/>
      <c r="I1" s="179"/>
      <c r="J1" s="179"/>
      <c r="K1" s="180" t="s">
        <v>1</v>
      </c>
      <c r="L1" s="181"/>
      <c r="O1" s="80"/>
      <c r="P1" s="80"/>
      <c r="Q1" s="80"/>
      <c r="R1" s="80"/>
      <c r="S1" s="80"/>
      <c r="T1" s="80"/>
      <c r="U1" s="80"/>
      <c r="V1" s="80"/>
      <c r="W1" s="80"/>
      <c r="X1" s="80"/>
      <c r="Y1" s="80"/>
      <c r="Z1" s="80"/>
      <c r="AA1" s="80"/>
    </row>
    <row r="2" spans="1:28" s="1" customFormat="1" ht="19.5" customHeight="1">
      <c r="A2" s="238"/>
      <c r="B2" s="186"/>
      <c r="C2" s="241" t="s">
        <v>2</v>
      </c>
      <c r="D2" s="241"/>
      <c r="E2" s="241"/>
      <c r="F2" s="241"/>
      <c r="G2" s="241"/>
      <c r="H2" s="241"/>
      <c r="I2" s="241"/>
      <c r="J2" s="241"/>
      <c r="K2" s="182" t="s">
        <v>89</v>
      </c>
      <c r="L2" s="183"/>
      <c r="O2" s="80"/>
      <c r="P2" s="80"/>
      <c r="Q2" s="80"/>
      <c r="R2" s="80"/>
      <c r="S2" s="80"/>
      <c r="T2" s="80"/>
      <c r="U2" s="80"/>
      <c r="V2" s="80"/>
      <c r="W2" s="80"/>
      <c r="X2" s="80"/>
      <c r="Y2" s="80"/>
      <c r="Z2" s="80"/>
      <c r="AA2" s="80"/>
    </row>
    <row r="3" spans="1:28" s="1" customFormat="1" ht="19.5" customHeight="1">
      <c r="A3" s="238"/>
      <c r="B3" s="186"/>
      <c r="C3" s="241"/>
      <c r="D3" s="241"/>
      <c r="E3" s="241"/>
      <c r="F3" s="241"/>
      <c r="G3" s="241"/>
      <c r="H3" s="241"/>
      <c r="I3" s="241"/>
      <c r="J3" s="241"/>
      <c r="K3" s="182" t="s">
        <v>3</v>
      </c>
      <c r="L3" s="183"/>
      <c r="Q3" s="132"/>
      <c r="R3" s="80"/>
      <c r="T3" s="132" t="s">
        <v>4</v>
      </c>
      <c r="U3" s="132"/>
      <c r="V3" s="80"/>
      <c r="W3" s="80"/>
      <c r="X3" s="80"/>
      <c r="Y3" s="80"/>
      <c r="Z3" s="80"/>
      <c r="AA3" s="80"/>
    </row>
    <row r="4" spans="1:28" s="1" customFormat="1" ht="19.5" customHeight="1" thickBot="1">
      <c r="A4" s="239"/>
      <c r="B4" s="240"/>
      <c r="C4" s="242"/>
      <c r="D4" s="242"/>
      <c r="E4" s="242"/>
      <c r="F4" s="242"/>
      <c r="G4" s="242"/>
      <c r="H4" s="242"/>
      <c r="I4" s="242"/>
      <c r="J4" s="242"/>
      <c r="K4" s="184" t="s">
        <v>88</v>
      </c>
      <c r="L4" s="185"/>
      <c r="Q4" s="132"/>
      <c r="R4" s="80"/>
      <c r="S4" s="132"/>
      <c r="T4" s="132"/>
      <c r="U4" s="132"/>
      <c r="V4" s="80"/>
      <c r="W4" s="80"/>
      <c r="X4" s="80"/>
      <c r="Y4" s="80"/>
      <c r="Z4" s="80"/>
      <c r="AA4" s="80"/>
    </row>
    <row r="5" spans="1:28" s="1" customFormat="1" ht="3.95" customHeight="1" thickBot="1">
      <c r="A5" s="5"/>
      <c r="B5" s="186"/>
      <c r="C5" s="186"/>
      <c r="D5" s="186"/>
      <c r="E5" s="186"/>
      <c r="F5" s="186"/>
      <c r="G5" s="186"/>
      <c r="H5" s="186"/>
      <c r="I5" s="186"/>
      <c r="J5" s="186"/>
      <c r="K5" s="186"/>
      <c r="L5" s="81"/>
      <c r="Q5" s="132"/>
      <c r="R5" s="132"/>
      <c r="T5" s="132"/>
      <c r="U5" s="132"/>
      <c r="V5" s="80"/>
      <c r="W5" s="80"/>
      <c r="X5" s="80"/>
      <c r="Y5" s="80"/>
      <c r="Z5" s="80"/>
      <c r="AA5" s="80"/>
      <c r="AB5" s="80"/>
    </row>
    <row r="6" spans="1:28" s="1" customFormat="1" ht="22.5" customHeight="1">
      <c r="A6" s="6"/>
      <c r="B6" s="7" t="s">
        <v>5</v>
      </c>
      <c r="C6" s="273" t="s">
        <v>91</v>
      </c>
      <c r="D6" s="273"/>
      <c r="E6" s="273"/>
      <c r="F6" s="273"/>
      <c r="G6" s="273"/>
      <c r="H6" s="188" t="s">
        <v>6</v>
      </c>
      <c r="I6" s="188"/>
      <c r="J6" s="189">
        <v>45884</v>
      </c>
      <c r="K6" s="189"/>
      <c r="L6" s="190"/>
      <c r="Q6" s="80"/>
      <c r="R6" s="80"/>
      <c r="T6" s="133" t="s">
        <v>7</v>
      </c>
      <c r="U6" s="80"/>
      <c r="V6" s="80"/>
      <c r="W6" s="80"/>
      <c r="X6" s="80"/>
      <c r="Y6" s="80"/>
      <c r="Z6" s="80"/>
      <c r="AA6" s="80"/>
      <c r="AB6" s="80"/>
    </row>
    <row r="7" spans="1:28" s="1" customFormat="1" ht="24.75" customHeight="1">
      <c r="A7" s="5"/>
      <c r="B7" s="9" t="s">
        <v>8</v>
      </c>
      <c r="C7" s="274" t="s">
        <v>92</v>
      </c>
      <c r="D7" s="274"/>
      <c r="E7" s="274"/>
      <c r="F7" s="274"/>
      <c r="G7" s="274"/>
      <c r="H7" s="192" t="s">
        <v>9</v>
      </c>
      <c r="I7" s="192"/>
      <c r="J7" s="193">
        <v>45937</v>
      </c>
      <c r="K7" s="193"/>
      <c r="L7" s="194"/>
      <c r="Q7" s="80"/>
      <c r="R7" s="80"/>
      <c r="T7" s="133" t="s">
        <v>10</v>
      </c>
      <c r="U7" s="80"/>
      <c r="V7" s="80"/>
      <c r="W7" s="80"/>
      <c r="X7" s="80"/>
      <c r="Y7" s="80"/>
      <c r="Z7" s="80"/>
      <c r="AA7" s="80"/>
      <c r="AB7" s="80"/>
    </row>
    <row r="8" spans="1:28" s="1" customFormat="1" ht="22.5" customHeight="1">
      <c r="A8" s="5"/>
      <c r="B8" s="9" t="s">
        <v>11</v>
      </c>
      <c r="C8" s="271" t="s">
        <v>12</v>
      </c>
      <c r="D8" s="272"/>
      <c r="E8" s="272"/>
      <c r="F8" s="272"/>
      <c r="G8" s="272"/>
      <c r="H8" s="192" t="s">
        <v>13</v>
      </c>
      <c r="I8" s="192"/>
      <c r="J8" s="193">
        <v>45968</v>
      </c>
      <c r="K8" s="193"/>
      <c r="L8" s="194"/>
      <c r="Q8" s="80"/>
      <c r="R8" s="80"/>
      <c r="S8" s="1">
        <f>17-2.57</f>
        <v>14.43</v>
      </c>
      <c r="T8" s="133" t="s">
        <v>14</v>
      </c>
      <c r="U8" s="80"/>
      <c r="V8" s="80"/>
      <c r="W8" s="80"/>
      <c r="X8" s="80"/>
      <c r="Y8" s="80"/>
      <c r="Z8" s="80"/>
      <c r="AA8" s="80"/>
      <c r="AB8" s="80"/>
    </row>
    <row r="9" spans="1:28" s="1" customFormat="1" ht="22.5" customHeight="1">
      <c r="A9" s="5"/>
      <c r="B9" s="9" t="s">
        <v>15</v>
      </c>
      <c r="C9" s="202" t="s">
        <v>93</v>
      </c>
      <c r="D9" s="202"/>
      <c r="E9" s="202"/>
      <c r="F9" s="202"/>
      <c r="G9" s="202"/>
      <c r="H9" s="192" t="s">
        <v>16</v>
      </c>
      <c r="I9" s="192"/>
      <c r="J9" s="82" t="s">
        <v>17</v>
      </c>
      <c r="K9" s="83" t="s">
        <v>90</v>
      </c>
      <c r="L9" s="84" t="s">
        <v>85</v>
      </c>
      <c r="Q9" s="80"/>
      <c r="R9" s="80"/>
      <c r="T9" s="133" t="s">
        <v>18</v>
      </c>
      <c r="U9" s="80"/>
      <c r="V9" s="80"/>
      <c r="W9" s="80"/>
      <c r="X9" s="80"/>
      <c r="Y9" s="80"/>
      <c r="Z9" s="80"/>
      <c r="AA9" s="80"/>
      <c r="AB9" s="80"/>
    </row>
    <row r="10" spans="1:28" s="1" customFormat="1" ht="22.5" customHeight="1">
      <c r="A10" s="5"/>
      <c r="B10" s="10" t="s">
        <v>19</v>
      </c>
      <c r="C10" s="202" t="s">
        <v>20</v>
      </c>
      <c r="D10" s="202"/>
      <c r="E10" s="202"/>
      <c r="F10" s="202"/>
      <c r="G10" s="202"/>
      <c r="H10" s="196" t="s">
        <v>21</v>
      </c>
      <c r="I10" s="196"/>
      <c r="J10" s="197" t="str">
        <f>CONCATENATE(K9,," ",L9,"-",D12,"-",F12)</f>
        <v>056 25-:T-CALEÑAS AP4-2</v>
      </c>
      <c r="K10" s="197"/>
      <c r="L10" s="198"/>
      <c r="Q10" s="80"/>
      <c r="R10" s="80"/>
      <c r="T10" s="133" t="s">
        <v>22</v>
      </c>
      <c r="U10" s="80"/>
      <c r="V10" s="80"/>
      <c r="W10" s="80"/>
      <c r="X10" s="80"/>
      <c r="Y10" s="80"/>
      <c r="Z10" s="80"/>
      <c r="AA10" s="80"/>
      <c r="AB10" s="80"/>
    </row>
    <row r="11" spans="1:28" s="1" customFormat="1" ht="3.95" customHeight="1" thickBot="1">
      <c r="A11" s="11"/>
      <c r="B11" s="199"/>
      <c r="C11" s="199"/>
      <c r="D11" s="199"/>
      <c r="E11" s="199"/>
      <c r="F11" s="199"/>
      <c r="G11" s="199"/>
      <c r="H11" s="199"/>
      <c r="I11" s="199"/>
      <c r="J11" s="199"/>
      <c r="K11" s="199"/>
      <c r="L11" s="85"/>
      <c r="Q11" s="80"/>
      <c r="R11" s="80"/>
      <c r="T11" s="133"/>
      <c r="U11" s="80"/>
      <c r="V11" s="80"/>
      <c r="W11" s="80"/>
      <c r="X11" s="80"/>
      <c r="Y11" s="80"/>
      <c r="Z11" s="80"/>
      <c r="AA11" s="80"/>
      <c r="AB11" s="80"/>
    </row>
    <row r="12" spans="1:28" s="1" customFormat="1" ht="22.5" customHeight="1">
      <c r="A12" s="6"/>
      <c r="B12" s="7" t="s">
        <v>23</v>
      </c>
      <c r="C12" s="12" t="s">
        <v>10</v>
      </c>
      <c r="D12" s="13" t="s">
        <v>125</v>
      </c>
      <c r="E12" s="14" t="s">
        <v>24</v>
      </c>
      <c r="F12" s="200">
        <v>2</v>
      </c>
      <c r="G12" s="200"/>
      <c r="H12" s="201" t="s">
        <v>25</v>
      </c>
      <c r="I12" s="201"/>
      <c r="J12" s="86">
        <v>1.2</v>
      </c>
      <c r="K12" s="87" t="s">
        <v>26</v>
      </c>
      <c r="L12" s="88">
        <v>1.5</v>
      </c>
      <c r="Q12" s="80"/>
      <c r="R12" s="80"/>
      <c r="T12" s="133"/>
      <c r="U12" s="80"/>
      <c r="V12" s="80"/>
      <c r="W12" s="80"/>
      <c r="X12" s="80"/>
      <c r="Y12" s="80"/>
      <c r="Z12" s="80"/>
      <c r="AA12" s="80"/>
      <c r="AB12" s="80"/>
    </row>
    <row r="13" spans="1:28" s="1" customFormat="1" ht="22.5" customHeight="1">
      <c r="A13" s="5"/>
      <c r="B13" s="9" t="s">
        <v>27</v>
      </c>
      <c r="C13" s="202" t="s">
        <v>134</v>
      </c>
      <c r="D13" s="202"/>
      <c r="E13" s="202"/>
      <c r="F13" s="202"/>
      <c r="G13" s="202"/>
      <c r="H13" s="202"/>
      <c r="I13" s="202"/>
      <c r="J13" s="202"/>
      <c r="K13" s="202"/>
      <c r="L13" s="203"/>
      <c r="O13" s="1">
        <f>-MOD1</f>
        <v>0</v>
      </c>
      <c r="Q13" s="80"/>
      <c r="R13" s="80"/>
      <c r="T13" s="133"/>
      <c r="U13" s="80"/>
      <c r="V13" s="80"/>
      <c r="W13" s="80"/>
      <c r="X13" s="80"/>
      <c r="Y13" s="80"/>
      <c r="Z13" s="80"/>
      <c r="AA13" s="80"/>
      <c r="AB13" s="80"/>
    </row>
    <row r="14" spans="1:28" s="1" customFormat="1" ht="6.95" customHeight="1" thickBot="1">
      <c r="A14" s="11"/>
      <c r="B14" s="15"/>
      <c r="C14" s="16"/>
      <c r="D14" s="16"/>
      <c r="E14" s="16"/>
      <c r="F14" s="16"/>
      <c r="G14" s="16"/>
      <c r="H14" s="16"/>
      <c r="I14" s="16"/>
      <c r="J14" s="16"/>
      <c r="K14" s="16"/>
      <c r="L14" s="89"/>
      <c r="P14" s="80"/>
      <c r="Q14" s="80"/>
      <c r="R14" s="80"/>
      <c r="S14" s="80"/>
      <c r="T14" s="80"/>
      <c r="U14" s="80"/>
      <c r="V14" s="80"/>
      <c r="W14" s="80"/>
      <c r="X14" s="80"/>
      <c r="Y14" s="80"/>
      <c r="Z14" s="80"/>
      <c r="AA14" s="80"/>
      <c r="AB14" s="80"/>
    </row>
    <row r="15" spans="1:28" ht="14.25" customHeight="1" thickBot="1">
      <c r="A15" s="17"/>
      <c r="B15" s="18"/>
      <c r="C15" s="18"/>
      <c r="D15" s="18"/>
      <c r="E15" s="18"/>
      <c r="F15" s="18"/>
      <c r="G15" s="18"/>
      <c r="H15" s="18"/>
      <c r="I15" s="18"/>
      <c r="J15" s="18"/>
      <c r="K15" s="18"/>
      <c r="L15" s="90"/>
    </row>
    <row r="16" spans="1:28" ht="22.5" customHeight="1" thickBot="1">
      <c r="A16" s="204"/>
      <c r="B16" s="205"/>
      <c r="C16" s="205"/>
      <c r="D16" s="205"/>
      <c r="E16" s="205"/>
      <c r="F16" s="205"/>
      <c r="G16" s="205"/>
      <c r="H16" s="205"/>
      <c r="I16" s="205"/>
      <c r="J16" s="205"/>
      <c r="K16" s="205"/>
      <c r="L16" s="206"/>
    </row>
    <row r="17" spans="1:19" ht="22.5" customHeight="1" thickBot="1">
      <c r="A17" s="17"/>
      <c r="B17" s="18"/>
      <c r="C17" s="18"/>
      <c r="D17" s="18"/>
      <c r="E17" s="18"/>
      <c r="F17" s="18"/>
      <c r="G17" s="19"/>
      <c r="H17" s="19"/>
      <c r="I17" s="19"/>
      <c r="J17" s="19"/>
      <c r="K17" s="19"/>
      <c r="L17" s="91"/>
    </row>
    <row r="18" spans="1:19" s="2" customFormat="1" ht="22.5" customHeight="1" thickBot="1">
      <c r="A18" s="207" t="s">
        <v>28</v>
      </c>
      <c r="B18" s="208"/>
      <c r="C18" s="208"/>
      <c r="D18" s="208"/>
      <c r="E18" s="209"/>
      <c r="F18" s="20"/>
      <c r="G18" s="207" t="s">
        <v>28</v>
      </c>
      <c r="H18" s="208"/>
      <c r="I18" s="208"/>
      <c r="J18" s="208"/>
      <c r="K18" s="208"/>
      <c r="L18" s="209"/>
      <c r="O18" s="92"/>
    </row>
    <row r="19" spans="1:19" s="2" customFormat="1" ht="27.75" customHeight="1" thickBot="1">
      <c r="A19" s="210"/>
      <c r="B19" s="211"/>
      <c r="C19" s="211"/>
      <c r="D19" s="22" t="s">
        <v>29</v>
      </c>
      <c r="E19" s="23" t="s">
        <v>30</v>
      </c>
      <c r="F19" s="24"/>
      <c r="G19" s="243" t="s">
        <v>31</v>
      </c>
      <c r="H19" s="244"/>
      <c r="I19" s="212" t="s">
        <v>32</v>
      </c>
      <c r="J19" s="213"/>
      <c r="K19" s="214" t="s">
        <v>33</v>
      </c>
      <c r="L19" s="215"/>
    </row>
    <row r="20" spans="1:19" s="2" customFormat="1" ht="22.5" customHeight="1">
      <c r="A20" s="216" t="s">
        <v>34</v>
      </c>
      <c r="B20" s="217"/>
      <c r="C20" s="25"/>
      <c r="D20" s="26">
        <v>712</v>
      </c>
      <c r="E20" s="27">
        <f>D20</f>
        <v>712</v>
      </c>
      <c r="F20" s="28"/>
      <c r="G20" s="245"/>
      <c r="H20" s="246"/>
      <c r="I20" s="93" t="s">
        <v>35</v>
      </c>
      <c r="J20" s="168" t="s">
        <v>36</v>
      </c>
      <c r="K20" s="95" t="s">
        <v>37</v>
      </c>
      <c r="L20" s="150" t="s">
        <v>36</v>
      </c>
      <c r="N20" s="92"/>
    </row>
    <row r="21" spans="1:19" s="2" customFormat="1" ht="22.5" customHeight="1">
      <c r="A21" s="216" t="s">
        <v>38</v>
      </c>
      <c r="B21" s="217"/>
      <c r="C21" s="25" t="s">
        <v>39</v>
      </c>
      <c r="D21" s="160">
        <v>15.3</v>
      </c>
      <c r="E21" s="161">
        <f>D21</f>
        <v>15.3</v>
      </c>
      <c r="F21" s="31"/>
      <c r="G21" s="96" t="s">
        <v>40</v>
      </c>
      <c r="H21" s="32" t="s">
        <v>41</v>
      </c>
      <c r="I21" s="96" t="s">
        <v>42</v>
      </c>
      <c r="J21" s="151" t="s">
        <v>43</v>
      </c>
      <c r="K21" s="96" t="s">
        <v>42</v>
      </c>
      <c r="L21" s="151" t="s">
        <v>43</v>
      </c>
      <c r="N21" s="97"/>
    </row>
    <row r="22" spans="1:19" s="2" customFormat="1" ht="22.5" customHeight="1">
      <c r="A22" s="216" t="s">
        <v>44</v>
      </c>
      <c r="B22" s="217"/>
      <c r="C22" s="25" t="s">
        <v>39</v>
      </c>
      <c r="D22" s="160">
        <v>14.8</v>
      </c>
      <c r="E22" s="161">
        <f>D22+E39</f>
        <v>14.8</v>
      </c>
      <c r="F22" s="31"/>
      <c r="G22" s="145">
        <v>0</v>
      </c>
      <c r="H22" s="33">
        <v>0</v>
      </c>
      <c r="I22" s="144">
        <v>0</v>
      </c>
      <c r="J22" s="152">
        <v>0</v>
      </c>
      <c r="K22" s="144">
        <v>0</v>
      </c>
      <c r="L22" s="152">
        <v>0</v>
      </c>
      <c r="N22" s="97"/>
      <c r="O22" s="2">
        <v>0.122</v>
      </c>
      <c r="S22" s="2">
        <v>4.0000000000000001E-3</v>
      </c>
    </row>
    <row r="23" spans="1:19" s="2" customFormat="1" ht="22.5" customHeight="1">
      <c r="A23" s="216" t="s">
        <v>45</v>
      </c>
      <c r="B23" s="217"/>
      <c r="C23" s="34" t="s">
        <v>46</v>
      </c>
      <c r="D23" s="35">
        <v>10372</v>
      </c>
      <c r="E23" s="36">
        <v>10491</v>
      </c>
      <c r="F23" s="31"/>
      <c r="G23" s="145">
        <v>5.0000000000000001E-3</v>
      </c>
      <c r="H23" s="33">
        <v>0.127</v>
      </c>
      <c r="I23" s="144">
        <f>O22</f>
        <v>0.122</v>
      </c>
      <c r="J23" s="153">
        <f t="shared" ref="J23:J34" si="0">((I23/19.32)*10)</f>
        <v>6.3146997929606624E-2</v>
      </c>
      <c r="K23" s="98">
        <f>S22</f>
        <v>4.0000000000000001E-3</v>
      </c>
      <c r="L23" s="153">
        <f t="shared" ref="L23:L34" si="1">((K23/19.32)*10)</f>
        <v>2.070393374741201E-3</v>
      </c>
      <c r="N23" s="97"/>
      <c r="O23" s="2">
        <v>0.25700000000000001</v>
      </c>
      <c r="S23" s="2">
        <v>1.2999999999999999E-2</v>
      </c>
    </row>
    <row r="24" spans="1:19" s="2" customFormat="1" ht="22.5" customHeight="1">
      <c r="A24" s="216" t="s">
        <v>47</v>
      </c>
      <c r="B24" s="217"/>
      <c r="C24" s="34" t="s">
        <v>46</v>
      </c>
      <c r="D24" s="167">
        <v>5760</v>
      </c>
      <c r="E24" s="37">
        <f>D24</f>
        <v>5760</v>
      </c>
      <c r="F24" s="38"/>
      <c r="G24" s="145">
        <v>2.5000000000000001E-2</v>
      </c>
      <c r="H24" s="33">
        <v>0.63500000000000001</v>
      </c>
      <c r="I24" s="144">
        <f t="shared" ref="I24:I34" si="2">O23</f>
        <v>0.25700000000000001</v>
      </c>
      <c r="J24" s="153">
        <f t="shared" si="0"/>
        <v>0.13302277432712217</v>
      </c>
      <c r="K24" s="98">
        <f t="shared" ref="K24:K34" si="3">S23</f>
        <v>1.2999999999999999E-2</v>
      </c>
      <c r="L24" s="153">
        <f t="shared" si="1"/>
        <v>6.7287784679089021E-3</v>
      </c>
      <c r="N24" s="97"/>
      <c r="O24" s="2">
        <v>0.39</v>
      </c>
      <c r="S24" s="2">
        <v>2.5000000000000001E-2</v>
      </c>
    </row>
    <row r="25" spans="1:19" s="2" customFormat="1" ht="22.5" customHeight="1">
      <c r="A25" s="216" t="s">
        <v>48</v>
      </c>
      <c r="B25" s="217"/>
      <c r="C25" s="34" t="s">
        <v>46</v>
      </c>
      <c r="D25" s="39">
        <f>+D23-D24</f>
        <v>4612</v>
      </c>
      <c r="E25" s="40">
        <f>E23-E24</f>
        <v>4731</v>
      </c>
      <c r="F25" s="41"/>
      <c r="G25" s="145">
        <v>0.05</v>
      </c>
      <c r="H25" s="33">
        <v>1.27</v>
      </c>
      <c r="I25" s="144">
        <f t="shared" si="2"/>
        <v>0.39</v>
      </c>
      <c r="J25" s="153">
        <f t="shared" si="0"/>
        <v>0.20186335403726707</v>
      </c>
      <c r="K25" s="98">
        <f t="shared" si="3"/>
        <v>2.5000000000000001E-2</v>
      </c>
      <c r="L25" s="153">
        <f t="shared" si="1"/>
        <v>1.2939958592132504E-2</v>
      </c>
      <c r="N25" s="97"/>
      <c r="O25" s="2">
        <v>0.48099999999999998</v>
      </c>
      <c r="S25" s="2">
        <v>3.5000000000000003E-2</v>
      </c>
    </row>
    <row r="26" spans="1:19" s="2" customFormat="1" ht="22.5" customHeight="1">
      <c r="A26" s="216" t="s">
        <v>49</v>
      </c>
      <c r="B26" s="217"/>
      <c r="C26" s="34" t="s">
        <v>50</v>
      </c>
      <c r="D26" s="39">
        <f>((PI()*(D21*D21))/4)*D22</f>
        <v>2721.0370698316888</v>
      </c>
      <c r="E26" s="174">
        <f>((PI()*(E21*E21))/4)*E22</f>
        <v>2721.0370698316888</v>
      </c>
      <c r="F26" s="41"/>
      <c r="G26" s="145">
        <v>7.4999999999999997E-2</v>
      </c>
      <c r="H26" s="33">
        <v>1.905</v>
      </c>
      <c r="I26" s="144">
        <f t="shared" si="2"/>
        <v>0.48099999999999998</v>
      </c>
      <c r="J26" s="153">
        <f t="shared" si="0"/>
        <v>0.24896480331262938</v>
      </c>
      <c r="K26" s="98">
        <f t="shared" si="3"/>
        <v>3.5000000000000003E-2</v>
      </c>
      <c r="L26" s="153">
        <f t="shared" si="1"/>
        <v>1.8115942028985511E-2</v>
      </c>
      <c r="N26" s="97"/>
      <c r="O26" s="2">
        <v>0.53200000000000003</v>
      </c>
      <c r="S26" s="2">
        <v>0.04</v>
      </c>
    </row>
    <row r="27" spans="1:19" s="2" customFormat="1" ht="22.5" customHeight="1">
      <c r="A27" s="216" t="s">
        <v>51</v>
      </c>
      <c r="B27" s="217"/>
      <c r="C27" s="34" t="s">
        <v>52</v>
      </c>
      <c r="D27" s="42">
        <f>D25/D26</f>
        <v>1.6949419951435201</v>
      </c>
      <c r="E27" s="175">
        <f>E25/E26</f>
        <v>1.7386753206903713</v>
      </c>
      <c r="F27" s="44"/>
      <c r="G27" s="146">
        <v>0.1</v>
      </c>
      <c r="H27" s="45">
        <v>2.54</v>
      </c>
      <c r="I27" s="154">
        <f t="shared" si="2"/>
        <v>0.53200000000000003</v>
      </c>
      <c r="J27" s="155">
        <f t="shared" si="0"/>
        <v>0.27536231884057971</v>
      </c>
      <c r="K27" s="158">
        <f t="shared" si="3"/>
        <v>0.04</v>
      </c>
      <c r="L27" s="155">
        <f t="shared" si="1"/>
        <v>2.0703933747412008E-2</v>
      </c>
      <c r="N27" s="97"/>
      <c r="O27" s="2">
        <v>0.58099999999999996</v>
      </c>
      <c r="S27" s="2">
        <v>4.1000000000000002E-2</v>
      </c>
    </row>
    <row r="28" spans="1:19" s="2" customFormat="1" ht="22.5" customHeight="1" thickBot="1">
      <c r="A28" s="218" t="s">
        <v>53</v>
      </c>
      <c r="B28" s="219"/>
      <c r="C28" s="46" t="s">
        <v>52</v>
      </c>
      <c r="D28" s="47">
        <f>D27/(1+D34/100)</f>
        <v>1.3319218721389137</v>
      </c>
      <c r="E28" s="48">
        <f>E27/(1+E34/100)</f>
        <v>1.3543730155647227</v>
      </c>
      <c r="F28" s="49"/>
      <c r="G28" s="145">
        <v>0.125</v>
      </c>
      <c r="H28" s="33">
        <v>3.1749999999999998</v>
      </c>
      <c r="I28" s="144">
        <f t="shared" si="2"/>
        <v>0.58099999999999996</v>
      </c>
      <c r="J28" s="153">
        <f t="shared" si="0"/>
        <v>0.30072463768115942</v>
      </c>
      <c r="K28" s="98">
        <f t="shared" si="3"/>
        <v>4.1000000000000002E-2</v>
      </c>
      <c r="L28" s="153">
        <f t="shared" si="1"/>
        <v>2.1221532091097308E-2</v>
      </c>
      <c r="N28" s="97"/>
      <c r="O28" s="2">
        <v>0.61399999999999999</v>
      </c>
      <c r="S28" s="2">
        <v>4.1000000000000002E-2</v>
      </c>
    </row>
    <row r="29" spans="1:19" s="2" customFormat="1" ht="22.5" customHeight="1" thickBot="1">
      <c r="A29" s="207" t="s">
        <v>54</v>
      </c>
      <c r="B29" s="208" t="s">
        <v>54</v>
      </c>
      <c r="C29" s="208"/>
      <c r="D29" s="208"/>
      <c r="E29" s="209"/>
      <c r="F29" s="49"/>
      <c r="G29" s="147">
        <v>0.15</v>
      </c>
      <c r="H29" s="33">
        <v>3.81</v>
      </c>
      <c r="I29" s="144">
        <f t="shared" si="2"/>
        <v>0.61399999999999999</v>
      </c>
      <c r="J29" s="153">
        <f t="shared" si="0"/>
        <v>0.31780538302277428</v>
      </c>
      <c r="K29" s="98">
        <f t="shared" si="3"/>
        <v>4.1000000000000002E-2</v>
      </c>
      <c r="L29" s="153">
        <f>((K29/19.32)*10)</f>
        <v>2.1221532091097308E-2</v>
      </c>
      <c r="N29" s="97"/>
      <c r="O29" s="2">
        <v>0.63700000000000001</v>
      </c>
      <c r="S29" s="2">
        <v>4.2000000000000003E-2</v>
      </c>
    </row>
    <row r="30" spans="1:19" s="2" customFormat="1" ht="22.5" customHeight="1">
      <c r="A30" s="258" t="s">
        <v>55</v>
      </c>
      <c r="B30" s="259"/>
      <c r="C30" s="50"/>
      <c r="D30" s="51">
        <v>705</v>
      </c>
      <c r="E30" s="52">
        <v>340</v>
      </c>
      <c r="F30" s="44"/>
      <c r="G30" s="145">
        <v>0.17499999999999999</v>
      </c>
      <c r="H30" s="33">
        <v>4.4450000000000003</v>
      </c>
      <c r="I30" s="144">
        <f t="shared" si="2"/>
        <v>0.63700000000000001</v>
      </c>
      <c r="J30" s="153">
        <f t="shared" si="0"/>
        <v>0.32971014492753625</v>
      </c>
      <c r="K30" s="98">
        <f t="shared" si="3"/>
        <v>4.2000000000000003E-2</v>
      </c>
      <c r="L30" s="153">
        <f t="shared" si="1"/>
        <v>2.1739130434782608E-2</v>
      </c>
      <c r="N30" s="97"/>
      <c r="O30" s="2">
        <v>0.65500000000000003</v>
      </c>
      <c r="S30" s="2">
        <v>4.2999999999999997E-2</v>
      </c>
    </row>
    <row r="31" spans="1:19" s="2" customFormat="1" ht="22.5" customHeight="1">
      <c r="A31" s="216" t="s">
        <v>56</v>
      </c>
      <c r="B31" s="217"/>
      <c r="C31" s="25" t="s">
        <v>46</v>
      </c>
      <c r="D31" s="53">
        <v>193.49</v>
      </c>
      <c r="E31" s="54">
        <v>1228.97</v>
      </c>
      <c r="F31" s="41"/>
      <c r="G31" s="146">
        <v>0.2</v>
      </c>
      <c r="H31" s="45">
        <v>5.08</v>
      </c>
      <c r="I31" s="154">
        <f t="shared" si="2"/>
        <v>0.65500000000000003</v>
      </c>
      <c r="J31" s="155">
        <f t="shared" si="0"/>
        <v>0.33902691511387167</v>
      </c>
      <c r="K31" s="158">
        <f t="shared" si="3"/>
        <v>4.2999999999999997E-2</v>
      </c>
      <c r="L31" s="155">
        <f t="shared" si="1"/>
        <v>2.2256728778467905E-2</v>
      </c>
      <c r="N31" s="97"/>
      <c r="O31" s="2">
        <v>0.70399999999999996</v>
      </c>
      <c r="S31" s="2">
        <v>4.4999999999999998E-2</v>
      </c>
    </row>
    <row r="32" spans="1:19" s="2" customFormat="1" ht="22.5" customHeight="1">
      <c r="A32" s="216" t="s">
        <v>57</v>
      </c>
      <c r="B32" s="217"/>
      <c r="C32" s="25" t="s">
        <v>46</v>
      </c>
      <c r="D32" s="53">
        <v>162.1</v>
      </c>
      <c r="E32" s="54">
        <v>983.7</v>
      </c>
      <c r="F32" s="49"/>
      <c r="G32" s="145">
        <v>0.3</v>
      </c>
      <c r="H32" s="33">
        <v>7.62</v>
      </c>
      <c r="I32" s="144">
        <f t="shared" si="2"/>
        <v>0.70399999999999996</v>
      </c>
      <c r="J32" s="153">
        <f t="shared" si="0"/>
        <v>0.36438923395445133</v>
      </c>
      <c r="K32" s="98">
        <f t="shared" si="3"/>
        <v>4.4999999999999998E-2</v>
      </c>
      <c r="L32" s="153">
        <f t="shared" si="1"/>
        <v>2.3291925465838512E-2</v>
      </c>
      <c r="N32" s="97"/>
      <c r="O32" s="2">
        <v>0.746</v>
      </c>
      <c r="S32" s="2">
        <v>4.9000000000000002E-2</v>
      </c>
    </row>
    <row r="33" spans="1:19" s="2" customFormat="1" ht="22.5" customHeight="1">
      <c r="A33" s="216" t="s">
        <v>58</v>
      </c>
      <c r="B33" s="217"/>
      <c r="C33" s="25" t="s">
        <v>46</v>
      </c>
      <c r="D33" s="53">
        <v>46.93</v>
      </c>
      <c r="E33" s="54">
        <v>119.31</v>
      </c>
      <c r="F33" s="49"/>
      <c r="G33" s="145">
        <v>0.4</v>
      </c>
      <c r="H33" s="33">
        <v>10.16</v>
      </c>
      <c r="I33" s="144">
        <f t="shared" si="2"/>
        <v>0.746</v>
      </c>
      <c r="J33" s="153">
        <f t="shared" si="0"/>
        <v>0.38612836438923392</v>
      </c>
      <c r="K33" s="98">
        <f t="shared" si="3"/>
        <v>4.9000000000000002E-2</v>
      </c>
      <c r="L33" s="153">
        <f t="shared" si="1"/>
        <v>2.5362318840579712E-2</v>
      </c>
      <c r="N33" s="97"/>
      <c r="O33" s="2">
        <v>0.79300000000000004</v>
      </c>
      <c r="S33" s="2">
        <v>5.1999999999999998E-2</v>
      </c>
    </row>
    <row r="34" spans="1:19" s="2" customFormat="1" ht="22.5" customHeight="1" thickBot="1">
      <c r="A34" s="218" t="s">
        <v>59</v>
      </c>
      <c r="B34" s="219"/>
      <c r="C34" s="46" t="s">
        <v>60</v>
      </c>
      <c r="D34" s="47">
        <f>((D31-D32)/(D32-D33))*100</f>
        <v>27.255361639315812</v>
      </c>
      <c r="E34" s="48">
        <f>((E31-E32)/(E32-E33))*100</f>
        <v>28.374923356355342</v>
      </c>
      <c r="F34" s="49"/>
      <c r="G34" s="148">
        <v>0.5</v>
      </c>
      <c r="H34" s="149">
        <v>12.7</v>
      </c>
      <c r="I34" s="156">
        <f t="shared" si="2"/>
        <v>0.79300000000000004</v>
      </c>
      <c r="J34" s="157">
        <f t="shared" si="0"/>
        <v>0.41045548654244307</v>
      </c>
      <c r="K34" s="159">
        <f t="shared" si="3"/>
        <v>5.1999999999999998E-2</v>
      </c>
      <c r="L34" s="157">
        <f t="shared" si="1"/>
        <v>2.6915113871635608E-2</v>
      </c>
      <c r="N34" s="97"/>
    </row>
    <row r="35" spans="1:19" s="2" customFormat="1" ht="11.25" customHeight="1" thickBot="1">
      <c r="A35" s="55"/>
      <c r="B35" s="56"/>
      <c r="C35" s="57"/>
      <c r="D35" s="58"/>
      <c r="E35" s="58"/>
      <c r="F35" s="59"/>
      <c r="G35" s="58"/>
      <c r="H35" s="58"/>
      <c r="I35" s="58"/>
      <c r="J35" s="58"/>
      <c r="K35" s="58"/>
      <c r="L35" s="99"/>
      <c r="N35" s="97"/>
    </row>
    <row r="36" spans="1:19" s="2" customFormat="1" ht="22.5" customHeight="1" thickBot="1">
      <c r="A36" s="247" t="s">
        <v>61</v>
      </c>
      <c r="B36" s="248"/>
      <c r="C36" s="248"/>
      <c r="D36" s="248"/>
      <c r="E36" s="249"/>
      <c r="F36" s="60"/>
      <c r="G36" s="60"/>
      <c r="H36" s="207" t="s">
        <v>62</v>
      </c>
      <c r="I36" s="208"/>
      <c r="J36" s="208"/>
      <c r="K36" s="209"/>
      <c r="L36" s="100"/>
    </row>
    <row r="37" spans="1:19" s="2" customFormat="1" ht="22.5" customHeight="1" thickBot="1">
      <c r="A37" s="250" t="s">
        <v>63</v>
      </c>
      <c r="B37" s="251"/>
      <c r="C37" s="61" t="s">
        <v>64</v>
      </c>
      <c r="D37" s="277">
        <v>0.84350000000000003</v>
      </c>
      <c r="E37" s="278"/>
      <c r="F37" s="62"/>
      <c r="G37" s="62"/>
      <c r="H37" s="63" t="s">
        <v>65</v>
      </c>
      <c r="I37" s="101" t="s">
        <v>86</v>
      </c>
      <c r="J37" s="63" t="s">
        <v>66</v>
      </c>
      <c r="K37" s="102" t="s">
        <v>67</v>
      </c>
      <c r="L37" s="99"/>
    </row>
    <row r="38" spans="1:19" s="2" customFormat="1" ht="22.5" customHeight="1" thickBot="1">
      <c r="A38" s="224" t="s">
        <v>68</v>
      </c>
      <c r="B38" s="225"/>
      <c r="C38" s="64" t="s">
        <v>64</v>
      </c>
      <c r="D38" s="279">
        <v>0.83250000000000002</v>
      </c>
      <c r="E38" s="280"/>
      <c r="F38" s="62"/>
      <c r="G38" s="62"/>
      <c r="H38" s="256" t="s">
        <v>69</v>
      </c>
      <c r="I38" s="257"/>
      <c r="J38" s="256" t="s">
        <v>70</v>
      </c>
      <c r="K38" s="257"/>
      <c r="L38" s="99"/>
    </row>
    <row r="39" spans="1:19" s="2" customFormat="1" ht="22.5" customHeight="1" thickBot="1">
      <c r="A39" s="224" t="s">
        <v>71</v>
      </c>
      <c r="B39" s="225"/>
      <c r="C39" s="65" t="s">
        <v>39</v>
      </c>
      <c r="D39" s="226">
        <f>(D38-D37)*2.54</f>
        <v>-2.7940000000000024E-2</v>
      </c>
      <c r="E39" s="227"/>
      <c r="F39" s="31"/>
      <c r="G39" s="31"/>
      <c r="H39" s="163" t="s">
        <v>72</v>
      </c>
      <c r="I39" s="164">
        <v>4554</v>
      </c>
      <c r="J39" s="275">
        <v>4</v>
      </c>
      <c r="K39" s="229"/>
      <c r="L39" s="99"/>
    </row>
    <row r="40" spans="1:19" s="2" customFormat="1" ht="22.5" customHeight="1" thickBot="1">
      <c r="A40" s="230" t="s">
        <v>73</v>
      </c>
      <c r="B40" s="231"/>
      <c r="C40" s="67" t="s">
        <v>60</v>
      </c>
      <c r="D40" s="232">
        <f>IF(D39&lt;&gt;"",IF(D22&lt;&gt;"",D39/D22*100,""),"")</f>
        <v>-0.18878378378378394</v>
      </c>
      <c r="E40" s="233"/>
      <c r="F40" s="68"/>
      <c r="G40" s="68"/>
      <c r="H40" s="165" t="s">
        <v>33</v>
      </c>
      <c r="I40" s="166">
        <v>4554</v>
      </c>
      <c r="J40" s="276">
        <v>4</v>
      </c>
      <c r="K40" s="235"/>
      <c r="L40" s="99"/>
      <c r="P40" s="105"/>
      <c r="Q40" s="105"/>
      <c r="R40" s="134"/>
    </row>
    <row r="41" spans="1:19" s="2" customFormat="1" ht="33" customHeight="1" thickBot="1">
      <c r="A41" s="70"/>
      <c r="B41" s="58"/>
      <c r="C41" s="58"/>
      <c r="D41" s="58"/>
      <c r="E41" s="58"/>
      <c r="F41" s="71"/>
      <c r="G41" s="58"/>
      <c r="H41" s="70"/>
      <c r="I41" s="58"/>
      <c r="J41" s="107" t="str">
        <f>I19</f>
        <v>ANTES DE INMERSIÓN</v>
      </c>
      <c r="K41" s="107" t="str">
        <f>K19</f>
        <v xml:space="preserve">DESPUÉS DE INMERSIÓN </v>
      </c>
      <c r="L41" s="108"/>
      <c r="M41" s="20"/>
      <c r="P41" s="109"/>
      <c r="Q41" s="135"/>
      <c r="R41" s="136"/>
    </row>
    <row r="42" spans="1:19" s="2" customFormat="1" ht="22.5" customHeight="1">
      <c r="A42" s="70"/>
      <c r="B42" s="58"/>
      <c r="C42" s="58"/>
      <c r="D42" s="58"/>
      <c r="E42" s="58"/>
      <c r="F42" s="58"/>
      <c r="G42" s="58"/>
      <c r="H42" s="21" t="s">
        <v>74</v>
      </c>
      <c r="I42" s="110" t="s">
        <v>60</v>
      </c>
      <c r="J42" s="111">
        <f>(J27/6.9)*100</f>
        <v>3.9907582440663725</v>
      </c>
      <c r="K42" s="112">
        <f>(L27/6.9)*100</f>
        <v>0.30005701083205805</v>
      </c>
      <c r="L42" s="99"/>
      <c r="P42" s="113"/>
      <c r="Q42" s="137"/>
      <c r="R42" s="136"/>
    </row>
    <row r="43" spans="1:19" s="2" customFormat="1" ht="22.5" customHeight="1" thickBot="1">
      <c r="A43" s="70"/>
      <c r="B43" s="73"/>
      <c r="C43" s="58"/>
      <c r="D43" s="58"/>
      <c r="E43" s="58"/>
      <c r="F43" s="58"/>
      <c r="G43" s="58"/>
      <c r="H43" s="74" t="s">
        <v>75</v>
      </c>
      <c r="I43" s="114" t="s">
        <v>60</v>
      </c>
      <c r="J43" s="115">
        <f>(J31/10.3)*100</f>
        <v>3.2915234477074917</v>
      </c>
      <c r="K43" s="116">
        <f>(L31/10.3)*100</f>
        <v>0.2160847454220185</v>
      </c>
      <c r="L43" s="99"/>
      <c r="P43" s="117"/>
      <c r="Q43" s="138"/>
      <c r="R43" s="139"/>
    </row>
    <row r="44" spans="1:19" s="2" customFormat="1" ht="22.5" customHeight="1" thickBot="1">
      <c r="A44" s="70"/>
      <c r="B44" s="73"/>
      <c r="C44" s="73"/>
      <c r="D44" s="73"/>
      <c r="E44" s="58"/>
      <c r="F44" s="58"/>
      <c r="G44" s="58"/>
      <c r="H44" s="74" t="s">
        <v>76</v>
      </c>
      <c r="I44" s="114"/>
      <c r="J44" s="118">
        <f>IF(J42&lt;J43,J42,J43)</f>
        <v>3.2915234477074917</v>
      </c>
      <c r="K44" s="119">
        <f>IF(K42&lt;K43,K42,K43)</f>
        <v>0.2160847454220185</v>
      </c>
      <c r="L44" s="120"/>
      <c r="M44" s="121"/>
    </row>
    <row r="45" spans="1:19" s="2" customFormat="1" ht="22.5" customHeight="1">
      <c r="A45" s="70"/>
      <c r="B45" s="58"/>
      <c r="C45" s="58"/>
      <c r="D45" s="59"/>
      <c r="E45" s="59"/>
      <c r="F45" s="59"/>
      <c r="G45" s="58"/>
      <c r="H45" s="4"/>
      <c r="I45" s="122"/>
      <c r="J45" s="122"/>
      <c r="K45" s="122"/>
      <c r="L45" s="99"/>
    </row>
    <row r="46" spans="1:19" s="2" customFormat="1" ht="22.5" customHeight="1">
      <c r="A46" s="70"/>
      <c r="B46" s="58"/>
      <c r="C46" s="58"/>
      <c r="D46" s="59"/>
      <c r="E46" s="59"/>
      <c r="F46" s="59"/>
      <c r="G46" s="58"/>
      <c r="H46" s="222" t="s">
        <v>77</v>
      </c>
      <c r="I46" s="222"/>
      <c r="J46" s="222" t="s">
        <v>78</v>
      </c>
      <c r="K46" s="222"/>
      <c r="L46" s="223"/>
    </row>
    <row r="47" spans="1:19" s="2" customFormat="1" ht="22.5" customHeight="1">
      <c r="A47" s="70"/>
      <c r="B47" s="56"/>
      <c r="C47" s="75"/>
      <c r="D47" s="76"/>
      <c r="E47" s="59"/>
      <c r="F47" s="59"/>
      <c r="G47" s="59"/>
      <c r="H47" s="77"/>
      <c r="I47" s="123"/>
      <c r="J47" s="77"/>
      <c r="K47" s="123"/>
      <c r="L47" s="124"/>
    </row>
    <row r="48" spans="1:19" s="2" customFormat="1" ht="22.5" customHeight="1">
      <c r="A48" s="70"/>
      <c r="B48" s="56"/>
      <c r="C48" s="75"/>
      <c r="D48" s="76"/>
      <c r="E48" s="59"/>
      <c r="F48" s="59"/>
      <c r="G48" s="59"/>
      <c r="H48" s="77"/>
      <c r="I48" s="123"/>
      <c r="J48" s="77"/>
      <c r="K48" s="123"/>
      <c r="L48" s="124"/>
    </row>
    <row r="49" spans="1:15" s="2" customFormat="1" ht="22.5" customHeight="1">
      <c r="A49" s="70"/>
      <c r="B49" s="56"/>
      <c r="C49" s="75"/>
      <c r="D49" s="76"/>
      <c r="E49" s="59"/>
      <c r="F49" s="59"/>
      <c r="G49" s="59"/>
      <c r="H49" s="77"/>
      <c r="I49" s="123"/>
      <c r="J49" s="77"/>
      <c r="K49"/>
      <c r="L49" s="124"/>
    </row>
    <row r="50" spans="1:15" s="2" customFormat="1" ht="22.5" customHeight="1">
      <c r="A50" s="70"/>
      <c r="B50" s="56"/>
      <c r="C50" s="75"/>
      <c r="D50" s="76"/>
      <c r="E50" s="59"/>
      <c r="F50" s="59"/>
      <c r="G50" s="59"/>
      <c r="H50" s="78"/>
      <c r="I50" s="78"/>
      <c r="J50" s="77"/>
      <c r="K50" s="123"/>
      <c r="L50" s="124"/>
    </row>
    <row r="51" spans="1:15" s="2" customFormat="1" ht="22.5" customHeight="1">
      <c r="A51" s="70"/>
      <c r="B51" s="56"/>
      <c r="C51" s="75"/>
      <c r="D51" s="76"/>
      <c r="E51" s="59"/>
      <c r="F51" s="59"/>
      <c r="G51" s="59"/>
      <c r="H51" s="220" t="s">
        <v>79</v>
      </c>
      <c r="I51" s="220"/>
      <c r="J51" s="220" t="s">
        <v>87</v>
      </c>
      <c r="K51" s="220"/>
      <c r="L51" s="221"/>
    </row>
    <row r="52" spans="1:15" s="2" customFormat="1" ht="22.5" customHeight="1">
      <c r="A52" s="70"/>
      <c r="B52" s="56"/>
      <c r="C52" s="75"/>
      <c r="D52" s="76"/>
      <c r="E52" s="59"/>
      <c r="F52" s="59"/>
      <c r="G52" s="59"/>
      <c r="H52" s="222" t="s">
        <v>80</v>
      </c>
      <c r="I52" s="222"/>
      <c r="J52" s="222" t="s">
        <v>81</v>
      </c>
      <c r="K52" s="222"/>
      <c r="L52" s="223"/>
    </row>
    <row r="53" spans="1:15" s="2" customFormat="1" ht="22.5" customHeight="1">
      <c r="A53" s="70"/>
      <c r="B53" s="56"/>
      <c r="C53" s="75"/>
      <c r="D53" s="76"/>
      <c r="E53" s="59"/>
      <c r="F53" s="59"/>
      <c r="G53" s="59"/>
      <c r="H53" s="186"/>
      <c r="I53" s="186"/>
      <c r="J53" s="186"/>
      <c r="K53" s="186"/>
      <c r="L53" s="99"/>
    </row>
    <row r="54" spans="1:15" s="2" customFormat="1" ht="22.5" customHeight="1">
      <c r="A54" s="70"/>
      <c r="B54" s="56"/>
      <c r="C54" s="75"/>
      <c r="D54" s="76"/>
      <c r="E54" s="59"/>
      <c r="F54" s="59"/>
      <c r="G54" s="59"/>
      <c r="H54" s="58"/>
      <c r="I54" s="58"/>
      <c r="J54" s="125"/>
      <c r="K54" s="58"/>
      <c r="L54" s="99"/>
      <c r="M54" s="126"/>
      <c r="N54" s="3"/>
    </row>
    <row r="55" spans="1:15" s="2" customFormat="1" ht="22.5" customHeight="1">
      <c r="A55" s="70"/>
      <c r="B55" s="56"/>
      <c r="C55" s="75"/>
      <c r="D55" s="76"/>
      <c r="E55" s="59"/>
      <c r="F55" s="59"/>
      <c r="G55" s="59"/>
      <c r="H55" s="58"/>
      <c r="I55" s="58"/>
      <c r="J55" s="127"/>
      <c r="K55" s="125"/>
      <c r="L55" s="128"/>
      <c r="M55" s="129"/>
      <c r="N55" s="3"/>
    </row>
    <row r="56" spans="1:15" s="2" customFormat="1" ht="22.5" customHeight="1">
      <c r="A56" s="264" t="s">
        <v>82</v>
      </c>
      <c r="B56" s="265"/>
      <c r="C56" s="265"/>
      <c r="D56" s="265"/>
      <c r="E56" s="265"/>
      <c r="F56" s="265"/>
      <c r="G56" s="265"/>
      <c r="H56" s="265"/>
      <c r="I56" s="265"/>
      <c r="J56" s="265"/>
      <c r="K56" s="265"/>
      <c r="L56" s="266"/>
      <c r="M56" s="130"/>
      <c r="N56" s="3"/>
      <c r="O56" s="3"/>
    </row>
    <row r="57" spans="1:15" s="2" customFormat="1" ht="22.5" customHeight="1">
      <c r="A57" s="261" t="s">
        <v>83</v>
      </c>
      <c r="B57" s="262"/>
      <c r="C57" s="262"/>
      <c r="D57" s="262"/>
      <c r="E57" s="262"/>
      <c r="F57" s="262"/>
      <c r="G57" s="262"/>
      <c r="H57" s="262"/>
      <c r="I57" s="262"/>
      <c r="J57" s="262"/>
      <c r="K57" s="262"/>
      <c r="L57" s="263"/>
      <c r="M57" s="3"/>
      <c r="N57" s="3"/>
      <c r="O57" s="3"/>
    </row>
    <row r="58" spans="1:15" s="2" customFormat="1" ht="22.5" customHeight="1">
      <c r="A58" s="261"/>
      <c r="B58" s="262"/>
      <c r="C58" s="262"/>
      <c r="D58" s="262"/>
      <c r="E58" s="262"/>
      <c r="F58" s="262"/>
      <c r="G58" s="262"/>
      <c r="H58" s="262"/>
      <c r="I58" s="262"/>
      <c r="J58" s="262"/>
      <c r="K58" s="262"/>
      <c r="L58" s="263"/>
      <c r="M58" s="3"/>
      <c r="N58" s="3"/>
      <c r="O58" s="3"/>
    </row>
    <row r="59" spans="1:15" ht="15" thickBot="1">
      <c r="A59" s="267" t="s">
        <v>84</v>
      </c>
      <c r="B59" s="268"/>
      <c r="C59" s="268"/>
      <c r="D59" s="268"/>
      <c r="E59" s="268"/>
      <c r="F59" s="268"/>
      <c r="G59" s="268"/>
      <c r="H59" s="268"/>
      <c r="I59" s="268"/>
      <c r="J59" s="268"/>
      <c r="K59" s="268"/>
      <c r="L59" s="269"/>
    </row>
    <row r="63" spans="1:15">
      <c r="I63" s="79"/>
      <c r="J63" s="79"/>
      <c r="K63" s="79"/>
      <c r="L63" s="79"/>
      <c r="M63" s="79"/>
      <c r="N63" s="79"/>
    </row>
    <row r="64" spans="1:15" ht="15" customHeight="1">
      <c r="E64" s="79"/>
      <c r="F64" s="79"/>
      <c r="G64" s="79"/>
      <c r="H64" s="79"/>
      <c r="I64" s="131"/>
      <c r="J64" s="131"/>
      <c r="K64" s="131"/>
      <c r="L64" s="131"/>
      <c r="M64" s="131"/>
      <c r="N64" s="131"/>
    </row>
    <row r="65" spans="2:18" ht="15" customHeight="1">
      <c r="E65" s="131"/>
      <c r="F65" s="131"/>
      <c r="G65" s="131"/>
      <c r="H65" s="131"/>
      <c r="I65" s="131"/>
      <c r="J65" s="131"/>
      <c r="K65" s="131"/>
      <c r="L65" s="131"/>
      <c r="M65" s="131"/>
      <c r="N65" s="131"/>
    </row>
    <row r="66" spans="2:18" ht="15" customHeight="1">
      <c r="E66" s="131"/>
      <c r="F66" s="131"/>
      <c r="G66" s="131"/>
      <c r="H66" s="131"/>
      <c r="I66" s="131"/>
      <c r="J66" s="131"/>
      <c r="K66" s="131"/>
      <c r="L66" s="131"/>
      <c r="M66" s="131"/>
      <c r="N66" s="131"/>
    </row>
    <row r="67" spans="2:18" ht="30.75" customHeight="1">
      <c r="E67" s="131"/>
      <c r="F67" s="131"/>
      <c r="G67" s="131"/>
      <c r="H67" s="131"/>
      <c r="I67" s="140"/>
      <c r="J67" s="140"/>
      <c r="K67" s="140"/>
      <c r="L67" s="140"/>
      <c r="M67" s="140"/>
      <c r="N67" s="140"/>
    </row>
    <row r="68" spans="2:18" ht="15" customHeight="1">
      <c r="E68" s="140"/>
      <c r="F68" s="140"/>
      <c r="G68" s="140"/>
      <c r="H68" s="140"/>
      <c r="I68" s="140"/>
      <c r="J68" s="140"/>
      <c r="K68" s="140"/>
      <c r="L68" s="140"/>
      <c r="M68" s="140"/>
      <c r="N68" s="140"/>
    </row>
    <row r="69" spans="2:18" ht="15" customHeight="1">
      <c r="E69" s="140"/>
      <c r="F69" s="140"/>
      <c r="G69" s="140"/>
      <c r="H69" s="140"/>
    </row>
    <row r="70" spans="2:18" ht="31.5" customHeight="1">
      <c r="E70" s="270"/>
      <c r="F70" s="270"/>
      <c r="G70" s="270"/>
      <c r="H70" s="270"/>
      <c r="I70" s="270"/>
      <c r="J70" s="270"/>
      <c r="K70" s="270"/>
      <c r="L70" s="270"/>
      <c r="M70" s="270"/>
      <c r="N70" s="270"/>
      <c r="O70" s="270"/>
      <c r="P70" s="270"/>
    </row>
    <row r="71" spans="2:18" ht="24" customHeight="1">
      <c r="B71" s="141"/>
      <c r="C71" s="142"/>
      <c r="D71" s="142"/>
      <c r="E71" s="142"/>
      <c r="F71" s="142"/>
      <c r="G71" s="142"/>
      <c r="H71" s="142"/>
      <c r="I71" s="142"/>
      <c r="J71" s="142"/>
      <c r="K71" s="142"/>
      <c r="L71" s="142"/>
      <c r="M71" s="142"/>
      <c r="N71" s="142"/>
      <c r="O71" s="142"/>
      <c r="P71" s="142"/>
      <c r="Q71" s="142"/>
      <c r="R71" s="142"/>
    </row>
    <row r="72" spans="2:18" ht="15" customHeight="1">
      <c r="B72" s="142"/>
      <c r="C72" s="142"/>
      <c r="D72" s="260"/>
      <c r="E72" s="260"/>
      <c r="F72" s="260"/>
      <c r="G72" s="260"/>
      <c r="H72" s="260"/>
      <c r="I72" s="260"/>
      <c r="J72" s="260"/>
      <c r="K72" s="260"/>
      <c r="L72" s="260"/>
      <c r="M72" s="260"/>
      <c r="N72" s="260"/>
      <c r="O72" s="260"/>
      <c r="P72" s="142"/>
      <c r="Q72" s="142"/>
      <c r="R72" s="142"/>
    </row>
    <row r="73" spans="2:18">
      <c r="D73" s="260"/>
      <c r="E73" s="260"/>
      <c r="F73" s="260"/>
      <c r="G73" s="260"/>
      <c r="H73" s="260"/>
      <c r="I73" s="260"/>
      <c r="J73" s="260"/>
      <c r="K73" s="260"/>
      <c r="L73" s="260"/>
      <c r="M73" s="260"/>
      <c r="N73" s="260"/>
      <c r="O73" s="260"/>
    </row>
  </sheetData>
  <sheetProtection formatCells="0" formatColumns="0" insertColumns="0" insertRows="0" deleteColumns="0" deleteRows="0"/>
  <mergeCells count="74">
    <mergeCell ref="D72:O73"/>
    <mergeCell ref="H46:I46"/>
    <mergeCell ref="J46:L46"/>
    <mergeCell ref="H51:I51"/>
    <mergeCell ref="J51:L51"/>
    <mergeCell ref="H52:I52"/>
    <mergeCell ref="J52:L52"/>
    <mergeCell ref="H53:K53"/>
    <mergeCell ref="A56:L56"/>
    <mergeCell ref="A57:L58"/>
    <mergeCell ref="A59:L59"/>
    <mergeCell ref="E70:P70"/>
    <mergeCell ref="A39:B39"/>
    <mergeCell ref="D39:E39"/>
    <mergeCell ref="J39:K39"/>
    <mergeCell ref="A40:B40"/>
    <mergeCell ref="D40:E40"/>
    <mergeCell ref="J40:K40"/>
    <mergeCell ref="A38:B38"/>
    <mergeCell ref="D38:E38"/>
    <mergeCell ref="H38:I38"/>
    <mergeCell ref="J38:K38"/>
    <mergeCell ref="A28:B28"/>
    <mergeCell ref="A29:E29"/>
    <mergeCell ref="A30:B30"/>
    <mergeCell ref="A31:B31"/>
    <mergeCell ref="A32:B32"/>
    <mergeCell ref="A33:B33"/>
    <mergeCell ref="A34:B34"/>
    <mergeCell ref="A36:E36"/>
    <mergeCell ref="H36:K36"/>
    <mergeCell ref="A37:B37"/>
    <mergeCell ref="D37:E37"/>
    <mergeCell ref="A27:B27"/>
    <mergeCell ref="A19:C19"/>
    <mergeCell ref="G19:H20"/>
    <mergeCell ref="I19:J19"/>
    <mergeCell ref="K19:L19"/>
    <mergeCell ref="A20:B20"/>
    <mergeCell ref="A21:B21"/>
    <mergeCell ref="A22:B22"/>
    <mergeCell ref="A23:B23"/>
    <mergeCell ref="A24:B24"/>
    <mergeCell ref="A25:B25"/>
    <mergeCell ref="A26:B26"/>
    <mergeCell ref="A18:E18"/>
    <mergeCell ref="G18:L18"/>
    <mergeCell ref="C8:G8"/>
    <mergeCell ref="H8:I8"/>
    <mergeCell ref="J8:L8"/>
    <mergeCell ref="C9:G9"/>
    <mergeCell ref="H9:I9"/>
    <mergeCell ref="C10:G10"/>
    <mergeCell ref="H10:I10"/>
    <mergeCell ref="J10:L10"/>
    <mergeCell ref="B11:K11"/>
    <mergeCell ref="F12:G12"/>
    <mergeCell ref="H12:I12"/>
    <mergeCell ref="C13:L13"/>
    <mergeCell ref="A16:L16"/>
    <mergeCell ref="B5:K5"/>
    <mergeCell ref="C6:G6"/>
    <mergeCell ref="H6:I6"/>
    <mergeCell ref="J6:L6"/>
    <mergeCell ref="C7:G7"/>
    <mergeCell ref="H7:I7"/>
    <mergeCell ref="J7:L7"/>
    <mergeCell ref="A1:B4"/>
    <mergeCell ref="C1:J1"/>
    <mergeCell ref="K1:L1"/>
    <mergeCell ref="C2:J4"/>
    <mergeCell ref="K2:L2"/>
    <mergeCell ref="K3:L3"/>
    <mergeCell ref="K4:L4"/>
  </mergeCells>
  <conditionalFormatting sqref="C6:G10">
    <cfRule type="containsBlanks" dxfId="49" priority="10">
      <formula>LEN(TRIM(C6))=0</formula>
    </cfRule>
  </conditionalFormatting>
  <conditionalFormatting sqref="C13:L13">
    <cfRule type="containsBlanks" dxfId="48" priority="9">
      <formula>LEN(TRIM(C13))=0</formula>
    </cfRule>
  </conditionalFormatting>
  <conditionalFormatting sqref="D20:D24">
    <cfRule type="containsBlanks" dxfId="47" priority="4">
      <formula>LEN(TRIM(D20))=0</formula>
    </cfRule>
  </conditionalFormatting>
  <conditionalFormatting sqref="D37:D38">
    <cfRule type="containsBlanks" dxfId="46" priority="3">
      <formula>LEN(TRIM(D37))=0</formula>
    </cfRule>
  </conditionalFormatting>
  <conditionalFormatting sqref="D30:E33">
    <cfRule type="containsBlanks" dxfId="45" priority="1">
      <formula>LEN(TRIM(D30))=0</formula>
    </cfRule>
  </conditionalFormatting>
  <conditionalFormatting sqref="E23">
    <cfRule type="containsBlanks" dxfId="44" priority="5">
      <formula>LEN(TRIM(E23))=0</formula>
    </cfRule>
  </conditionalFormatting>
  <conditionalFormatting sqref="F12:G12">
    <cfRule type="containsBlanks" dxfId="43" priority="8">
      <formula>LEN(TRIM(F12))=0</formula>
    </cfRule>
  </conditionalFormatting>
  <conditionalFormatting sqref="I22:I34">
    <cfRule type="containsBlanks" dxfId="42" priority="7">
      <formula>LEN(TRIM(I22))=0</formula>
    </cfRule>
  </conditionalFormatting>
  <conditionalFormatting sqref="I37">
    <cfRule type="containsBlanks" dxfId="41" priority="2">
      <formula>LEN(TRIM(I37))=0</formula>
    </cfRule>
  </conditionalFormatting>
  <conditionalFormatting sqref="K22:K34">
    <cfRule type="containsBlanks" dxfId="40" priority="6">
      <formula>LEN(TRIM(K22))=0</formula>
    </cfRule>
  </conditionalFormatting>
  <dataValidations count="2">
    <dataValidation type="list" allowBlank="1" showInputMessage="1" showErrorMessage="1" sqref="C12" xr:uid="{2E9E1B5B-E6EA-4031-AE2A-987926519CAC}">
      <formula1>$T$6:$T$13</formula1>
    </dataValidation>
    <dataValidation type="list" allowBlank="1" showInputMessage="1" showErrorMessage="1" sqref="I37" xr:uid="{8BD86F11-4747-4119-9F51-07811E90FD59}">
      <formula1>"5 kN, 50 kN"</formula1>
    </dataValidation>
  </dataValidations>
  <printOptions horizontalCentered="1" verticalCentered="1"/>
  <pageMargins left="0.31496062992126" right="0.31496062992126" top="0.15748031496063" bottom="0.55118110236220497" header="0" footer="0.118110236220472"/>
  <pageSetup scale="42" fitToWidth="0" fitToHeight="0" orientation="landscape" r:id="rId1"/>
  <headerFooter>
    <oddFooter>&amp;C&amp;"Arial,Normal"&amp;10GEODELTA S.A.S. Calle 68 B bis No 70 C 95, Móvil: 318 7902368 Bogotá DC - Colombia
e-mail: laboratoriogeodelta@gmail.com</oddFooter>
  </headerFooter>
  <drawing r:id="rId2"/>
  <legacyDrawing r:id="rId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FA60C-217D-49DA-8803-BCBCC705BFD5}">
  <sheetPr>
    <tabColor theme="9" tint="0.59999389629810485"/>
  </sheetPr>
  <dimension ref="A1:AB73"/>
  <sheetViews>
    <sheetView showGridLines="0" view="pageBreakPreview" topLeftCell="A36" zoomScale="96" zoomScaleNormal="50" zoomScaleSheetLayoutView="96" zoomScalePageLayoutView="50" workbookViewId="0">
      <selection activeCell="J15" sqref="J15"/>
    </sheetView>
  </sheetViews>
  <sheetFormatPr baseColWidth="10" defaultColWidth="11" defaultRowHeight="14.25"/>
  <cols>
    <col min="1" max="1" width="10.5703125" style="3" customWidth="1"/>
    <col min="2" max="2" width="35.42578125" style="3" customWidth="1"/>
    <col min="3" max="3" width="20.85546875" style="3" customWidth="1"/>
    <col min="4" max="5" width="26.7109375" style="3" customWidth="1"/>
    <col min="6" max="6" width="3.7109375" style="3" customWidth="1"/>
    <col min="7" max="7" width="29.140625" style="3" customWidth="1"/>
    <col min="8" max="8" width="27.140625" style="3" customWidth="1"/>
    <col min="9" max="10" width="24.28515625" style="3" customWidth="1"/>
    <col min="11" max="12" width="22.42578125" style="3" customWidth="1"/>
    <col min="13" max="13" width="1.85546875" style="3" customWidth="1"/>
    <col min="14" max="16" width="12.85546875" style="3" customWidth="1"/>
    <col min="17" max="17" width="6.5703125" style="3" customWidth="1"/>
    <col min="18" max="18" width="6.28515625" style="3" customWidth="1"/>
    <col min="19" max="184" width="11" style="3"/>
    <col min="185" max="185" width="0.7109375" style="3" customWidth="1"/>
    <col min="186" max="186" width="6.5703125" style="3" customWidth="1"/>
    <col min="187" max="187" width="13.5703125" style="3" customWidth="1"/>
    <col min="188" max="188" width="13.42578125" style="3" customWidth="1"/>
    <col min="189" max="190" width="12.5703125" style="3" customWidth="1"/>
    <col min="191" max="191" width="14.85546875" style="3" customWidth="1"/>
    <col min="192" max="192" width="20.7109375" style="3" customWidth="1"/>
    <col min="193" max="193" width="12.5703125" style="3" customWidth="1"/>
    <col min="194" max="194" width="13" style="3" customWidth="1"/>
    <col min="195" max="195" width="16" style="3" customWidth="1"/>
    <col min="196" max="196" width="6.42578125" style="3" customWidth="1"/>
    <col min="197" max="197" width="16" style="3" customWidth="1"/>
    <col min="198" max="198" width="2.85546875" style="3" customWidth="1"/>
    <col min="199" max="199" width="0.85546875" style="3" customWidth="1"/>
    <col min="200" max="200" width="11" style="3"/>
    <col min="201" max="201" width="15.42578125" style="3" customWidth="1"/>
    <col min="202" max="204" width="14.85546875" style="3" customWidth="1"/>
    <col min="205" max="205" width="0.7109375" style="3" customWidth="1"/>
    <col min="206" max="206" width="11" style="3"/>
    <col min="207" max="207" width="15.7109375" style="3" customWidth="1"/>
    <col min="208" max="209" width="14.85546875" style="3" customWidth="1"/>
    <col min="210" max="210" width="3.28515625" style="3" customWidth="1"/>
    <col min="211" max="211" width="20.140625" style="3" customWidth="1"/>
    <col min="212" max="212" width="3.28515625" style="3" customWidth="1"/>
    <col min="213" max="217" width="11" style="3"/>
    <col min="218" max="230" width="4.7109375" style="3" customWidth="1"/>
    <col min="231" max="440" width="11" style="3"/>
    <col min="441" max="441" width="0.7109375" style="3" customWidth="1"/>
    <col min="442" max="442" width="6.5703125" style="3" customWidth="1"/>
    <col min="443" max="443" width="13.5703125" style="3" customWidth="1"/>
    <col min="444" max="444" width="13.42578125" style="3" customWidth="1"/>
    <col min="445" max="446" width="12.5703125" style="3" customWidth="1"/>
    <col min="447" max="447" width="14.85546875" style="3" customWidth="1"/>
    <col min="448" max="448" width="20.7109375" style="3" customWidth="1"/>
    <col min="449" max="449" width="12.5703125" style="3" customWidth="1"/>
    <col min="450" max="450" width="13" style="3" customWidth="1"/>
    <col min="451" max="451" width="16" style="3" customWidth="1"/>
    <col min="452" max="452" width="6.42578125" style="3" customWidth="1"/>
    <col min="453" max="453" width="16" style="3" customWidth="1"/>
    <col min="454" max="454" width="2.85546875" style="3" customWidth="1"/>
    <col min="455" max="455" width="0.85546875" style="3" customWidth="1"/>
    <col min="456" max="456" width="11" style="3"/>
    <col min="457" max="457" width="15.42578125" style="3" customWidth="1"/>
    <col min="458" max="460" width="14.85546875" style="3" customWidth="1"/>
    <col min="461" max="461" width="0.7109375" style="3" customWidth="1"/>
    <col min="462" max="462" width="11" style="3"/>
    <col min="463" max="463" width="15.7109375" style="3" customWidth="1"/>
    <col min="464" max="465" width="14.85546875" style="3" customWidth="1"/>
    <col min="466" max="466" width="3.28515625" style="3" customWidth="1"/>
    <col min="467" max="467" width="20.140625" style="3" customWidth="1"/>
    <col min="468" max="468" width="3.28515625" style="3" customWidth="1"/>
    <col min="469" max="473" width="11" style="3"/>
    <col min="474" max="486" width="4.7109375" style="3" customWidth="1"/>
    <col min="487" max="696" width="11" style="3"/>
    <col min="697" max="697" width="0.7109375" style="3" customWidth="1"/>
    <col min="698" max="698" width="6.5703125" style="3" customWidth="1"/>
    <col min="699" max="699" width="13.5703125" style="3" customWidth="1"/>
    <col min="700" max="700" width="13.42578125" style="3" customWidth="1"/>
    <col min="701" max="702" width="12.5703125" style="3" customWidth="1"/>
    <col min="703" max="703" width="14.85546875" style="3" customWidth="1"/>
    <col min="704" max="704" width="20.7109375" style="3" customWidth="1"/>
    <col min="705" max="705" width="12.5703125" style="3" customWidth="1"/>
    <col min="706" max="706" width="13" style="3" customWidth="1"/>
    <col min="707" max="707" width="16" style="3" customWidth="1"/>
    <col min="708" max="708" width="6.42578125" style="3" customWidth="1"/>
    <col min="709" max="709" width="16" style="3" customWidth="1"/>
    <col min="710" max="710" width="2.85546875" style="3" customWidth="1"/>
    <col min="711" max="711" width="0.85546875" style="3" customWidth="1"/>
    <col min="712" max="712" width="11" style="3"/>
    <col min="713" max="713" width="15.42578125" style="3" customWidth="1"/>
    <col min="714" max="716" width="14.85546875" style="3" customWidth="1"/>
    <col min="717" max="717" width="0.7109375" style="3" customWidth="1"/>
    <col min="718" max="718" width="11" style="3"/>
    <col min="719" max="719" width="15.7109375" style="3" customWidth="1"/>
    <col min="720" max="721" width="14.85546875" style="3" customWidth="1"/>
    <col min="722" max="722" width="3.28515625" style="3" customWidth="1"/>
    <col min="723" max="723" width="20.140625" style="3" customWidth="1"/>
    <col min="724" max="724" width="3.28515625" style="3" customWidth="1"/>
    <col min="725" max="729" width="11" style="3"/>
    <col min="730" max="742" width="4.7109375" style="3" customWidth="1"/>
    <col min="743" max="952" width="11" style="3"/>
    <col min="953" max="953" width="0.7109375" style="3" customWidth="1"/>
    <col min="954" max="954" width="6.5703125" style="3" customWidth="1"/>
    <col min="955" max="955" width="13.5703125" style="3" customWidth="1"/>
    <col min="956" max="956" width="13.42578125" style="3" customWidth="1"/>
    <col min="957" max="958" width="12.5703125" style="3" customWidth="1"/>
    <col min="959" max="959" width="14.85546875" style="3" customWidth="1"/>
    <col min="960" max="960" width="20.7109375" style="3" customWidth="1"/>
    <col min="961" max="961" width="12.5703125" style="3" customWidth="1"/>
    <col min="962" max="962" width="13" style="3" customWidth="1"/>
    <col min="963" max="963" width="16" style="3" customWidth="1"/>
    <col min="964" max="964" width="6.42578125" style="3" customWidth="1"/>
    <col min="965" max="965" width="16" style="3" customWidth="1"/>
    <col min="966" max="966" width="2.85546875" style="3" customWidth="1"/>
    <col min="967" max="967" width="0.85546875" style="3" customWidth="1"/>
    <col min="968" max="968" width="11" style="3"/>
    <col min="969" max="969" width="15.42578125" style="3" customWidth="1"/>
    <col min="970" max="972" width="14.85546875" style="3" customWidth="1"/>
    <col min="973" max="973" width="0.7109375" style="3" customWidth="1"/>
    <col min="974" max="974" width="11" style="3"/>
    <col min="975" max="975" width="15.7109375" style="3" customWidth="1"/>
    <col min="976" max="977" width="14.85546875" style="3" customWidth="1"/>
    <col min="978" max="978" width="3.28515625" style="3" customWidth="1"/>
    <col min="979" max="979" width="20.140625" style="3" customWidth="1"/>
    <col min="980" max="980" width="3.28515625" style="3" customWidth="1"/>
    <col min="981" max="985" width="11" style="3"/>
    <col min="986" max="998" width="4.7109375" style="3" customWidth="1"/>
    <col min="999" max="1208" width="11" style="3"/>
    <col min="1209" max="1209" width="0.7109375" style="3" customWidth="1"/>
    <col min="1210" max="1210" width="6.5703125" style="3" customWidth="1"/>
    <col min="1211" max="1211" width="13.5703125" style="3" customWidth="1"/>
    <col min="1212" max="1212" width="13.42578125" style="3" customWidth="1"/>
    <col min="1213" max="1214" width="12.5703125" style="3" customWidth="1"/>
    <col min="1215" max="1215" width="14.85546875" style="3" customWidth="1"/>
    <col min="1216" max="1216" width="20.7109375" style="3" customWidth="1"/>
    <col min="1217" max="1217" width="12.5703125" style="3" customWidth="1"/>
    <col min="1218" max="1218" width="13" style="3" customWidth="1"/>
    <col min="1219" max="1219" width="16" style="3" customWidth="1"/>
    <col min="1220" max="1220" width="6.42578125" style="3" customWidth="1"/>
    <col min="1221" max="1221" width="16" style="3" customWidth="1"/>
    <col min="1222" max="1222" width="2.85546875" style="3" customWidth="1"/>
    <col min="1223" max="1223" width="0.85546875" style="3" customWidth="1"/>
    <col min="1224" max="1224" width="11" style="3"/>
    <col min="1225" max="1225" width="15.42578125" style="3" customWidth="1"/>
    <col min="1226" max="1228" width="14.85546875" style="3" customWidth="1"/>
    <col min="1229" max="1229" width="0.7109375" style="3" customWidth="1"/>
    <col min="1230" max="1230" width="11" style="3"/>
    <col min="1231" max="1231" width="15.7109375" style="3" customWidth="1"/>
    <col min="1232" max="1233" width="14.85546875" style="3" customWidth="1"/>
    <col min="1234" max="1234" width="3.28515625" style="3" customWidth="1"/>
    <col min="1235" max="1235" width="20.140625" style="3" customWidth="1"/>
    <col min="1236" max="1236" width="3.28515625" style="3" customWidth="1"/>
    <col min="1237" max="1241" width="11" style="3"/>
    <col min="1242" max="1254" width="4.7109375" style="3" customWidth="1"/>
    <col min="1255" max="1464" width="11" style="3"/>
    <col min="1465" max="1465" width="0.7109375" style="3" customWidth="1"/>
    <col min="1466" max="1466" width="6.5703125" style="3" customWidth="1"/>
    <col min="1467" max="1467" width="13.5703125" style="3" customWidth="1"/>
    <col min="1468" max="1468" width="13.42578125" style="3" customWidth="1"/>
    <col min="1469" max="1470" width="12.5703125" style="3" customWidth="1"/>
    <col min="1471" max="1471" width="14.85546875" style="3" customWidth="1"/>
    <col min="1472" max="1472" width="20.7109375" style="3" customWidth="1"/>
    <col min="1473" max="1473" width="12.5703125" style="3" customWidth="1"/>
    <col min="1474" max="1474" width="13" style="3" customWidth="1"/>
    <col min="1475" max="1475" width="16" style="3" customWidth="1"/>
    <col min="1476" max="1476" width="6.42578125" style="3" customWidth="1"/>
    <col min="1477" max="1477" width="16" style="3" customWidth="1"/>
    <col min="1478" max="1478" width="2.85546875" style="3" customWidth="1"/>
    <col min="1479" max="1479" width="0.85546875" style="3" customWidth="1"/>
    <col min="1480" max="1480" width="11" style="3"/>
    <col min="1481" max="1481" width="15.42578125" style="3" customWidth="1"/>
    <col min="1482" max="1484" width="14.85546875" style="3" customWidth="1"/>
    <col min="1485" max="1485" width="0.7109375" style="3" customWidth="1"/>
    <col min="1486" max="1486" width="11" style="3"/>
    <col min="1487" max="1487" width="15.7109375" style="3" customWidth="1"/>
    <col min="1488" max="1489" width="14.85546875" style="3" customWidth="1"/>
    <col min="1490" max="1490" width="3.28515625" style="3" customWidth="1"/>
    <col min="1491" max="1491" width="20.140625" style="3" customWidth="1"/>
    <col min="1492" max="1492" width="3.28515625" style="3" customWidth="1"/>
    <col min="1493" max="1497" width="11" style="3"/>
    <col min="1498" max="1510" width="4.7109375" style="3" customWidth="1"/>
    <col min="1511" max="1720" width="11" style="3"/>
    <col min="1721" max="1721" width="0.7109375" style="3" customWidth="1"/>
    <col min="1722" max="1722" width="6.5703125" style="3" customWidth="1"/>
    <col min="1723" max="1723" width="13.5703125" style="3" customWidth="1"/>
    <col min="1724" max="1724" width="13.42578125" style="3" customWidth="1"/>
    <col min="1725" max="1726" width="12.5703125" style="3" customWidth="1"/>
    <col min="1727" max="1727" width="14.85546875" style="3" customWidth="1"/>
    <col min="1728" max="1728" width="20.7109375" style="3" customWidth="1"/>
    <col min="1729" max="1729" width="12.5703125" style="3" customWidth="1"/>
    <col min="1730" max="1730" width="13" style="3" customWidth="1"/>
    <col min="1731" max="1731" width="16" style="3" customWidth="1"/>
    <col min="1732" max="1732" width="6.42578125" style="3" customWidth="1"/>
    <col min="1733" max="1733" width="16" style="3" customWidth="1"/>
    <col min="1734" max="1734" width="2.85546875" style="3" customWidth="1"/>
    <col min="1735" max="1735" width="0.85546875" style="3" customWidth="1"/>
    <col min="1736" max="1736" width="11" style="3"/>
    <col min="1737" max="1737" width="15.42578125" style="3" customWidth="1"/>
    <col min="1738" max="1740" width="14.85546875" style="3" customWidth="1"/>
    <col min="1741" max="1741" width="0.7109375" style="3" customWidth="1"/>
    <col min="1742" max="1742" width="11" style="3"/>
    <col min="1743" max="1743" width="15.7109375" style="3" customWidth="1"/>
    <col min="1744" max="1745" width="14.85546875" style="3" customWidth="1"/>
    <col min="1746" max="1746" width="3.28515625" style="3" customWidth="1"/>
    <col min="1747" max="1747" width="20.140625" style="3" customWidth="1"/>
    <col min="1748" max="1748" width="3.28515625" style="3" customWidth="1"/>
    <col min="1749" max="1753" width="11" style="3"/>
    <col min="1754" max="1766" width="4.7109375" style="3" customWidth="1"/>
    <col min="1767" max="1976" width="11" style="3"/>
    <col min="1977" max="1977" width="0.7109375" style="3" customWidth="1"/>
    <col min="1978" max="1978" width="6.5703125" style="3" customWidth="1"/>
    <col min="1979" max="1979" width="13.5703125" style="3" customWidth="1"/>
    <col min="1980" max="1980" width="13.42578125" style="3" customWidth="1"/>
    <col min="1981" max="1982" width="12.5703125" style="3" customWidth="1"/>
    <col min="1983" max="1983" width="14.85546875" style="3" customWidth="1"/>
    <col min="1984" max="1984" width="20.7109375" style="3" customWidth="1"/>
    <col min="1985" max="1985" width="12.5703125" style="3" customWidth="1"/>
    <col min="1986" max="1986" width="13" style="3" customWidth="1"/>
    <col min="1987" max="1987" width="16" style="3" customWidth="1"/>
    <col min="1988" max="1988" width="6.42578125" style="3" customWidth="1"/>
    <col min="1989" max="1989" width="16" style="3" customWidth="1"/>
    <col min="1990" max="1990" width="2.85546875" style="3" customWidth="1"/>
    <col min="1991" max="1991" width="0.85546875" style="3" customWidth="1"/>
    <col min="1992" max="1992" width="11" style="3"/>
    <col min="1993" max="1993" width="15.42578125" style="3" customWidth="1"/>
    <col min="1994" max="1996" width="14.85546875" style="3" customWidth="1"/>
    <col min="1997" max="1997" width="0.7109375" style="3" customWidth="1"/>
    <col min="1998" max="1998" width="11" style="3"/>
    <col min="1999" max="1999" width="15.7109375" style="3" customWidth="1"/>
    <col min="2000" max="2001" width="14.85546875" style="3" customWidth="1"/>
    <col min="2002" max="2002" width="3.28515625" style="3" customWidth="1"/>
    <col min="2003" max="2003" width="20.140625" style="3" customWidth="1"/>
    <col min="2004" max="2004" width="3.28515625" style="3" customWidth="1"/>
    <col min="2005" max="2009" width="11" style="3"/>
    <col min="2010" max="2022" width="4.7109375" style="3" customWidth="1"/>
    <col min="2023" max="2232" width="11" style="3"/>
    <col min="2233" max="2233" width="0.7109375" style="3" customWidth="1"/>
    <col min="2234" max="2234" width="6.5703125" style="3" customWidth="1"/>
    <col min="2235" max="2235" width="13.5703125" style="3" customWidth="1"/>
    <col min="2236" max="2236" width="13.42578125" style="3" customWidth="1"/>
    <col min="2237" max="2238" width="12.5703125" style="3" customWidth="1"/>
    <col min="2239" max="2239" width="14.85546875" style="3" customWidth="1"/>
    <col min="2240" max="2240" width="20.7109375" style="3" customWidth="1"/>
    <col min="2241" max="2241" width="12.5703125" style="3" customWidth="1"/>
    <col min="2242" max="2242" width="13" style="3" customWidth="1"/>
    <col min="2243" max="2243" width="16" style="3" customWidth="1"/>
    <col min="2244" max="2244" width="6.42578125" style="3" customWidth="1"/>
    <col min="2245" max="2245" width="16" style="3" customWidth="1"/>
    <col min="2246" max="2246" width="2.85546875" style="3" customWidth="1"/>
    <col min="2247" max="2247" width="0.85546875" style="3" customWidth="1"/>
    <col min="2248" max="2248" width="11" style="3"/>
    <col min="2249" max="2249" width="15.42578125" style="3" customWidth="1"/>
    <col min="2250" max="2252" width="14.85546875" style="3" customWidth="1"/>
    <col min="2253" max="2253" width="0.7109375" style="3" customWidth="1"/>
    <col min="2254" max="2254" width="11" style="3"/>
    <col min="2255" max="2255" width="15.7109375" style="3" customWidth="1"/>
    <col min="2256" max="2257" width="14.85546875" style="3" customWidth="1"/>
    <col min="2258" max="2258" width="3.28515625" style="3" customWidth="1"/>
    <col min="2259" max="2259" width="20.140625" style="3" customWidth="1"/>
    <col min="2260" max="2260" width="3.28515625" style="3" customWidth="1"/>
    <col min="2261" max="2265" width="11" style="3"/>
    <col min="2266" max="2278" width="4.7109375" style="3" customWidth="1"/>
    <col min="2279" max="2488" width="11" style="3"/>
    <col min="2489" max="2489" width="0.7109375" style="3" customWidth="1"/>
    <col min="2490" max="2490" width="6.5703125" style="3" customWidth="1"/>
    <col min="2491" max="2491" width="13.5703125" style="3" customWidth="1"/>
    <col min="2492" max="2492" width="13.42578125" style="3" customWidth="1"/>
    <col min="2493" max="2494" width="12.5703125" style="3" customWidth="1"/>
    <col min="2495" max="2495" width="14.85546875" style="3" customWidth="1"/>
    <col min="2496" max="2496" width="20.7109375" style="3" customWidth="1"/>
    <col min="2497" max="2497" width="12.5703125" style="3" customWidth="1"/>
    <col min="2498" max="2498" width="13" style="3" customWidth="1"/>
    <col min="2499" max="2499" width="16" style="3" customWidth="1"/>
    <col min="2500" max="2500" width="6.42578125" style="3" customWidth="1"/>
    <col min="2501" max="2501" width="16" style="3" customWidth="1"/>
    <col min="2502" max="2502" width="2.85546875" style="3" customWidth="1"/>
    <col min="2503" max="2503" width="0.85546875" style="3" customWidth="1"/>
    <col min="2504" max="2504" width="11" style="3"/>
    <col min="2505" max="2505" width="15.42578125" style="3" customWidth="1"/>
    <col min="2506" max="2508" width="14.85546875" style="3" customWidth="1"/>
    <col min="2509" max="2509" width="0.7109375" style="3" customWidth="1"/>
    <col min="2510" max="2510" width="11" style="3"/>
    <col min="2511" max="2511" width="15.7109375" style="3" customWidth="1"/>
    <col min="2512" max="2513" width="14.85546875" style="3" customWidth="1"/>
    <col min="2514" max="2514" width="3.28515625" style="3" customWidth="1"/>
    <col min="2515" max="2515" width="20.140625" style="3" customWidth="1"/>
    <col min="2516" max="2516" width="3.28515625" style="3" customWidth="1"/>
    <col min="2517" max="2521" width="11" style="3"/>
    <col min="2522" max="2534" width="4.7109375" style="3" customWidth="1"/>
    <col min="2535" max="2744" width="11" style="3"/>
    <col min="2745" max="2745" width="0.7109375" style="3" customWidth="1"/>
    <col min="2746" max="2746" width="6.5703125" style="3" customWidth="1"/>
    <col min="2747" max="2747" width="13.5703125" style="3" customWidth="1"/>
    <col min="2748" max="2748" width="13.42578125" style="3" customWidth="1"/>
    <col min="2749" max="2750" width="12.5703125" style="3" customWidth="1"/>
    <col min="2751" max="2751" width="14.85546875" style="3" customWidth="1"/>
    <col min="2752" max="2752" width="20.7109375" style="3" customWidth="1"/>
    <col min="2753" max="2753" width="12.5703125" style="3" customWidth="1"/>
    <col min="2754" max="2754" width="13" style="3" customWidth="1"/>
    <col min="2755" max="2755" width="16" style="3" customWidth="1"/>
    <col min="2756" max="2756" width="6.42578125" style="3" customWidth="1"/>
    <col min="2757" max="2757" width="16" style="3" customWidth="1"/>
    <col min="2758" max="2758" width="2.85546875" style="3" customWidth="1"/>
    <col min="2759" max="2759" width="0.85546875" style="3" customWidth="1"/>
    <col min="2760" max="2760" width="11" style="3"/>
    <col min="2761" max="2761" width="15.42578125" style="3" customWidth="1"/>
    <col min="2762" max="2764" width="14.85546875" style="3" customWidth="1"/>
    <col min="2765" max="2765" width="0.7109375" style="3" customWidth="1"/>
    <col min="2766" max="2766" width="11" style="3"/>
    <col min="2767" max="2767" width="15.7109375" style="3" customWidth="1"/>
    <col min="2768" max="2769" width="14.85546875" style="3" customWidth="1"/>
    <col min="2770" max="2770" width="3.28515625" style="3" customWidth="1"/>
    <col min="2771" max="2771" width="20.140625" style="3" customWidth="1"/>
    <col min="2772" max="2772" width="3.28515625" style="3" customWidth="1"/>
    <col min="2773" max="2777" width="11" style="3"/>
    <col min="2778" max="2790" width="4.7109375" style="3" customWidth="1"/>
    <col min="2791" max="3000" width="11" style="3"/>
    <col min="3001" max="3001" width="0.7109375" style="3" customWidth="1"/>
    <col min="3002" max="3002" width="6.5703125" style="3" customWidth="1"/>
    <col min="3003" max="3003" width="13.5703125" style="3" customWidth="1"/>
    <col min="3004" max="3004" width="13.42578125" style="3" customWidth="1"/>
    <col min="3005" max="3006" width="12.5703125" style="3" customWidth="1"/>
    <col min="3007" max="3007" width="14.85546875" style="3" customWidth="1"/>
    <col min="3008" max="3008" width="20.7109375" style="3" customWidth="1"/>
    <col min="3009" max="3009" width="12.5703125" style="3" customWidth="1"/>
    <col min="3010" max="3010" width="13" style="3" customWidth="1"/>
    <col min="3011" max="3011" width="16" style="3" customWidth="1"/>
    <col min="3012" max="3012" width="6.42578125" style="3" customWidth="1"/>
    <col min="3013" max="3013" width="16" style="3" customWidth="1"/>
    <col min="3014" max="3014" width="2.85546875" style="3" customWidth="1"/>
    <col min="3015" max="3015" width="0.85546875" style="3" customWidth="1"/>
    <col min="3016" max="3016" width="11" style="3"/>
    <col min="3017" max="3017" width="15.42578125" style="3" customWidth="1"/>
    <col min="3018" max="3020" width="14.85546875" style="3" customWidth="1"/>
    <col min="3021" max="3021" width="0.7109375" style="3" customWidth="1"/>
    <col min="3022" max="3022" width="11" style="3"/>
    <col min="3023" max="3023" width="15.7109375" style="3" customWidth="1"/>
    <col min="3024" max="3025" width="14.85546875" style="3" customWidth="1"/>
    <col min="3026" max="3026" width="3.28515625" style="3" customWidth="1"/>
    <col min="3027" max="3027" width="20.140625" style="3" customWidth="1"/>
    <col min="3028" max="3028" width="3.28515625" style="3" customWidth="1"/>
    <col min="3029" max="3033" width="11" style="3"/>
    <col min="3034" max="3046" width="4.7109375" style="3" customWidth="1"/>
    <col min="3047" max="3256" width="11" style="3"/>
    <col min="3257" max="3257" width="0.7109375" style="3" customWidth="1"/>
    <col min="3258" max="3258" width="6.5703125" style="3" customWidth="1"/>
    <col min="3259" max="3259" width="13.5703125" style="3" customWidth="1"/>
    <col min="3260" max="3260" width="13.42578125" style="3" customWidth="1"/>
    <col min="3261" max="3262" width="12.5703125" style="3" customWidth="1"/>
    <col min="3263" max="3263" width="14.85546875" style="3" customWidth="1"/>
    <col min="3264" max="3264" width="20.7109375" style="3" customWidth="1"/>
    <col min="3265" max="3265" width="12.5703125" style="3" customWidth="1"/>
    <col min="3266" max="3266" width="13" style="3" customWidth="1"/>
    <col min="3267" max="3267" width="16" style="3" customWidth="1"/>
    <col min="3268" max="3268" width="6.42578125" style="3" customWidth="1"/>
    <col min="3269" max="3269" width="16" style="3" customWidth="1"/>
    <col min="3270" max="3270" width="2.85546875" style="3" customWidth="1"/>
    <col min="3271" max="3271" width="0.85546875" style="3" customWidth="1"/>
    <col min="3272" max="3272" width="11" style="3"/>
    <col min="3273" max="3273" width="15.42578125" style="3" customWidth="1"/>
    <col min="3274" max="3276" width="14.85546875" style="3" customWidth="1"/>
    <col min="3277" max="3277" width="0.7109375" style="3" customWidth="1"/>
    <col min="3278" max="3278" width="11" style="3"/>
    <col min="3279" max="3279" width="15.7109375" style="3" customWidth="1"/>
    <col min="3280" max="3281" width="14.85546875" style="3" customWidth="1"/>
    <col min="3282" max="3282" width="3.28515625" style="3" customWidth="1"/>
    <col min="3283" max="3283" width="20.140625" style="3" customWidth="1"/>
    <col min="3284" max="3284" width="3.28515625" style="3" customWidth="1"/>
    <col min="3285" max="3289" width="11" style="3"/>
    <col min="3290" max="3302" width="4.7109375" style="3" customWidth="1"/>
    <col min="3303" max="3512" width="11" style="3"/>
    <col min="3513" max="3513" width="0.7109375" style="3" customWidth="1"/>
    <col min="3514" max="3514" width="6.5703125" style="3" customWidth="1"/>
    <col min="3515" max="3515" width="13.5703125" style="3" customWidth="1"/>
    <col min="3516" max="3516" width="13.42578125" style="3" customWidth="1"/>
    <col min="3517" max="3518" width="12.5703125" style="3" customWidth="1"/>
    <col min="3519" max="3519" width="14.85546875" style="3" customWidth="1"/>
    <col min="3520" max="3520" width="20.7109375" style="3" customWidth="1"/>
    <col min="3521" max="3521" width="12.5703125" style="3" customWidth="1"/>
    <col min="3522" max="3522" width="13" style="3" customWidth="1"/>
    <col min="3523" max="3523" width="16" style="3" customWidth="1"/>
    <col min="3524" max="3524" width="6.42578125" style="3" customWidth="1"/>
    <col min="3525" max="3525" width="16" style="3" customWidth="1"/>
    <col min="3526" max="3526" width="2.85546875" style="3" customWidth="1"/>
    <col min="3527" max="3527" width="0.85546875" style="3" customWidth="1"/>
    <col min="3528" max="3528" width="11" style="3"/>
    <col min="3529" max="3529" width="15.42578125" style="3" customWidth="1"/>
    <col min="3530" max="3532" width="14.85546875" style="3" customWidth="1"/>
    <col min="3533" max="3533" width="0.7109375" style="3" customWidth="1"/>
    <col min="3534" max="3534" width="11" style="3"/>
    <col min="3535" max="3535" width="15.7109375" style="3" customWidth="1"/>
    <col min="3536" max="3537" width="14.85546875" style="3" customWidth="1"/>
    <col min="3538" max="3538" width="3.28515625" style="3" customWidth="1"/>
    <col min="3539" max="3539" width="20.140625" style="3" customWidth="1"/>
    <col min="3540" max="3540" width="3.28515625" style="3" customWidth="1"/>
    <col min="3541" max="3545" width="11" style="3"/>
    <col min="3546" max="3558" width="4.7109375" style="3" customWidth="1"/>
    <col min="3559" max="3768" width="11" style="3"/>
    <col min="3769" max="3769" width="0.7109375" style="3" customWidth="1"/>
    <col min="3770" max="3770" width="6.5703125" style="3" customWidth="1"/>
    <col min="3771" max="3771" width="13.5703125" style="3" customWidth="1"/>
    <col min="3772" max="3772" width="13.42578125" style="3" customWidth="1"/>
    <col min="3773" max="3774" width="12.5703125" style="3" customWidth="1"/>
    <col min="3775" max="3775" width="14.85546875" style="3" customWidth="1"/>
    <col min="3776" max="3776" width="20.7109375" style="3" customWidth="1"/>
    <col min="3777" max="3777" width="12.5703125" style="3" customWidth="1"/>
    <col min="3778" max="3778" width="13" style="3" customWidth="1"/>
    <col min="3779" max="3779" width="16" style="3" customWidth="1"/>
    <col min="3780" max="3780" width="6.42578125" style="3" customWidth="1"/>
    <col min="3781" max="3781" width="16" style="3" customWidth="1"/>
    <col min="3782" max="3782" width="2.85546875" style="3" customWidth="1"/>
    <col min="3783" max="3783" width="0.85546875" style="3" customWidth="1"/>
    <col min="3784" max="3784" width="11" style="3"/>
    <col min="3785" max="3785" width="15.42578125" style="3" customWidth="1"/>
    <col min="3786" max="3788" width="14.85546875" style="3" customWidth="1"/>
    <col min="3789" max="3789" width="0.7109375" style="3" customWidth="1"/>
    <col min="3790" max="3790" width="11" style="3"/>
    <col min="3791" max="3791" width="15.7109375" style="3" customWidth="1"/>
    <col min="3792" max="3793" width="14.85546875" style="3" customWidth="1"/>
    <col min="3794" max="3794" width="3.28515625" style="3" customWidth="1"/>
    <col min="3795" max="3795" width="20.140625" style="3" customWidth="1"/>
    <col min="3796" max="3796" width="3.28515625" style="3" customWidth="1"/>
    <col min="3797" max="3801" width="11" style="3"/>
    <col min="3802" max="3814" width="4.7109375" style="3" customWidth="1"/>
    <col min="3815" max="4024" width="11" style="3"/>
    <col min="4025" max="4025" width="0.7109375" style="3" customWidth="1"/>
    <col min="4026" max="4026" width="6.5703125" style="3" customWidth="1"/>
    <col min="4027" max="4027" width="13.5703125" style="3" customWidth="1"/>
    <col min="4028" max="4028" width="13.42578125" style="3" customWidth="1"/>
    <col min="4029" max="4030" width="12.5703125" style="3" customWidth="1"/>
    <col min="4031" max="4031" width="14.85546875" style="3" customWidth="1"/>
    <col min="4032" max="4032" width="20.7109375" style="3" customWidth="1"/>
    <col min="4033" max="4033" width="12.5703125" style="3" customWidth="1"/>
    <col min="4034" max="4034" width="13" style="3" customWidth="1"/>
    <col min="4035" max="4035" width="16" style="3" customWidth="1"/>
    <col min="4036" max="4036" width="6.42578125" style="3" customWidth="1"/>
    <col min="4037" max="4037" width="16" style="3" customWidth="1"/>
    <col min="4038" max="4038" width="2.85546875" style="3" customWidth="1"/>
    <col min="4039" max="4039" width="0.85546875" style="3" customWidth="1"/>
    <col min="4040" max="4040" width="11" style="3"/>
    <col min="4041" max="4041" width="15.42578125" style="3" customWidth="1"/>
    <col min="4042" max="4044" width="14.85546875" style="3" customWidth="1"/>
    <col min="4045" max="4045" width="0.7109375" style="3" customWidth="1"/>
    <col min="4046" max="4046" width="11" style="3"/>
    <col min="4047" max="4047" width="15.7109375" style="3" customWidth="1"/>
    <col min="4048" max="4049" width="14.85546875" style="3" customWidth="1"/>
    <col min="4050" max="4050" width="3.28515625" style="3" customWidth="1"/>
    <col min="4051" max="4051" width="20.140625" style="3" customWidth="1"/>
    <col min="4052" max="4052" width="3.28515625" style="3" customWidth="1"/>
    <col min="4053" max="4057" width="11" style="3"/>
    <col min="4058" max="4070" width="4.7109375" style="3" customWidth="1"/>
    <col min="4071" max="4280" width="11" style="3"/>
    <col min="4281" max="4281" width="0.7109375" style="3" customWidth="1"/>
    <col min="4282" max="4282" width="6.5703125" style="3" customWidth="1"/>
    <col min="4283" max="4283" width="13.5703125" style="3" customWidth="1"/>
    <col min="4284" max="4284" width="13.42578125" style="3" customWidth="1"/>
    <col min="4285" max="4286" width="12.5703125" style="3" customWidth="1"/>
    <col min="4287" max="4287" width="14.85546875" style="3" customWidth="1"/>
    <col min="4288" max="4288" width="20.7109375" style="3" customWidth="1"/>
    <col min="4289" max="4289" width="12.5703125" style="3" customWidth="1"/>
    <col min="4290" max="4290" width="13" style="3" customWidth="1"/>
    <col min="4291" max="4291" width="16" style="3" customWidth="1"/>
    <col min="4292" max="4292" width="6.42578125" style="3" customWidth="1"/>
    <col min="4293" max="4293" width="16" style="3" customWidth="1"/>
    <col min="4294" max="4294" width="2.85546875" style="3" customWidth="1"/>
    <col min="4295" max="4295" width="0.85546875" style="3" customWidth="1"/>
    <col min="4296" max="4296" width="11" style="3"/>
    <col min="4297" max="4297" width="15.42578125" style="3" customWidth="1"/>
    <col min="4298" max="4300" width="14.85546875" style="3" customWidth="1"/>
    <col min="4301" max="4301" width="0.7109375" style="3" customWidth="1"/>
    <col min="4302" max="4302" width="11" style="3"/>
    <col min="4303" max="4303" width="15.7109375" style="3" customWidth="1"/>
    <col min="4304" max="4305" width="14.85546875" style="3" customWidth="1"/>
    <col min="4306" max="4306" width="3.28515625" style="3" customWidth="1"/>
    <col min="4307" max="4307" width="20.140625" style="3" customWidth="1"/>
    <col min="4308" max="4308" width="3.28515625" style="3" customWidth="1"/>
    <col min="4309" max="4313" width="11" style="3"/>
    <col min="4314" max="4326" width="4.7109375" style="3" customWidth="1"/>
    <col min="4327" max="4536" width="11" style="3"/>
    <col min="4537" max="4537" width="0.7109375" style="3" customWidth="1"/>
    <col min="4538" max="4538" width="6.5703125" style="3" customWidth="1"/>
    <col min="4539" max="4539" width="13.5703125" style="3" customWidth="1"/>
    <col min="4540" max="4540" width="13.42578125" style="3" customWidth="1"/>
    <col min="4541" max="4542" width="12.5703125" style="3" customWidth="1"/>
    <col min="4543" max="4543" width="14.85546875" style="3" customWidth="1"/>
    <col min="4544" max="4544" width="20.7109375" style="3" customWidth="1"/>
    <col min="4545" max="4545" width="12.5703125" style="3" customWidth="1"/>
    <col min="4546" max="4546" width="13" style="3" customWidth="1"/>
    <col min="4547" max="4547" width="16" style="3" customWidth="1"/>
    <col min="4548" max="4548" width="6.42578125" style="3" customWidth="1"/>
    <col min="4549" max="4549" width="16" style="3" customWidth="1"/>
    <col min="4550" max="4550" width="2.85546875" style="3" customWidth="1"/>
    <col min="4551" max="4551" width="0.85546875" style="3" customWidth="1"/>
    <col min="4552" max="4552" width="11" style="3"/>
    <col min="4553" max="4553" width="15.42578125" style="3" customWidth="1"/>
    <col min="4554" max="4556" width="14.85546875" style="3" customWidth="1"/>
    <col min="4557" max="4557" width="0.7109375" style="3" customWidth="1"/>
    <col min="4558" max="4558" width="11" style="3"/>
    <col min="4559" max="4559" width="15.7109375" style="3" customWidth="1"/>
    <col min="4560" max="4561" width="14.85546875" style="3" customWidth="1"/>
    <col min="4562" max="4562" width="3.28515625" style="3" customWidth="1"/>
    <col min="4563" max="4563" width="20.140625" style="3" customWidth="1"/>
    <col min="4564" max="4564" width="3.28515625" style="3" customWidth="1"/>
    <col min="4565" max="4569" width="11" style="3"/>
    <col min="4570" max="4582" width="4.7109375" style="3" customWidth="1"/>
    <col min="4583" max="4792" width="11" style="3"/>
    <col min="4793" max="4793" width="0.7109375" style="3" customWidth="1"/>
    <col min="4794" max="4794" width="6.5703125" style="3" customWidth="1"/>
    <col min="4795" max="4795" width="13.5703125" style="3" customWidth="1"/>
    <col min="4796" max="4796" width="13.42578125" style="3" customWidth="1"/>
    <col min="4797" max="4798" width="12.5703125" style="3" customWidth="1"/>
    <col min="4799" max="4799" width="14.85546875" style="3" customWidth="1"/>
    <col min="4800" max="4800" width="20.7109375" style="3" customWidth="1"/>
    <col min="4801" max="4801" width="12.5703125" style="3" customWidth="1"/>
    <col min="4802" max="4802" width="13" style="3" customWidth="1"/>
    <col min="4803" max="4803" width="16" style="3" customWidth="1"/>
    <col min="4804" max="4804" width="6.42578125" style="3" customWidth="1"/>
    <col min="4805" max="4805" width="16" style="3" customWidth="1"/>
    <col min="4806" max="4806" width="2.85546875" style="3" customWidth="1"/>
    <col min="4807" max="4807" width="0.85546875" style="3" customWidth="1"/>
    <col min="4808" max="4808" width="11" style="3"/>
    <col min="4809" max="4809" width="15.42578125" style="3" customWidth="1"/>
    <col min="4810" max="4812" width="14.85546875" style="3" customWidth="1"/>
    <col min="4813" max="4813" width="0.7109375" style="3" customWidth="1"/>
    <col min="4814" max="4814" width="11" style="3"/>
    <col min="4815" max="4815" width="15.7109375" style="3" customWidth="1"/>
    <col min="4816" max="4817" width="14.85546875" style="3" customWidth="1"/>
    <col min="4818" max="4818" width="3.28515625" style="3" customWidth="1"/>
    <col min="4819" max="4819" width="20.140625" style="3" customWidth="1"/>
    <col min="4820" max="4820" width="3.28515625" style="3" customWidth="1"/>
    <col min="4821" max="4825" width="11" style="3"/>
    <col min="4826" max="4838" width="4.7109375" style="3" customWidth="1"/>
    <col min="4839" max="5048" width="11" style="3"/>
    <col min="5049" max="5049" width="0.7109375" style="3" customWidth="1"/>
    <col min="5050" max="5050" width="6.5703125" style="3" customWidth="1"/>
    <col min="5051" max="5051" width="13.5703125" style="3" customWidth="1"/>
    <col min="5052" max="5052" width="13.42578125" style="3" customWidth="1"/>
    <col min="5053" max="5054" width="12.5703125" style="3" customWidth="1"/>
    <col min="5055" max="5055" width="14.85546875" style="3" customWidth="1"/>
    <col min="5056" max="5056" width="20.7109375" style="3" customWidth="1"/>
    <col min="5057" max="5057" width="12.5703125" style="3" customWidth="1"/>
    <col min="5058" max="5058" width="13" style="3" customWidth="1"/>
    <col min="5059" max="5059" width="16" style="3" customWidth="1"/>
    <col min="5060" max="5060" width="6.42578125" style="3" customWidth="1"/>
    <col min="5061" max="5061" width="16" style="3" customWidth="1"/>
    <col min="5062" max="5062" width="2.85546875" style="3" customWidth="1"/>
    <col min="5063" max="5063" width="0.85546875" style="3" customWidth="1"/>
    <col min="5064" max="5064" width="11" style="3"/>
    <col min="5065" max="5065" width="15.42578125" style="3" customWidth="1"/>
    <col min="5066" max="5068" width="14.85546875" style="3" customWidth="1"/>
    <col min="5069" max="5069" width="0.7109375" style="3" customWidth="1"/>
    <col min="5070" max="5070" width="11" style="3"/>
    <col min="5071" max="5071" width="15.7109375" style="3" customWidth="1"/>
    <col min="5072" max="5073" width="14.85546875" style="3" customWidth="1"/>
    <col min="5074" max="5074" width="3.28515625" style="3" customWidth="1"/>
    <col min="5075" max="5075" width="20.140625" style="3" customWidth="1"/>
    <col min="5076" max="5076" width="3.28515625" style="3" customWidth="1"/>
    <col min="5077" max="5081" width="11" style="3"/>
    <col min="5082" max="5094" width="4.7109375" style="3" customWidth="1"/>
    <col min="5095" max="5304" width="11" style="3"/>
    <col min="5305" max="5305" width="0.7109375" style="3" customWidth="1"/>
    <col min="5306" max="5306" width="6.5703125" style="3" customWidth="1"/>
    <col min="5307" max="5307" width="13.5703125" style="3" customWidth="1"/>
    <col min="5308" max="5308" width="13.42578125" style="3" customWidth="1"/>
    <col min="5309" max="5310" width="12.5703125" style="3" customWidth="1"/>
    <col min="5311" max="5311" width="14.85546875" style="3" customWidth="1"/>
    <col min="5312" max="5312" width="20.7109375" style="3" customWidth="1"/>
    <col min="5313" max="5313" width="12.5703125" style="3" customWidth="1"/>
    <col min="5314" max="5314" width="13" style="3" customWidth="1"/>
    <col min="5315" max="5315" width="16" style="3" customWidth="1"/>
    <col min="5316" max="5316" width="6.42578125" style="3" customWidth="1"/>
    <col min="5317" max="5317" width="16" style="3" customWidth="1"/>
    <col min="5318" max="5318" width="2.85546875" style="3" customWidth="1"/>
    <col min="5319" max="5319" width="0.85546875" style="3" customWidth="1"/>
    <col min="5320" max="5320" width="11" style="3"/>
    <col min="5321" max="5321" width="15.42578125" style="3" customWidth="1"/>
    <col min="5322" max="5324" width="14.85546875" style="3" customWidth="1"/>
    <col min="5325" max="5325" width="0.7109375" style="3" customWidth="1"/>
    <col min="5326" max="5326" width="11" style="3"/>
    <col min="5327" max="5327" width="15.7109375" style="3" customWidth="1"/>
    <col min="5328" max="5329" width="14.85546875" style="3" customWidth="1"/>
    <col min="5330" max="5330" width="3.28515625" style="3" customWidth="1"/>
    <col min="5331" max="5331" width="20.140625" style="3" customWidth="1"/>
    <col min="5332" max="5332" width="3.28515625" style="3" customWidth="1"/>
    <col min="5333" max="5337" width="11" style="3"/>
    <col min="5338" max="5350" width="4.7109375" style="3" customWidth="1"/>
    <col min="5351" max="5560" width="11" style="3"/>
    <col min="5561" max="5561" width="0.7109375" style="3" customWidth="1"/>
    <col min="5562" max="5562" width="6.5703125" style="3" customWidth="1"/>
    <col min="5563" max="5563" width="13.5703125" style="3" customWidth="1"/>
    <col min="5564" max="5564" width="13.42578125" style="3" customWidth="1"/>
    <col min="5565" max="5566" width="12.5703125" style="3" customWidth="1"/>
    <col min="5567" max="5567" width="14.85546875" style="3" customWidth="1"/>
    <col min="5568" max="5568" width="20.7109375" style="3" customWidth="1"/>
    <col min="5569" max="5569" width="12.5703125" style="3" customWidth="1"/>
    <col min="5570" max="5570" width="13" style="3" customWidth="1"/>
    <col min="5571" max="5571" width="16" style="3" customWidth="1"/>
    <col min="5572" max="5572" width="6.42578125" style="3" customWidth="1"/>
    <col min="5573" max="5573" width="16" style="3" customWidth="1"/>
    <col min="5574" max="5574" width="2.85546875" style="3" customWidth="1"/>
    <col min="5575" max="5575" width="0.85546875" style="3" customWidth="1"/>
    <col min="5576" max="5576" width="11" style="3"/>
    <col min="5577" max="5577" width="15.42578125" style="3" customWidth="1"/>
    <col min="5578" max="5580" width="14.85546875" style="3" customWidth="1"/>
    <col min="5581" max="5581" width="0.7109375" style="3" customWidth="1"/>
    <col min="5582" max="5582" width="11" style="3"/>
    <col min="5583" max="5583" width="15.7109375" style="3" customWidth="1"/>
    <col min="5584" max="5585" width="14.85546875" style="3" customWidth="1"/>
    <col min="5586" max="5586" width="3.28515625" style="3" customWidth="1"/>
    <col min="5587" max="5587" width="20.140625" style="3" customWidth="1"/>
    <col min="5588" max="5588" width="3.28515625" style="3" customWidth="1"/>
    <col min="5589" max="5593" width="11" style="3"/>
    <col min="5594" max="5606" width="4.7109375" style="3" customWidth="1"/>
    <col min="5607" max="5816" width="11" style="3"/>
    <col min="5817" max="5817" width="0.7109375" style="3" customWidth="1"/>
    <col min="5818" max="5818" width="6.5703125" style="3" customWidth="1"/>
    <col min="5819" max="5819" width="13.5703125" style="3" customWidth="1"/>
    <col min="5820" max="5820" width="13.42578125" style="3" customWidth="1"/>
    <col min="5821" max="5822" width="12.5703125" style="3" customWidth="1"/>
    <col min="5823" max="5823" width="14.85546875" style="3" customWidth="1"/>
    <col min="5824" max="5824" width="20.7109375" style="3" customWidth="1"/>
    <col min="5825" max="5825" width="12.5703125" style="3" customWidth="1"/>
    <col min="5826" max="5826" width="13" style="3" customWidth="1"/>
    <col min="5827" max="5827" width="16" style="3" customWidth="1"/>
    <col min="5828" max="5828" width="6.42578125" style="3" customWidth="1"/>
    <col min="5829" max="5829" width="16" style="3" customWidth="1"/>
    <col min="5830" max="5830" width="2.85546875" style="3" customWidth="1"/>
    <col min="5831" max="5831" width="0.85546875" style="3" customWidth="1"/>
    <col min="5832" max="5832" width="11" style="3"/>
    <col min="5833" max="5833" width="15.42578125" style="3" customWidth="1"/>
    <col min="5834" max="5836" width="14.85546875" style="3" customWidth="1"/>
    <col min="5837" max="5837" width="0.7109375" style="3" customWidth="1"/>
    <col min="5838" max="5838" width="11" style="3"/>
    <col min="5839" max="5839" width="15.7109375" style="3" customWidth="1"/>
    <col min="5840" max="5841" width="14.85546875" style="3" customWidth="1"/>
    <col min="5842" max="5842" width="3.28515625" style="3" customWidth="1"/>
    <col min="5843" max="5843" width="20.140625" style="3" customWidth="1"/>
    <col min="5844" max="5844" width="3.28515625" style="3" customWidth="1"/>
    <col min="5845" max="5849" width="11" style="3"/>
    <col min="5850" max="5862" width="4.7109375" style="3" customWidth="1"/>
    <col min="5863" max="6072" width="11" style="3"/>
    <col min="6073" max="6073" width="0.7109375" style="3" customWidth="1"/>
    <col min="6074" max="6074" width="6.5703125" style="3" customWidth="1"/>
    <col min="6075" max="6075" width="13.5703125" style="3" customWidth="1"/>
    <col min="6076" max="6076" width="13.42578125" style="3" customWidth="1"/>
    <col min="6077" max="6078" width="12.5703125" style="3" customWidth="1"/>
    <col min="6079" max="6079" width="14.85546875" style="3" customWidth="1"/>
    <col min="6080" max="6080" width="20.7109375" style="3" customWidth="1"/>
    <col min="6081" max="6081" width="12.5703125" style="3" customWidth="1"/>
    <col min="6082" max="6082" width="13" style="3" customWidth="1"/>
    <col min="6083" max="6083" width="16" style="3" customWidth="1"/>
    <col min="6084" max="6084" width="6.42578125" style="3" customWidth="1"/>
    <col min="6085" max="6085" width="16" style="3" customWidth="1"/>
    <col min="6086" max="6086" width="2.85546875" style="3" customWidth="1"/>
    <col min="6087" max="6087" width="0.85546875" style="3" customWidth="1"/>
    <col min="6088" max="6088" width="11" style="3"/>
    <col min="6089" max="6089" width="15.42578125" style="3" customWidth="1"/>
    <col min="6090" max="6092" width="14.85546875" style="3" customWidth="1"/>
    <col min="6093" max="6093" width="0.7109375" style="3" customWidth="1"/>
    <col min="6094" max="6094" width="11" style="3"/>
    <col min="6095" max="6095" width="15.7109375" style="3" customWidth="1"/>
    <col min="6096" max="6097" width="14.85546875" style="3" customWidth="1"/>
    <col min="6098" max="6098" width="3.28515625" style="3" customWidth="1"/>
    <col min="6099" max="6099" width="20.140625" style="3" customWidth="1"/>
    <col min="6100" max="6100" width="3.28515625" style="3" customWidth="1"/>
    <col min="6101" max="6105" width="11" style="3"/>
    <col min="6106" max="6118" width="4.7109375" style="3" customWidth="1"/>
    <col min="6119" max="6328" width="11" style="3"/>
    <col min="6329" max="6329" width="0.7109375" style="3" customWidth="1"/>
    <col min="6330" max="6330" width="6.5703125" style="3" customWidth="1"/>
    <col min="6331" max="6331" width="13.5703125" style="3" customWidth="1"/>
    <col min="6332" max="6332" width="13.42578125" style="3" customWidth="1"/>
    <col min="6333" max="6334" width="12.5703125" style="3" customWidth="1"/>
    <col min="6335" max="6335" width="14.85546875" style="3" customWidth="1"/>
    <col min="6336" max="6336" width="20.7109375" style="3" customWidth="1"/>
    <col min="6337" max="6337" width="12.5703125" style="3" customWidth="1"/>
    <col min="6338" max="6338" width="13" style="3" customWidth="1"/>
    <col min="6339" max="6339" width="16" style="3" customWidth="1"/>
    <col min="6340" max="6340" width="6.42578125" style="3" customWidth="1"/>
    <col min="6341" max="6341" width="16" style="3" customWidth="1"/>
    <col min="6342" max="6342" width="2.85546875" style="3" customWidth="1"/>
    <col min="6343" max="6343" width="0.85546875" style="3" customWidth="1"/>
    <col min="6344" max="6344" width="11" style="3"/>
    <col min="6345" max="6345" width="15.42578125" style="3" customWidth="1"/>
    <col min="6346" max="6348" width="14.85546875" style="3" customWidth="1"/>
    <col min="6349" max="6349" width="0.7109375" style="3" customWidth="1"/>
    <col min="6350" max="6350" width="11" style="3"/>
    <col min="6351" max="6351" width="15.7109375" style="3" customWidth="1"/>
    <col min="6352" max="6353" width="14.85546875" style="3" customWidth="1"/>
    <col min="6354" max="6354" width="3.28515625" style="3" customWidth="1"/>
    <col min="6355" max="6355" width="20.140625" style="3" customWidth="1"/>
    <col min="6356" max="6356" width="3.28515625" style="3" customWidth="1"/>
    <col min="6357" max="6361" width="11" style="3"/>
    <col min="6362" max="6374" width="4.7109375" style="3" customWidth="1"/>
    <col min="6375" max="6584" width="11" style="3"/>
    <col min="6585" max="6585" width="0.7109375" style="3" customWidth="1"/>
    <col min="6586" max="6586" width="6.5703125" style="3" customWidth="1"/>
    <col min="6587" max="6587" width="13.5703125" style="3" customWidth="1"/>
    <col min="6588" max="6588" width="13.42578125" style="3" customWidth="1"/>
    <col min="6589" max="6590" width="12.5703125" style="3" customWidth="1"/>
    <col min="6591" max="6591" width="14.85546875" style="3" customWidth="1"/>
    <col min="6592" max="6592" width="20.7109375" style="3" customWidth="1"/>
    <col min="6593" max="6593" width="12.5703125" style="3" customWidth="1"/>
    <col min="6594" max="6594" width="13" style="3" customWidth="1"/>
    <col min="6595" max="6595" width="16" style="3" customWidth="1"/>
    <col min="6596" max="6596" width="6.42578125" style="3" customWidth="1"/>
    <col min="6597" max="6597" width="16" style="3" customWidth="1"/>
    <col min="6598" max="6598" width="2.85546875" style="3" customWidth="1"/>
    <col min="6599" max="6599" width="0.85546875" style="3" customWidth="1"/>
    <col min="6600" max="6600" width="11" style="3"/>
    <col min="6601" max="6601" width="15.42578125" style="3" customWidth="1"/>
    <col min="6602" max="6604" width="14.85546875" style="3" customWidth="1"/>
    <col min="6605" max="6605" width="0.7109375" style="3" customWidth="1"/>
    <col min="6606" max="6606" width="11" style="3"/>
    <col min="6607" max="6607" width="15.7109375" style="3" customWidth="1"/>
    <col min="6608" max="6609" width="14.85546875" style="3" customWidth="1"/>
    <col min="6610" max="6610" width="3.28515625" style="3" customWidth="1"/>
    <col min="6611" max="6611" width="20.140625" style="3" customWidth="1"/>
    <col min="6612" max="6612" width="3.28515625" style="3" customWidth="1"/>
    <col min="6613" max="6617" width="11" style="3"/>
    <col min="6618" max="6630" width="4.7109375" style="3" customWidth="1"/>
    <col min="6631" max="6840" width="11" style="3"/>
    <col min="6841" max="6841" width="0.7109375" style="3" customWidth="1"/>
    <col min="6842" max="6842" width="6.5703125" style="3" customWidth="1"/>
    <col min="6843" max="6843" width="13.5703125" style="3" customWidth="1"/>
    <col min="6844" max="6844" width="13.42578125" style="3" customWidth="1"/>
    <col min="6845" max="6846" width="12.5703125" style="3" customWidth="1"/>
    <col min="6847" max="6847" width="14.85546875" style="3" customWidth="1"/>
    <col min="6848" max="6848" width="20.7109375" style="3" customWidth="1"/>
    <col min="6849" max="6849" width="12.5703125" style="3" customWidth="1"/>
    <col min="6850" max="6850" width="13" style="3" customWidth="1"/>
    <col min="6851" max="6851" width="16" style="3" customWidth="1"/>
    <col min="6852" max="6852" width="6.42578125" style="3" customWidth="1"/>
    <col min="6853" max="6853" width="16" style="3" customWidth="1"/>
    <col min="6854" max="6854" width="2.85546875" style="3" customWidth="1"/>
    <col min="6855" max="6855" width="0.85546875" style="3" customWidth="1"/>
    <col min="6856" max="6856" width="11" style="3"/>
    <col min="6857" max="6857" width="15.42578125" style="3" customWidth="1"/>
    <col min="6858" max="6860" width="14.85546875" style="3" customWidth="1"/>
    <col min="6861" max="6861" width="0.7109375" style="3" customWidth="1"/>
    <col min="6862" max="6862" width="11" style="3"/>
    <col min="6863" max="6863" width="15.7109375" style="3" customWidth="1"/>
    <col min="6864" max="6865" width="14.85546875" style="3" customWidth="1"/>
    <col min="6866" max="6866" width="3.28515625" style="3" customWidth="1"/>
    <col min="6867" max="6867" width="20.140625" style="3" customWidth="1"/>
    <col min="6868" max="6868" width="3.28515625" style="3" customWidth="1"/>
    <col min="6869" max="6873" width="11" style="3"/>
    <col min="6874" max="6886" width="4.7109375" style="3" customWidth="1"/>
    <col min="6887" max="7096" width="11" style="3"/>
    <col min="7097" max="7097" width="0.7109375" style="3" customWidth="1"/>
    <col min="7098" max="7098" width="6.5703125" style="3" customWidth="1"/>
    <col min="7099" max="7099" width="13.5703125" style="3" customWidth="1"/>
    <col min="7100" max="7100" width="13.42578125" style="3" customWidth="1"/>
    <col min="7101" max="7102" width="12.5703125" style="3" customWidth="1"/>
    <col min="7103" max="7103" width="14.85546875" style="3" customWidth="1"/>
    <col min="7104" max="7104" width="20.7109375" style="3" customWidth="1"/>
    <col min="7105" max="7105" width="12.5703125" style="3" customWidth="1"/>
    <col min="7106" max="7106" width="13" style="3" customWidth="1"/>
    <col min="7107" max="7107" width="16" style="3" customWidth="1"/>
    <col min="7108" max="7108" width="6.42578125" style="3" customWidth="1"/>
    <col min="7109" max="7109" width="16" style="3" customWidth="1"/>
    <col min="7110" max="7110" width="2.85546875" style="3" customWidth="1"/>
    <col min="7111" max="7111" width="0.85546875" style="3" customWidth="1"/>
    <col min="7112" max="7112" width="11" style="3"/>
    <col min="7113" max="7113" width="15.42578125" style="3" customWidth="1"/>
    <col min="7114" max="7116" width="14.85546875" style="3" customWidth="1"/>
    <col min="7117" max="7117" width="0.7109375" style="3" customWidth="1"/>
    <col min="7118" max="7118" width="11" style="3"/>
    <col min="7119" max="7119" width="15.7109375" style="3" customWidth="1"/>
    <col min="7120" max="7121" width="14.85546875" style="3" customWidth="1"/>
    <col min="7122" max="7122" width="3.28515625" style="3" customWidth="1"/>
    <col min="7123" max="7123" width="20.140625" style="3" customWidth="1"/>
    <col min="7124" max="7124" width="3.28515625" style="3" customWidth="1"/>
    <col min="7125" max="7129" width="11" style="3"/>
    <col min="7130" max="7142" width="4.7109375" style="3" customWidth="1"/>
    <col min="7143" max="7352" width="11" style="3"/>
    <col min="7353" max="7353" width="0.7109375" style="3" customWidth="1"/>
    <col min="7354" max="7354" width="6.5703125" style="3" customWidth="1"/>
    <col min="7355" max="7355" width="13.5703125" style="3" customWidth="1"/>
    <col min="7356" max="7356" width="13.42578125" style="3" customWidth="1"/>
    <col min="7357" max="7358" width="12.5703125" style="3" customWidth="1"/>
    <col min="7359" max="7359" width="14.85546875" style="3" customWidth="1"/>
    <col min="7360" max="7360" width="20.7109375" style="3" customWidth="1"/>
    <col min="7361" max="7361" width="12.5703125" style="3" customWidth="1"/>
    <col min="7362" max="7362" width="13" style="3" customWidth="1"/>
    <col min="7363" max="7363" width="16" style="3" customWidth="1"/>
    <col min="7364" max="7364" width="6.42578125" style="3" customWidth="1"/>
    <col min="7365" max="7365" width="16" style="3" customWidth="1"/>
    <col min="7366" max="7366" width="2.85546875" style="3" customWidth="1"/>
    <col min="7367" max="7367" width="0.85546875" style="3" customWidth="1"/>
    <col min="7368" max="7368" width="11" style="3"/>
    <col min="7369" max="7369" width="15.42578125" style="3" customWidth="1"/>
    <col min="7370" max="7372" width="14.85546875" style="3" customWidth="1"/>
    <col min="7373" max="7373" width="0.7109375" style="3" customWidth="1"/>
    <col min="7374" max="7374" width="11" style="3"/>
    <col min="7375" max="7375" width="15.7109375" style="3" customWidth="1"/>
    <col min="7376" max="7377" width="14.85546875" style="3" customWidth="1"/>
    <col min="7378" max="7378" width="3.28515625" style="3" customWidth="1"/>
    <col min="7379" max="7379" width="20.140625" style="3" customWidth="1"/>
    <col min="7380" max="7380" width="3.28515625" style="3" customWidth="1"/>
    <col min="7381" max="7385" width="11" style="3"/>
    <col min="7386" max="7398" width="4.7109375" style="3" customWidth="1"/>
    <col min="7399" max="7608" width="11" style="3"/>
    <col min="7609" max="7609" width="0.7109375" style="3" customWidth="1"/>
    <col min="7610" max="7610" width="6.5703125" style="3" customWidth="1"/>
    <col min="7611" max="7611" width="13.5703125" style="3" customWidth="1"/>
    <col min="7612" max="7612" width="13.42578125" style="3" customWidth="1"/>
    <col min="7613" max="7614" width="12.5703125" style="3" customWidth="1"/>
    <col min="7615" max="7615" width="14.85546875" style="3" customWidth="1"/>
    <col min="7616" max="7616" width="20.7109375" style="3" customWidth="1"/>
    <col min="7617" max="7617" width="12.5703125" style="3" customWidth="1"/>
    <col min="7618" max="7618" width="13" style="3" customWidth="1"/>
    <col min="7619" max="7619" width="16" style="3" customWidth="1"/>
    <col min="7620" max="7620" width="6.42578125" style="3" customWidth="1"/>
    <col min="7621" max="7621" width="16" style="3" customWidth="1"/>
    <col min="7622" max="7622" width="2.85546875" style="3" customWidth="1"/>
    <col min="7623" max="7623" width="0.85546875" style="3" customWidth="1"/>
    <col min="7624" max="7624" width="11" style="3"/>
    <col min="7625" max="7625" width="15.42578125" style="3" customWidth="1"/>
    <col min="7626" max="7628" width="14.85546875" style="3" customWidth="1"/>
    <col min="7629" max="7629" width="0.7109375" style="3" customWidth="1"/>
    <col min="7630" max="7630" width="11" style="3"/>
    <col min="7631" max="7631" width="15.7109375" style="3" customWidth="1"/>
    <col min="7632" max="7633" width="14.85546875" style="3" customWidth="1"/>
    <col min="7634" max="7634" width="3.28515625" style="3" customWidth="1"/>
    <col min="7635" max="7635" width="20.140625" style="3" customWidth="1"/>
    <col min="7636" max="7636" width="3.28515625" style="3" customWidth="1"/>
    <col min="7637" max="7641" width="11" style="3"/>
    <col min="7642" max="7654" width="4.7109375" style="3" customWidth="1"/>
    <col min="7655" max="7864" width="11" style="3"/>
    <col min="7865" max="7865" width="0.7109375" style="3" customWidth="1"/>
    <col min="7866" max="7866" width="6.5703125" style="3" customWidth="1"/>
    <col min="7867" max="7867" width="13.5703125" style="3" customWidth="1"/>
    <col min="7868" max="7868" width="13.42578125" style="3" customWidth="1"/>
    <col min="7869" max="7870" width="12.5703125" style="3" customWidth="1"/>
    <col min="7871" max="7871" width="14.85546875" style="3" customWidth="1"/>
    <col min="7872" max="7872" width="20.7109375" style="3" customWidth="1"/>
    <col min="7873" max="7873" width="12.5703125" style="3" customWidth="1"/>
    <col min="7874" max="7874" width="13" style="3" customWidth="1"/>
    <col min="7875" max="7875" width="16" style="3" customWidth="1"/>
    <col min="7876" max="7876" width="6.42578125" style="3" customWidth="1"/>
    <col min="7877" max="7877" width="16" style="3" customWidth="1"/>
    <col min="7878" max="7878" width="2.85546875" style="3" customWidth="1"/>
    <col min="7879" max="7879" width="0.85546875" style="3" customWidth="1"/>
    <col min="7880" max="7880" width="11" style="3"/>
    <col min="7881" max="7881" width="15.42578125" style="3" customWidth="1"/>
    <col min="7882" max="7884" width="14.85546875" style="3" customWidth="1"/>
    <col min="7885" max="7885" width="0.7109375" style="3" customWidth="1"/>
    <col min="7886" max="7886" width="11" style="3"/>
    <col min="7887" max="7887" width="15.7109375" style="3" customWidth="1"/>
    <col min="7888" max="7889" width="14.85546875" style="3" customWidth="1"/>
    <col min="7890" max="7890" width="3.28515625" style="3" customWidth="1"/>
    <col min="7891" max="7891" width="20.140625" style="3" customWidth="1"/>
    <col min="7892" max="7892" width="3.28515625" style="3" customWidth="1"/>
    <col min="7893" max="7897" width="11" style="3"/>
    <col min="7898" max="7910" width="4.7109375" style="3" customWidth="1"/>
    <col min="7911" max="8120" width="11" style="3"/>
    <col min="8121" max="8121" width="0.7109375" style="3" customWidth="1"/>
    <col min="8122" max="8122" width="6.5703125" style="3" customWidth="1"/>
    <col min="8123" max="8123" width="13.5703125" style="3" customWidth="1"/>
    <col min="8124" max="8124" width="13.42578125" style="3" customWidth="1"/>
    <col min="8125" max="8126" width="12.5703125" style="3" customWidth="1"/>
    <col min="8127" max="8127" width="14.85546875" style="3" customWidth="1"/>
    <col min="8128" max="8128" width="20.7109375" style="3" customWidth="1"/>
    <col min="8129" max="8129" width="12.5703125" style="3" customWidth="1"/>
    <col min="8130" max="8130" width="13" style="3" customWidth="1"/>
    <col min="8131" max="8131" width="16" style="3" customWidth="1"/>
    <col min="8132" max="8132" width="6.42578125" style="3" customWidth="1"/>
    <col min="8133" max="8133" width="16" style="3" customWidth="1"/>
    <col min="8134" max="8134" width="2.85546875" style="3" customWidth="1"/>
    <col min="8135" max="8135" width="0.85546875" style="3" customWidth="1"/>
    <col min="8136" max="8136" width="11" style="3"/>
    <col min="8137" max="8137" width="15.42578125" style="3" customWidth="1"/>
    <col min="8138" max="8140" width="14.85546875" style="3" customWidth="1"/>
    <col min="8141" max="8141" width="0.7109375" style="3" customWidth="1"/>
    <col min="8142" max="8142" width="11" style="3"/>
    <col min="8143" max="8143" width="15.7109375" style="3" customWidth="1"/>
    <col min="8144" max="8145" width="14.85546875" style="3" customWidth="1"/>
    <col min="8146" max="8146" width="3.28515625" style="3" customWidth="1"/>
    <col min="8147" max="8147" width="20.140625" style="3" customWidth="1"/>
    <col min="8148" max="8148" width="3.28515625" style="3" customWidth="1"/>
    <col min="8149" max="8153" width="11" style="3"/>
    <col min="8154" max="8166" width="4.7109375" style="3" customWidth="1"/>
    <col min="8167" max="8376" width="11" style="3"/>
    <col min="8377" max="8377" width="0.7109375" style="3" customWidth="1"/>
    <col min="8378" max="8378" width="6.5703125" style="3" customWidth="1"/>
    <col min="8379" max="8379" width="13.5703125" style="3" customWidth="1"/>
    <col min="8380" max="8380" width="13.42578125" style="3" customWidth="1"/>
    <col min="8381" max="8382" width="12.5703125" style="3" customWidth="1"/>
    <col min="8383" max="8383" width="14.85546875" style="3" customWidth="1"/>
    <col min="8384" max="8384" width="20.7109375" style="3" customWidth="1"/>
    <col min="8385" max="8385" width="12.5703125" style="3" customWidth="1"/>
    <col min="8386" max="8386" width="13" style="3" customWidth="1"/>
    <col min="8387" max="8387" width="16" style="3" customWidth="1"/>
    <col min="8388" max="8388" width="6.42578125" style="3" customWidth="1"/>
    <col min="8389" max="8389" width="16" style="3" customWidth="1"/>
    <col min="8390" max="8390" width="2.85546875" style="3" customWidth="1"/>
    <col min="8391" max="8391" width="0.85546875" style="3" customWidth="1"/>
    <col min="8392" max="8392" width="11" style="3"/>
    <col min="8393" max="8393" width="15.42578125" style="3" customWidth="1"/>
    <col min="8394" max="8396" width="14.85546875" style="3" customWidth="1"/>
    <col min="8397" max="8397" width="0.7109375" style="3" customWidth="1"/>
    <col min="8398" max="8398" width="11" style="3"/>
    <col min="8399" max="8399" width="15.7109375" style="3" customWidth="1"/>
    <col min="8400" max="8401" width="14.85546875" style="3" customWidth="1"/>
    <col min="8402" max="8402" width="3.28515625" style="3" customWidth="1"/>
    <col min="8403" max="8403" width="20.140625" style="3" customWidth="1"/>
    <col min="8404" max="8404" width="3.28515625" style="3" customWidth="1"/>
    <col min="8405" max="8409" width="11" style="3"/>
    <col min="8410" max="8422" width="4.7109375" style="3" customWidth="1"/>
    <col min="8423" max="8632" width="11" style="3"/>
    <col min="8633" max="8633" width="0.7109375" style="3" customWidth="1"/>
    <col min="8634" max="8634" width="6.5703125" style="3" customWidth="1"/>
    <col min="8635" max="8635" width="13.5703125" style="3" customWidth="1"/>
    <col min="8636" max="8636" width="13.42578125" style="3" customWidth="1"/>
    <col min="8637" max="8638" width="12.5703125" style="3" customWidth="1"/>
    <col min="8639" max="8639" width="14.85546875" style="3" customWidth="1"/>
    <col min="8640" max="8640" width="20.7109375" style="3" customWidth="1"/>
    <col min="8641" max="8641" width="12.5703125" style="3" customWidth="1"/>
    <col min="8642" max="8642" width="13" style="3" customWidth="1"/>
    <col min="8643" max="8643" width="16" style="3" customWidth="1"/>
    <col min="8644" max="8644" width="6.42578125" style="3" customWidth="1"/>
    <col min="8645" max="8645" width="16" style="3" customWidth="1"/>
    <col min="8646" max="8646" width="2.85546875" style="3" customWidth="1"/>
    <col min="8647" max="8647" width="0.85546875" style="3" customWidth="1"/>
    <col min="8648" max="8648" width="11" style="3"/>
    <col min="8649" max="8649" width="15.42578125" style="3" customWidth="1"/>
    <col min="8650" max="8652" width="14.85546875" style="3" customWidth="1"/>
    <col min="8653" max="8653" width="0.7109375" style="3" customWidth="1"/>
    <col min="8654" max="8654" width="11" style="3"/>
    <col min="8655" max="8655" width="15.7109375" style="3" customWidth="1"/>
    <col min="8656" max="8657" width="14.85546875" style="3" customWidth="1"/>
    <col min="8658" max="8658" width="3.28515625" style="3" customWidth="1"/>
    <col min="8659" max="8659" width="20.140625" style="3" customWidth="1"/>
    <col min="8660" max="8660" width="3.28515625" style="3" customWidth="1"/>
    <col min="8661" max="8665" width="11" style="3"/>
    <col min="8666" max="8678" width="4.7109375" style="3" customWidth="1"/>
    <col min="8679" max="8888" width="11" style="3"/>
    <col min="8889" max="8889" width="0.7109375" style="3" customWidth="1"/>
    <col min="8890" max="8890" width="6.5703125" style="3" customWidth="1"/>
    <col min="8891" max="8891" width="13.5703125" style="3" customWidth="1"/>
    <col min="8892" max="8892" width="13.42578125" style="3" customWidth="1"/>
    <col min="8893" max="8894" width="12.5703125" style="3" customWidth="1"/>
    <col min="8895" max="8895" width="14.85546875" style="3" customWidth="1"/>
    <col min="8896" max="8896" width="20.7109375" style="3" customWidth="1"/>
    <col min="8897" max="8897" width="12.5703125" style="3" customWidth="1"/>
    <col min="8898" max="8898" width="13" style="3" customWidth="1"/>
    <col min="8899" max="8899" width="16" style="3" customWidth="1"/>
    <col min="8900" max="8900" width="6.42578125" style="3" customWidth="1"/>
    <col min="8901" max="8901" width="16" style="3" customWidth="1"/>
    <col min="8902" max="8902" width="2.85546875" style="3" customWidth="1"/>
    <col min="8903" max="8903" width="0.85546875" style="3" customWidth="1"/>
    <col min="8904" max="8904" width="11" style="3"/>
    <col min="8905" max="8905" width="15.42578125" style="3" customWidth="1"/>
    <col min="8906" max="8908" width="14.85546875" style="3" customWidth="1"/>
    <col min="8909" max="8909" width="0.7109375" style="3" customWidth="1"/>
    <col min="8910" max="8910" width="11" style="3"/>
    <col min="8911" max="8911" width="15.7109375" style="3" customWidth="1"/>
    <col min="8912" max="8913" width="14.85546875" style="3" customWidth="1"/>
    <col min="8914" max="8914" width="3.28515625" style="3" customWidth="1"/>
    <col min="8915" max="8915" width="20.140625" style="3" customWidth="1"/>
    <col min="8916" max="8916" width="3.28515625" style="3" customWidth="1"/>
    <col min="8917" max="8921" width="11" style="3"/>
    <col min="8922" max="8934" width="4.7109375" style="3" customWidth="1"/>
    <col min="8935" max="9144" width="11" style="3"/>
    <col min="9145" max="9145" width="0.7109375" style="3" customWidth="1"/>
    <col min="9146" max="9146" width="6.5703125" style="3" customWidth="1"/>
    <col min="9147" max="9147" width="13.5703125" style="3" customWidth="1"/>
    <col min="9148" max="9148" width="13.42578125" style="3" customWidth="1"/>
    <col min="9149" max="9150" width="12.5703125" style="3" customWidth="1"/>
    <col min="9151" max="9151" width="14.85546875" style="3" customWidth="1"/>
    <col min="9152" max="9152" width="20.7109375" style="3" customWidth="1"/>
    <col min="9153" max="9153" width="12.5703125" style="3" customWidth="1"/>
    <col min="9154" max="9154" width="13" style="3" customWidth="1"/>
    <col min="9155" max="9155" width="16" style="3" customWidth="1"/>
    <col min="9156" max="9156" width="6.42578125" style="3" customWidth="1"/>
    <col min="9157" max="9157" width="16" style="3" customWidth="1"/>
    <col min="9158" max="9158" width="2.85546875" style="3" customWidth="1"/>
    <col min="9159" max="9159" width="0.85546875" style="3" customWidth="1"/>
    <col min="9160" max="9160" width="11" style="3"/>
    <col min="9161" max="9161" width="15.42578125" style="3" customWidth="1"/>
    <col min="9162" max="9164" width="14.85546875" style="3" customWidth="1"/>
    <col min="9165" max="9165" width="0.7109375" style="3" customWidth="1"/>
    <col min="9166" max="9166" width="11" style="3"/>
    <col min="9167" max="9167" width="15.7109375" style="3" customWidth="1"/>
    <col min="9168" max="9169" width="14.85546875" style="3" customWidth="1"/>
    <col min="9170" max="9170" width="3.28515625" style="3" customWidth="1"/>
    <col min="9171" max="9171" width="20.140625" style="3" customWidth="1"/>
    <col min="9172" max="9172" width="3.28515625" style="3" customWidth="1"/>
    <col min="9173" max="9177" width="11" style="3"/>
    <col min="9178" max="9190" width="4.7109375" style="3" customWidth="1"/>
    <col min="9191" max="9400" width="11" style="3"/>
    <col min="9401" max="9401" width="0.7109375" style="3" customWidth="1"/>
    <col min="9402" max="9402" width="6.5703125" style="3" customWidth="1"/>
    <col min="9403" max="9403" width="13.5703125" style="3" customWidth="1"/>
    <col min="9404" max="9404" width="13.42578125" style="3" customWidth="1"/>
    <col min="9405" max="9406" width="12.5703125" style="3" customWidth="1"/>
    <col min="9407" max="9407" width="14.85546875" style="3" customWidth="1"/>
    <col min="9408" max="9408" width="20.7109375" style="3" customWidth="1"/>
    <col min="9409" max="9409" width="12.5703125" style="3" customWidth="1"/>
    <col min="9410" max="9410" width="13" style="3" customWidth="1"/>
    <col min="9411" max="9411" width="16" style="3" customWidth="1"/>
    <col min="9412" max="9412" width="6.42578125" style="3" customWidth="1"/>
    <col min="9413" max="9413" width="16" style="3" customWidth="1"/>
    <col min="9414" max="9414" width="2.85546875" style="3" customWidth="1"/>
    <col min="9415" max="9415" width="0.85546875" style="3" customWidth="1"/>
    <col min="9416" max="9416" width="11" style="3"/>
    <col min="9417" max="9417" width="15.42578125" style="3" customWidth="1"/>
    <col min="9418" max="9420" width="14.85546875" style="3" customWidth="1"/>
    <col min="9421" max="9421" width="0.7109375" style="3" customWidth="1"/>
    <col min="9422" max="9422" width="11" style="3"/>
    <col min="9423" max="9423" width="15.7109375" style="3" customWidth="1"/>
    <col min="9424" max="9425" width="14.85546875" style="3" customWidth="1"/>
    <col min="9426" max="9426" width="3.28515625" style="3" customWidth="1"/>
    <col min="9427" max="9427" width="20.140625" style="3" customWidth="1"/>
    <col min="9428" max="9428" width="3.28515625" style="3" customWidth="1"/>
    <col min="9429" max="9433" width="11" style="3"/>
    <col min="9434" max="9446" width="4.7109375" style="3" customWidth="1"/>
    <col min="9447" max="9656" width="11" style="3"/>
    <col min="9657" max="9657" width="0.7109375" style="3" customWidth="1"/>
    <col min="9658" max="9658" width="6.5703125" style="3" customWidth="1"/>
    <col min="9659" max="9659" width="13.5703125" style="3" customWidth="1"/>
    <col min="9660" max="9660" width="13.42578125" style="3" customWidth="1"/>
    <col min="9661" max="9662" width="12.5703125" style="3" customWidth="1"/>
    <col min="9663" max="9663" width="14.85546875" style="3" customWidth="1"/>
    <col min="9664" max="9664" width="20.7109375" style="3" customWidth="1"/>
    <col min="9665" max="9665" width="12.5703125" style="3" customWidth="1"/>
    <col min="9666" max="9666" width="13" style="3" customWidth="1"/>
    <col min="9667" max="9667" width="16" style="3" customWidth="1"/>
    <col min="9668" max="9668" width="6.42578125" style="3" customWidth="1"/>
    <col min="9669" max="9669" width="16" style="3" customWidth="1"/>
    <col min="9670" max="9670" width="2.85546875" style="3" customWidth="1"/>
    <col min="9671" max="9671" width="0.85546875" style="3" customWidth="1"/>
    <col min="9672" max="9672" width="11" style="3"/>
    <col min="9673" max="9673" width="15.42578125" style="3" customWidth="1"/>
    <col min="9674" max="9676" width="14.85546875" style="3" customWidth="1"/>
    <col min="9677" max="9677" width="0.7109375" style="3" customWidth="1"/>
    <col min="9678" max="9678" width="11" style="3"/>
    <col min="9679" max="9679" width="15.7109375" style="3" customWidth="1"/>
    <col min="9680" max="9681" width="14.85546875" style="3" customWidth="1"/>
    <col min="9682" max="9682" width="3.28515625" style="3" customWidth="1"/>
    <col min="9683" max="9683" width="20.140625" style="3" customWidth="1"/>
    <col min="9684" max="9684" width="3.28515625" style="3" customWidth="1"/>
    <col min="9685" max="9689" width="11" style="3"/>
    <col min="9690" max="9702" width="4.7109375" style="3" customWidth="1"/>
    <col min="9703" max="9912" width="11" style="3"/>
    <col min="9913" max="9913" width="0.7109375" style="3" customWidth="1"/>
    <col min="9914" max="9914" width="6.5703125" style="3" customWidth="1"/>
    <col min="9915" max="9915" width="13.5703125" style="3" customWidth="1"/>
    <col min="9916" max="9916" width="13.42578125" style="3" customWidth="1"/>
    <col min="9917" max="9918" width="12.5703125" style="3" customWidth="1"/>
    <col min="9919" max="9919" width="14.85546875" style="3" customWidth="1"/>
    <col min="9920" max="9920" width="20.7109375" style="3" customWidth="1"/>
    <col min="9921" max="9921" width="12.5703125" style="3" customWidth="1"/>
    <col min="9922" max="9922" width="13" style="3" customWidth="1"/>
    <col min="9923" max="9923" width="16" style="3" customWidth="1"/>
    <col min="9924" max="9924" width="6.42578125" style="3" customWidth="1"/>
    <col min="9925" max="9925" width="16" style="3" customWidth="1"/>
    <col min="9926" max="9926" width="2.85546875" style="3" customWidth="1"/>
    <col min="9927" max="9927" width="0.85546875" style="3" customWidth="1"/>
    <col min="9928" max="9928" width="11" style="3"/>
    <col min="9929" max="9929" width="15.42578125" style="3" customWidth="1"/>
    <col min="9930" max="9932" width="14.85546875" style="3" customWidth="1"/>
    <col min="9933" max="9933" width="0.7109375" style="3" customWidth="1"/>
    <col min="9934" max="9934" width="11" style="3"/>
    <col min="9935" max="9935" width="15.7109375" style="3" customWidth="1"/>
    <col min="9936" max="9937" width="14.85546875" style="3" customWidth="1"/>
    <col min="9938" max="9938" width="3.28515625" style="3" customWidth="1"/>
    <col min="9939" max="9939" width="20.140625" style="3" customWidth="1"/>
    <col min="9940" max="9940" width="3.28515625" style="3" customWidth="1"/>
    <col min="9941" max="9945" width="11" style="3"/>
    <col min="9946" max="9958" width="4.7109375" style="3" customWidth="1"/>
    <col min="9959" max="10168" width="11" style="3"/>
    <col min="10169" max="10169" width="0.7109375" style="3" customWidth="1"/>
    <col min="10170" max="10170" width="6.5703125" style="3" customWidth="1"/>
    <col min="10171" max="10171" width="13.5703125" style="3" customWidth="1"/>
    <col min="10172" max="10172" width="13.42578125" style="3" customWidth="1"/>
    <col min="10173" max="10174" width="12.5703125" style="3" customWidth="1"/>
    <col min="10175" max="10175" width="14.85546875" style="3" customWidth="1"/>
    <col min="10176" max="10176" width="20.7109375" style="3" customWidth="1"/>
    <col min="10177" max="10177" width="12.5703125" style="3" customWidth="1"/>
    <col min="10178" max="10178" width="13" style="3" customWidth="1"/>
    <col min="10179" max="10179" width="16" style="3" customWidth="1"/>
    <col min="10180" max="10180" width="6.42578125" style="3" customWidth="1"/>
    <col min="10181" max="10181" width="16" style="3" customWidth="1"/>
    <col min="10182" max="10182" width="2.85546875" style="3" customWidth="1"/>
    <col min="10183" max="10183" width="0.85546875" style="3" customWidth="1"/>
    <col min="10184" max="10184" width="11" style="3"/>
    <col min="10185" max="10185" width="15.42578125" style="3" customWidth="1"/>
    <col min="10186" max="10188" width="14.85546875" style="3" customWidth="1"/>
    <col min="10189" max="10189" width="0.7109375" style="3" customWidth="1"/>
    <col min="10190" max="10190" width="11" style="3"/>
    <col min="10191" max="10191" width="15.7109375" style="3" customWidth="1"/>
    <col min="10192" max="10193" width="14.85546875" style="3" customWidth="1"/>
    <col min="10194" max="10194" width="3.28515625" style="3" customWidth="1"/>
    <col min="10195" max="10195" width="20.140625" style="3" customWidth="1"/>
    <col min="10196" max="10196" width="3.28515625" style="3" customWidth="1"/>
    <col min="10197" max="10201" width="11" style="3"/>
    <col min="10202" max="10214" width="4.7109375" style="3" customWidth="1"/>
    <col min="10215" max="10424" width="11" style="3"/>
    <col min="10425" max="10425" width="0.7109375" style="3" customWidth="1"/>
    <col min="10426" max="10426" width="6.5703125" style="3" customWidth="1"/>
    <col min="10427" max="10427" width="13.5703125" style="3" customWidth="1"/>
    <col min="10428" max="10428" width="13.42578125" style="3" customWidth="1"/>
    <col min="10429" max="10430" width="12.5703125" style="3" customWidth="1"/>
    <col min="10431" max="10431" width="14.85546875" style="3" customWidth="1"/>
    <col min="10432" max="10432" width="20.7109375" style="3" customWidth="1"/>
    <col min="10433" max="10433" width="12.5703125" style="3" customWidth="1"/>
    <col min="10434" max="10434" width="13" style="3" customWidth="1"/>
    <col min="10435" max="10435" width="16" style="3" customWidth="1"/>
    <col min="10436" max="10436" width="6.42578125" style="3" customWidth="1"/>
    <col min="10437" max="10437" width="16" style="3" customWidth="1"/>
    <col min="10438" max="10438" width="2.85546875" style="3" customWidth="1"/>
    <col min="10439" max="10439" width="0.85546875" style="3" customWidth="1"/>
    <col min="10440" max="10440" width="11" style="3"/>
    <col min="10441" max="10441" width="15.42578125" style="3" customWidth="1"/>
    <col min="10442" max="10444" width="14.85546875" style="3" customWidth="1"/>
    <col min="10445" max="10445" width="0.7109375" style="3" customWidth="1"/>
    <col min="10446" max="10446" width="11" style="3"/>
    <col min="10447" max="10447" width="15.7109375" style="3" customWidth="1"/>
    <col min="10448" max="10449" width="14.85546875" style="3" customWidth="1"/>
    <col min="10450" max="10450" width="3.28515625" style="3" customWidth="1"/>
    <col min="10451" max="10451" width="20.140625" style="3" customWidth="1"/>
    <col min="10452" max="10452" width="3.28515625" style="3" customWidth="1"/>
    <col min="10453" max="10457" width="11" style="3"/>
    <col min="10458" max="10470" width="4.7109375" style="3" customWidth="1"/>
    <col min="10471" max="10680" width="11" style="3"/>
    <col min="10681" max="10681" width="0.7109375" style="3" customWidth="1"/>
    <col min="10682" max="10682" width="6.5703125" style="3" customWidth="1"/>
    <col min="10683" max="10683" width="13.5703125" style="3" customWidth="1"/>
    <col min="10684" max="10684" width="13.42578125" style="3" customWidth="1"/>
    <col min="10685" max="10686" width="12.5703125" style="3" customWidth="1"/>
    <col min="10687" max="10687" width="14.85546875" style="3" customWidth="1"/>
    <col min="10688" max="10688" width="20.7109375" style="3" customWidth="1"/>
    <col min="10689" max="10689" width="12.5703125" style="3" customWidth="1"/>
    <col min="10690" max="10690" width="13" style="3" customWidth="1"/>
    <col min="10691" max="10691" width="16" style="3" customWidth="1"/>
    <col min="10692" max="10692" width="6.42578125" style="3" customWidth="1"/>
    <col min="10693" max="10693" width="16" style="3" customWidth="1"/>
    <col min="10694" max="10694" width="2.85546875" style="3" customWidth="1"/>
    <col min="10695" max="10695" width="0.85546875" style="3" customWidth="1"/>
    <col min="10696" max="10696" width="11" style="3"/>
    <col min="10697" max="10697" width="15.42578125" style="3" customWidth="1"/>
    <col min="10698" max="10700" width="14.85546875" style="3" customWidth="1"/>
    <col min="10701" max="10701" width="0.7109375" style="3" customWidth="1"/>
    <col min="10702" max="10702" width="11" style="3"/>
    <col min="10703" max="10703" width="15.7109375" style="3" customWidth="1"/>
    <col min="10704" max="10705" width="14.85546875" style="3" customWidth="1"/>
    <col min="10706" max="10706" width="3.28515625" style="3" customWidth="1"/>
    <col min="10707" max="10707" width="20.140625" style="3" customWidth="1"/>
    <col min="10708" max="10708" width="3.28515625" style="3" customWidth="1"/>
    <col min="10709" max="10713" width="11" style="3"/>
    <col min="10714" max="10726" width="4.7109375" style="3" customWidth="1"/>
    <col min="10727" max="10936" width="11" style="3"/>
    <col min="10937" max="10937" width="0.7109375" style="3" customWidth="1"/>
    <col min="10938" max="10938" width="6.5703125" style="3" customWidth="1"/>
    <col min="10939" max="10939" width="13.5703125" style="3" customWidth="1"/>
    <col min="10940" max="10940" width="13.42578125" style="3" customWidth="1"/>
    <col min="10941" max="10942" width="12.5703125" style="3" customWidth="1"/>
    <col min="10943" max="10943" width="14.85546875" style="3" customWidth="1"/>
    <col min="10944" max="10944" width="20.7109375" style="3" customWidth="1"/>
    <col min="10945" max="10945" width="12.5703125" style="3" customWidth="1"/>
    <col min="10946" max="10946" width="13" style="3" customWidth="1"/>
    <col min="10947" max="10947" width="16" style="3" customWidth="1"/>
    <col min="10948" max="10948" width="6.42578125" style="3" customWidth="1"/>
    <col min="10949" max="10949" width="16" style="3" customWidth="1"/>
    <col min="10950" max="10950" width="2.85546875" style="3" customWidth="1"/>
    <col min="10951" max="10951" width="0.85546875" style="3" customWidth="1"/>
    <col min="10952" max="10952" width="11" style="3"/>
    <col min="10953" max="10953" width="15.42578125" style="3" customWidth="1"/>
    <col min="10954" max="10956" width="14.85546875" style="3" customWidth="1"/>
    <col min="10957" max="10957" width="0.7109375" style="3" customWidth="1"/>
    <col min="10958" max="10958" width="11" style="3"/>
    <col min="10959" max="10959" width="15.7109375" style="3" customWidth="1"/>
    <col min="10960" max="10961" width="14.85546875" style="3" customWidth="1"/>
    <col min="10962" max="10962" width="3.28515625" style="3" customWidth="1"/>
    <col min="10963" max="10963" width="20.140625" style="3" customWidth="1"/>
    <col min="10964" max="10964" width="3.28515625" style="3" customWidth="1"/>
    <col min="10965" max="10969" width="11" style="3"/>
    <col min="10970" max="10982" width="4.7109375" style="3" customWidth="1"/>
    <col min="10983" max="11192" width="11" style="3"/>
    <col min="11193" max="11193" width="0.7109375" style="3" customWidth="1"/>
    <col min="11194" max="11194" width="6.5703125" style="3" customWidth="1"/>
    <col min="11195" max="11195" width="13.5703125" style="3" customWidth="1"/>
    <col min="11196" max="11196" width="13.42578125" style="3" customWidth="1"/>
    <col min="11197" max="11198" width="12.5703125" style="3" customWidth="1"/>
    <col min="11199" max="11199" width="14.85546875" style="3" customWidth="1"/>
    <col min="11200" max="11200" width="20.7109375" style="3" customWidth="1"/>
    <col min="11201" max="11201" width="12.5703125" style="3" customWidth="1"/>
    <col min="11202" max="11202" width="13" style="3" customWidth="1"/>
    <col min="11203" max="11203" width="16" style="3" customWidth="1"/>
    <col min="11204" max="11204" width="6.42578125" style="3" customWidth="1"/>
    <col min="11205" max="11205" width="16" style="3" customWidth="1"/>
    <col min="11206" max="11206" width="2.85546875" style="3" customWidth="1"/>
    <col min="11207" max="11207" width="0.85546875" style="3" customWidth="1"/>
    <col min="11208" max="11208" width="11" style="3"/>
    <col min="11209" max="11209" width="15.42578125" style="3" customWidth="1"/>
    <col min="11210" max="11212" width="14.85546875" style="3" customWidth="1"/>
    <col min="11213" max="11213" width="0.7109375" style="3" customWidth="1"/>
    <col min="11214" max="11214" width="11" style="3"/>
    <col min="11215" max="11215" width="15.7109375" style="3" customWidth="1"/>
    <col min="11216" max="11217" width="14.85546875" style="3" customWidth="1"/>
    <col min="11218" max="11218" width="3.28515625" style="3" customWidth="1"/>
    <col min="11219" max="11219" width="20.140625" style="3" customWidth="1"/>
    <col min="11220" max="11220" width="3.28515625" style="3" customWidth="1"/>
    <col min="11221" max="11225" width="11" style="3"/>
    <col min="11226" max="11238" width="4.7109375" style="3" customWidth="1"/>
    <col min="11239" max="11448" width="11" style="3"/>
    <col min="11449" max="11449" width="0.7109375" style="3" customWidth="1"/>
    <col min="11450" max="11450" width="6.5703125" style="3" customWidth="1"/>
    <col min="11451" max="11451" width="13.5703125" style="3" customWidth="1"/>
    <col min="11452" max="11452" width="13.42578125" style="3" customWidth="1"/>
    <col min="11453" max="11454" width="12.5703125" style="3" customWidth="1"/>
    <col min="11455" max="11455" width="14.85546875" style="3" customWidth="1"/>
    <col min="11456" max="11456" width="20.7109375" style="3" customWidth="1"/>
    <col min="11457" max="11457" width="12.5703125" style="3" customWidth="1"/>
    <col min="11458" max="11458" width="13" style="3" customWidth="1"/>
    <col min="11459" max="11459" width="16" style="3" customWidth="1"/>
    <col min="11460" max="11460" width="6.42578125" style="3" customWidth="1"/>
    <col min="11461" max="11461" width="16" style="3" customWidth="1"/>
    <col min="11462" max="11462" width="2.85546875" style="3" customWidth="1"/>
    <col min="11463" max="11463" width="0.85546875" style="3" customWidth="1"/>
    <col min="11464" max="11464" width="11" style="3"/>
    <col min="11465" max="11465" width="15.42578125" style="3" customWidth="1"/>
    <col min="11466" max="11468" width="14.85546875" style="3" customWidth="1"/>
    <col min="11469" max="11469" width="0.7109375" style="3" customWidth="1"/>
    <col min="11470" max="11470" width="11" style="3"/>
    <col min="11471" max="11471" width="15.7109375" style="3" customWidth="1"/>
    <col min="11472" max="11473" width="14.85546875" style="3" customWidth="1"/>
    <col min="11474" max="11474" width="3.28515625" style="3" customWidth="1"/>
    <col min="11475" max="11475" width="20.140625" style="3" customWidth="1"/>
    <col min="11476" max="11476" width="3.28515625" style="3" customWidth="1"/>
    <col min="11477" max="11481" width="11" style="3"/>
    <col min="11482" max="11494" width="4.7109375" style="3" customWidth="1"/>
    <col min="11495" max="11704" width="11" style="3"/>
    <col min="11705" max="11705" width="0.7109375" style="3" customWidth="1"/>
    <col min="11706" max="11706" width="6.5703125" style="3" customWidth="1"/>
    <col min="11707" max="11707" width="13.5703125" style="3" customWidth="1"/>
    <col min="11708" max="11708" width="13.42578125" style="3" customWidth="1"/>
    <col min="11709" max="11710" width="12.5703125" style="3" customWidth="1"/>
    <col min="11711" max="11711" width="14.85546875" style="3" customWidth="1"/>
    <col min="11712" max="11712" width="20.7109375" style="3" customWidth="1"/>
    <col min="11713" max="11713" width="12.5703125" style="3" customWidth="1"/>
    <col min="11714" max="11714" width="13" style="3" customWidth="1"/>
    <col min="11715" max="11715" width="16" style="3" customWidth="1"/>
    <col min="11716" max="11716" width="6.42578125" style="3" customWidth="1"/>
    <col min="11717" max="11717" width="16" style="3" customWidth="1"/>
    <col min="11718" max="11718" width="2.85546875" style="3" customWidth="1"/>
    <col min="11719" max="11719" width="0.85546875" style="3" customWidth="1"/>
    <col min="11720" max="11720" width="11" style="3"/>
    <col min="11721" max="11721" width="15.42578125" style="3" customWidth="1"/>
    <col min="11722" max="11724" width="14.85546875" style="3" customWidth="1"/>
    <col min="11725" max="11725" width="0.7109375" style="3" customWidth="1"/>
    <col min="11726" max="11726" width="11" style="3"/>
    <col min="11727" max="11727" width="15.7109375" style="3" customWidth="1"/>
    <col min="11728" max="11729" width="14.85546875" style="3" customWidth="1"/>
    <col min="11730" max="11730" width="3.28515625" style="3" customWidth="1"/>
    <col min="11731" max="11731" width="20.140625" style="3" customWidth="1"/>
    <col min="11732" max="11732" width="3.28515625" style="3" customWidth="1"/>
    <col min="11733" max="11737" width="11" style="3"/>
    <col min="11738" max="11750" width="4.7109375" style="3" customWidth="1"/>
    <col min="11751" max="11960" width="11" style="3"/>
    <col min="11961" max="11961" width="0.7109375" style="3" customWidth="1"/>
    <col min="11962" max="11962" width="6.5703125" style="3" customWidth="1"/>
    <col min="11963" max="11963" width="13.5703125" style="3" customWidth="1"/>
    <col min="11964" max="11964" width="13.42578125" style="3" customWidth="1"/>
    <col min="11965" max="11966" width="12.5703125" style="3" customWidth="1"/>
    <col min="11967" max="11967" width="14.85546875" style="3" customWidth="1"/>
    <col min="11968" max="11968" width="20.7109375" style="3" customWidth="1"/>
    <col min="11969" max="11969" width="12.5703125" style="3" customWidth="1"/>
    <col min="11970" max="11970" width="13" style="3" customWidth="1"/>
    <col min="11971" max="11971" width="16" style="3" customWidth="1"/>
    <col min="11972" max="11972" width="6.42578125" style="3" customWidth="1"/>
    <col min="11973" max="11973" width="16" style="3" customWidth="1"/>
    <col min="11974" max="11974" width="2.85546875" style="3" customWidth="1"/>
    <col min="11975" max="11975" width="0.85546875" style="3" customWidth="1"/>
    <col min="11976" max="11976" width="11" style="3"/>
    <col min="11977" max="11977" width="15.42578125" style="3" customWidth="1"/>
    <col min="11978" max="11980" width="14.85546875" style="3" customWidth="1"/>
    <col min="11981" max="11981" width="0.7109375" style="3" customWidth="1"/>
    <col min="11982" max="11982" width="11" style="3"/>
    <col min="11983" max="11983" width="15.7109375" style="3" customWidth="1"/>
    <col min="11984" max="11985" width="14.85546875" style="3" customWidth="1"/>
    <col min="11986" max="11986" width="3.28515625" style="3" customWidth="1"/>
    <col min="11987" max="11987" width="20.140625" style="3" customWidth="1"/>
    <col min="11988" max="11988" width="3.28515625" style="3" customWidth="1"/>
    <col min="11989" max="11993" width="11" style="3"/>
    <col min="11994" max="12006" width="4.7109375" style="3" customWidth="1"/>
    <col min="12007" max="12216" width="11" style="3"/>
    <col min="12217" max="12217" width="0.7109375" style="3" customWidth="1"/>
    <col min="12218" max="12218" width="6.5703125" style="3" customWidth="1"/>
    <col min="12219" max="12219" width="13.5703125" style="3" customWidth="1"/>
    <col min="12220" max="12220" width="13.42578125" style="3" customWidth="1"/>
    <col min="12221" max="12222" width="12.5703125" style="3" customWidth="1"/>
    <col min="12223" max="12223" width="14.85546875" style="3" customWidth="1"/>
    <col min="12224" max="12224" width="20.7109375" style="3" customWidth="1"/>
    <col min="12225" max="12225" width="12.5703125" style="3" customWidth="1"/>
    <col min="12226" max="12226" width="13" style="3" customWidth="1"/>
    <col min="12227" max="12227" width="16" style="3" customWidth="1"/>
    <col min="12228" max="12228" width="6.42578125" style="3" customWidth="1"/>
    <col min="12229" max="12229" width="16" style="3" customWidth="1"/>
    <col min="12230" max="12230" width="2.85546875" style="3" customWidth="1"/>
    <col min="12231" max="12231" width="0.85546875" style="3" customWidth="1"/>
    <col min="12232" max="12232" width="11" style="3"/>
    <col min="12233" max="12233" width="15.42578125" style="3" customWidth="1"/>
    <col min="12234" max="12236" width="14.85546875" style="3" customWidth="1"/>
    <col min="12237" max="12237" width="0.7109375" style="3" customWidth="1"/>
    <col min="12238" max="12238" width="11" style="3"/>
    <col min="12239" max="12239" width="15.7109375" style="3" customWidth="1"/>
    <col min="12240" max="12241" width="14.85546875" style="3" customWidth="1"/>
    <col min="12242" max="12242" width="3.28515625" style="3" customWidth="1"/>
    <col min="12243" max="12243" width="20.140625" style="3" customWidth="1"/>
    <col min="12244" max="12244" width="3.28515625" style="3" customWidth="1"/>
    <col min="12245" max="12249" width="11" style="3"/>
    <col min="12250" max="12262" width="4.7109375" style="3" customWidth="1"/>
    <col min="12263" max="12472" width="11" style="3"/>
    <col min="12473" max="12473" width="0.7109375" style="3" customWidth="1"/>
    <col min="12474" max="12474" width="6.5703125" style="3" customWidth="1"/>
    <col min="12475" max="12475" width="13.5703125" style="3" customWidth="1"/>
    <col min="12476" max="12476" width="13.42578125" style="3" customWidth="1"/>
    <col min="12477" max="12478" width="12.5703125" style="3" customWidth="1"/>
    <col min="12479" max="12479" width="14.85546875" style="3" customWidth="1"/>
    <col min="12480" max="12480" width="20.7109375" style="3" customWidth="1"/>
    <col min="12481" max="12481" width="12.5703125" style="3" customWidth="1"/>
    <col min="12482" max="12482" width="13" style="3" customWidth="1"/>
    <col min="12483" max="12483" width="16" style="3" customWidth="1"/>
    <col min="12484" max="12484" width="6.42578125" style="3" customWidth="1"/>
    <col min="12485" max="12485" width="16" style="3" customWidth="1"/>
    <col min="12486" max="12486" width="2.85546875" style="3" customWidth="1"/>
    <col min="12487" max="12487" width="0.85546875" style="3" customWidth="1"/>
    <col min="12488" max="12488" width="11" style="3"/>
    <col min="12489" max="12489" width="15.42578125" style="3" customWidth="1"/>
    <col min="12490" max="12492" width="14.85546875" style="3" customWidth="1"/>
    <col min="12493" max="12493" width="0.7109375" style="3" customWidth="1"/>
    <col min="12494" max="12494" width="11" style="3"/>
    <col min="12495" max="12495" width="15.7109375" style="3" customWidth="1"/>
    <col min="12496" max="12497" width="14.85546875" style="3" customWidth="1"/>
    <col min="12498" max="12498" width="3.28515625" style="3" customWidth="1"/>
    <col min="12499" max="12499" width="20.140625" style="3" customWidth="1"/>
    <col min="12500" max="12500" width="3.28515625" style="3" customWidth="1"/>
    <col min="12501" max="12505" width="11" style="3"/>
    <col min="12506" max="12518" width="4.7109375" style="3" customWidth="1"/>
    <col min="12519" max="12728" width="11" style="3"/>
    <col min="12729" max="12729" width="0.7109375" style="3" customWidth="1"/>
    <col min="12730" max="12730" width="6.5703125" style="3" customWidth="1"/>
    <col min="12731" max="12731" width="13.5703125" style="3" customWidth="1"/>
    <col min="12732" max="12732" width="13.42578125" style="3" customWidth="1"/>
    <col min="12733" max="12734" width="12.5703125" style="3" customWidth="1"/>
    <col min="12735" max="12735" width="14.85546875" style="3" customWidth="1"/>
    <col min="12736" max="12736" width="20.7109375" style="3" customWidth="1"/>
    <col min="12737" max="12737" width="12.5703125" style="3" customWidth="1"/>
    <col min="12738" max="12738" width="13" style="3" customWidth="1"/>
    <col min="12739" max="12739" width="16" style="3" customWidth="1"/>
    <col min="12740" max="12740" width="6.42578125" style="3" customWidth="1"/>
    <col min="12741" max="12741" width="16" style="3" customWidth="1"/>
    <col min="12742" max="12742" width="2.85546875" style="3" customWidth="1"/>
    <col min="12743" max="12743" width="0.85546875" style="3" customWidth="1"/>
    <col min="12744" max="12744" width="11" style="3"/>
    <col min="12745" max="12745" width="15.42578125" style="3" customWidth="1"/>
    <col min="12746" max="12748" width="14.85546875" style="3" customWidth="1"/>
    <col min="12749" max="12749" width="0.7109375" style="3" customWidth="1"/>
    <col min="12750" max="12750" width="11" style="3"/>
    <col min="12751" max="12751" width="15.7109375" style="3" customWidth="1"/>
    <col min="12752" max="12753" width="14.85546875" style="3" customWidth="1"/>
    <col min="12754" max="12754" width="3.28515625" style="3" customWidth="1"/>
    <col min="12755" max="12755" width="20.140625" style="3" customWidth="1"/>
    <col min="12756" max="12756" width="3.28515625" style="3" customWidth="1"/>
    <col min="12757" max="12761" width="11" style="3"/>
    <col min="12762" max="12774" width="4.7109375" style="3" customWidth="1"/>
    <col min="12775" max="12984" width="11" style="3"/>
    <col min="12985" max="12985" width="0.7109375" style="3" customWidth="1"/>
    <col min="12986" max="12986" width="6.5703125" style="3" customWidth="1"/>
    <col min="12987" max="12987" width="13.5703125" style="3" customWidth="1"/>
    <col min="12988" max="12988" width="13.42578125" style="3" customWidth="1"/>
    <col min="12989" max="12990" width="12.5703125" style="3" customWidth="1"/>
    <col min="12991" max="12991" width="14.85546875" style="3" customWidth="1"/>
    <col min="12992" max="12992" width="20.7109375" style="3" customWidth="1"/>
    <col min="12993" max="12993" width="12.5703125" style="3" customWidth="1"/>
    <col min="12994" max="12994" width="13" style="3" customWidth="1"/>
    <col min="12995" max="12995" width="16" style="3" customWidth="1"/>
    <col min="12996" max="12996" width="6.42578125" style="3" customWidth="1"/>
    <col min="12997" max="12997" width="16" style="3" customWidth="1"/>
    <col min="12998" max="12998" width="2.85546875" style="3" customWidth="1"/>
    <col min="12999" max="12999" width="0.85546875" style="3" customWidth="1"/>
    <col min="13000" max="13000" width="11" style="3"/>
    <col min="13001" max="13001" width="15.42578125" style="3" customWidth="1"/>
    <col min="13002" max="13004" width="14.85546875" style="3" customWidth="1"/>
    <col min="13005" max="13005" width="0.7109375" style="3" customWidth="1"/>
    <col min="13006" max="13006" width="11" style="3"/>
    <col min="13007" max="13007" width="15.7109375" style="3" customWidth="1"/>
    <col min="13008" max="13009" width="14.85546875" style="3" customWidth="1"/>
    <col min="13010" max="13010" width="3.28515625" style="3" customWidth="1"/>
    <col min="13011" max="13011" width="20.140625" style="3" customWidth="1"/>
    <col min="13012" max="13012" width="3.28515625" style="3" customWidth="1"/>
    <col min="13013" max="13017" width="11" style="3"/>
    <col min="13018" max="13030" width="4.7109375" style="3" customWidth="1"/>
    <col min="13031" max="13240" width="11" style="3"/>
    <col min="13241" max="13241" width="0.7109375" style="3" customWidth="1"/>
    <col min="13242" max="13242" width="6.5703125" style="3" customWidth="1"/>
    <col min="13243" max="13243" width="13.5703125" style="3" customWidth="1"/>
    <col min="13244" max="13244" width="13.42578125" style="3" customWidth="1"/>
    <col min="13245" max="13246" width="12.5703125" style="3" customWidth="1"/>
    <col min="13247" max="13247" width="14.85546875" style="3" customWidth="1"/>
    <col min="13248" max="13248" width="20.7109375" style="3" customWidth="1"/>
    <col min="13249" max="13249" width="12.5703125" style="3" customWidth="1"/>
    <col min="13250" max="13250" width="13" style="3" customWidth="1"/>
    <col min="13251" max="13251" width="16" style="3" customWidth="1"/>
    <col min="13252" max="13252" width="6.42578125" style="3" customWidth="1"/>
    <col min="13253" max="13253" width="16" style="3" customWidth="1"/>
    <col min="13254" max="13254" width="2.85546875" style="3" customWidth="1"/>
    <col min="13255" max="13255" width="0.85546875" style="3" customWidth="1"/>
    <col min="13256" max="13256" width="11" style="3"/>
    <col min="13257" max="13257" width="15.42578125" style="3" customWidth="1"/>
    <col min="13258" max="13260" width="14.85546875" style="3" customWidth="1"/>
    <col min="13261" max="13261" width="0.7109375" style="3" customWidth="1"/>
    <col min="13262" max="13262" width="11" style="3"/>
    <col min="13263" max="13263" width="15.7109375" style="3" customWidth="1"/>
    <col min="13264" max="13265" width="14.85546875" style="3" customWidth="1"/>
    <col min="13266" max="13266" width="3.28515625" style="3" customWidth="1"/>
    <col min="13267" max="13267" width="20.140625" style="3" customWidth="1"/>
    <col min="13268" max="13268" width="3.28515625" style="3" customWidth="1"/>
    <col min="13269" max="13273" width="11" style="3"/>
    <col min="13274" max="13286" width="4.7109375" style="3" customWidth="1"/>
    <col min="13287" max="13496" width="11" style="3"/>
    <col min="13497" max="13497" width="0.7109375" style="3" customWidth="1"/>
    <col min="13498" max="13498" width="6.5703125" style="3" customWidth="1"/>
    <col min="13499" max="13499" width="13.5703125" style="3" customWidth="1"/>
    <col min="13500" max="13500" width="13.42578125" style="3" customWidth="1"/>
    <col min="13501" max="13502" width="12.5703125" style="3" customWidth="1"/>
    <col min="13503" max="13503" width="14.85546875" style="3" customWidth="1"/>
    <col min="13504" max="13504" width="20.7109375" style="3" customWidth="1"/>
    <col min="13505" max="13505" width="12.5703125" style="3" customWidth="1"/>
    <col min="13506" max="13506" width="13" style="3" customWidth="1"/>
    <col min="13507" max="13507" width="16" style="3" customWidth="1"/>
    <col min="13508" max="13508" width="6.42578125" style="3" customWidth="1"/>
    <col min="13509" max="13509" width="16" style="3" customWidth="1"/>
    <col min="13510" max="13510" width="2.85546875" style="3" customWidth="1"/>
    <col min="13511" max="13511" width="0.85546875" style="3" customWidth="1"/>
    <col min="13512" max="13512" width="11" style="3"/>
    <col min="13513" max="13513" width="15.42578125" style="3" customWidth="1"/>
    <col min="13514" max="13516" width="14.85546875" style="3" customWidth="1"/>
    <col min="13517" max="13517" width="0.7109375" style="3" customWidth="1"/>
    <col min="13518" max="13518" width="11" style="3"/>
    <col min="13519" max="13519" width="15.7109375" style="3" customWidth="1"/>
    <col min="13520" max="13521" width="14.85546875" style="3" customWidth="1"/>
    <col min="13522" max="13522" width="3.28515625" style="3" customWidth="1"/>
    <col min="13523" max="13523" width="20.140625" style="3" customWidth="1"/>
    <col min="13524" max="13524" width="3.28515625" style="3" customWidth="1"/>
    <col min="13525" max="13529" width="11" style="3"/>
    <col min="13530" max="13542" width="4.7109375" style="3" customWidth="1"/>
    <col min="13543" max="13752" width="11" style="3"/>
    <col min="13753" max="13753" width="0.7109375" style="3" customWidth="1"/>
    <col min="13754" max="13754" width="6.5703125" style="3" customWidth="1"/>
    <col min="13755" max="13755" width="13.5703125" style="3" customWidth="1"/>
    <col min="13756" max="13756" width="13.42578125" style="3" customWidth="1"/>
    <col min="13757" max="13758" width="12.5703125" style="3" customWidth="1"/>
    <col min="13759" max="13759" width="14.85546875" style="3" customWidth="1"/>
    <col min="13760" max="13760" width="20.7109375" style="3" customWidth="1"/>
    <col min="13761" max="13761" width="12.5703125" style="3" customWidth="1"/>
    <col min="13762" max="13762" width="13" style="3" customWidth="1"/>
    <col min="13763" max="13763" width="16" style="3" customWidth="1"/>
    <col min="13764" max="13764" width="6.42578125" style="3" customWidth="1"/>
    <col min="13765" max="13765" width="16" style="3" customWidth="1"/>
    <col min="13766" max="13766" width="2.85546875" style="3" customWidth="1"/>
    <col min="13767" max="13767" width="0.85546875" style="3" customWidth="1"/>
    <col min="13768" max="13768" width="11" style="3"/>
    <col min="13769" max="13769" width="15.42578125" style="3" customWidth="1"/>
    <col min="13770" max="13772" width="14.85546875" style="3" customWidth="1"/>
    <col min="13773" max="13773" width="0.7109375" style="3" customWidth="1"/>
    <col min="13774" max="13774" width="11" style="3"/>
    <col min="13775" max="13775" width="15.7109375" style="3" customWidth="1"/>
    <col min="13776" max="13777" width="14.85546875" style="3" customWidth="1"/>
    <col min="13778" max="13778" width="3.28515625" style="3" customWidth="1"/>
    <col min="13779" max="13779" width="20.140625" style="3" customWidth="1"/>
    <col min="13780" max="13780" width="3.28515625" style="3" customWidth="1"/>
    <col min="13781" max="13785" width="11" style="3"/>
    <col min="13786" max="13798" width="4.7109375" style="3" customWidth="1"/>
    <col min="13799" max="14008" width="11" style="3"/>
    <col min="14009" max="14009" width="0.7109375" style="3" customWidth="1"/>
    <col min="14010" max="14010" width="6.5703125" style="3" customWidth="1"/>
    <col min="14011" max="14011" width="13.5703125" style="3" customWidth="1"/>
    <col min="14012" max="14012" width="13.42578125" style="3" customWidth="1"/>
    <col min="14013" max="14014" width="12.5703125" style="3" customWidth="1"/>
    <col min="14015" max="14015" width="14.85546875" style="3" customWidth="1"/>
    <col min="14016" max="14016" width="20.7109375" style="3" customWidth="1"/>
    <col min="14017" max="14017" width="12.5703125" style="3" customWidth="1"/>
    <col min="14018" max="14018" width="13" style="3" customWidth="1"/>
    <col min="14019" max="14019" width="16" style="3" customWidth="1"/>
    <col min="14020" max="14020" width="6.42578125" style="3" customWidth="1"/>
    <col min="14021" max="14021" width="16" style="3" customWidth="1"/>
    <col min="14022" max="14022" width="2.85546875" style="3" customWidth="1"/>
    <col min="14023" max="14023" width="0.85546875" style="3" customWidth="1"/>
    <col min="14024" max="14024" width="11" style="3"/>
    <col min="14025" max="14025" width="15.42578125" style="3" customWidth="1"/>
    <col min="14026" max="14028" width="14.85546875" style="3" customWidth="1"/>
    <col min="14029" max="14029" width="0.7109375" style="3" customWidth="1"/>
    <col min="14030" max="14030" width="11" style="3"/>
    <col min="14031" max="14031" width="15.7109375" style="3" customWidth="1"/>
    <col min="14032" max="14033" width="14.85546875" style="3" customWidth="1"/>
    <col min="14034" max="14034" width="3.28515625" style="3" customWidth="1"/>
    <col min="14035" max="14035" width="20.140625" style="3" customWidth="1"/>
    <col min="14036" max="14036" width="3.28515625" style="3" customWidth="1"/>
    <col min="14037" max="14041" width="11" style="3"/>
    <col min="14042" max="14054" width="4.7109375" style="3" customWidth="1"/>
    <col min="14055" max="14264" width="11" style="3"/>
    <col min="14265" max="14265" width="0.7109375" style="3" customWidth="1"/>
    <col min="14266" max="14266" width="6.5703125" style="3" customWidth="1"/>
    <col min="14267" max="14267" width="13.5703125" style="3" customWidth="1"/>
    <col min="14268" max="14268" width="13.42578125" style="3" customWidth="1"/>
    <col min="14269" max="14270" width="12.5703125" style="3" customWidth="1"/>
    <col min="14271" max="14271" width="14.85546875" style="3" customWidth="1"/>
    <col min="14272" max="14272" width="20.7109375" style="3" customWidth="1"/>
    <col min="14273" max="14273" width="12.5703125" style="3" customWidth="1"/>
    <col min="14274" max="14274" width="13" style="3" customWidth="1"/>
    <col min="14275" max="14275" width="16" style="3" customWidth="1"/>
    <col min="14276" max="14276" width="6.42578125" style="3" customWidth="1"/>
    <col min="14277" max="14277" width="16" style="3" customWidth="1"/>
    <col min="14278" max="14278" width="2.85546875" style="3" customWidth="1"/>
    <col min="14279" max="14279" width="0.85546875" style="3" customWidth="1"/>
    <col min="14280" max="14280" width="11" style="3"/>
    <col min="14281" max="14281" width="15.42578125" style="3" customWidth="1"/>
    <col min="14282" max="14284" width="14.85546875" style="3" customWidth="1"/>
    <col min="14285" max="14285" width="0.7109375" style="3" customWidth="1"/>
    <col min="14286" max="14286" width="11" style="3"/>
    <col min="14287" max="14287" width="15.7109375" style="3" customWidth="1"/>
    <col min="14288" max="14289" width="14.85546875" style="3" customWidth="1"/>
    <col min="14290" max="14290" width="3.28515625" style="3" customWidth="1"/>
    <col min="14291" max="14291" width="20.140625" style="3" customWidth="1"/>
    <col min="14292" max="14292" width="3.28515625" style="3" customWidth="1"/>
    <col min="14293" max="14297" width="11" style="3"/>
    <col min="14298" max="14310" width="4.7109375" style="3" customWidth="1"/>
    <col min="14311" max="14520" width="11" style="3"/>
    <col min="14521" max="14521" width="0.7109375" style="3" customWidth="1"/>
    <col min="14522" max="14522" width="6.5703125" style="3" customWidth="1"/>
    <col min="14523" max="14523" width="13.5703125" style="3" customWidth="1"/>
    <col min="14524" max="14524" width="13.42578125" style="3" customWidth="1"/>
    <col min="14525" max="14526" width="12.5703125" style="3" customWidth="1"/>
    <col min="14527" max="14527" width="14.85546875" style="3" customWidth="1"/>
    <col min="14528" max="14528" width="20.7109375" style="3" customWidth="1"/>
    <col min="14529" max="14529" width="12.5703125" style="3" customWidth="1"/>
    <col min="14530" max="14530" width="13" style="3" customWidth="1"/>
    <col min="14531" max="14531" width="16" style="3" customWidth="1"/>
    <col min="14532" max="14532" width="6.42578125" style="3" customWidth="1"/>
    <col min="14533" max="14533" width="16" style="3" customWidth="1"/>
    <col min="14534" max="14534" width="2.85546875" style="3" customWidth="1"/>
    <col min="14535" max="14535" width="0.85546875" style="3" customWidth="1"/>
    <col min="14536" max="14536" width="11" style="3"/>
    <col min="14537" max="14537" width="15.42578125" style="3" customWidth="1"/>
    <col min="14538" max="14540" width="14.85546875" style="3" customWidth="1"/>
    <col min="14541" max="14541" width="0.7109375" style="3" customWidth="1"/>
    <col min="14542" max="14542" width="11" style="3"/>
    <col min="14543" max="14543" width="15.7109375" style="3" customWidth="1"/>
    <col min="14544" max="14545" width="14.85546875" style="3" customWidth="1"/>
    <col min="14546" max="14546" width="3.28515625" style="3" customWidth="1"/>
    <col min="14547" max="14547" width="20.140625" style="3" customWidth="1"/>
    <col min="14548" max="14548" width="3.28515625" style="3" customWidth="1"/>
    <col min="14549" max="14553" width="11" style="3"/>
    <col min="14554" max="14566" width="4.7109375" style="3" customWidth="1"/>
    <col min="14567" max="14776" width="11" style="3"/>
    <col min="14777" max="14777" width="0.7109375" style="3" customWidth="1"/>
    <col min="14778" max="14778" width="6.5703125" style="3" customWidth="1"/>
    <col min="14779" max="14779" width="13.5703125" style="3" customWidth="1"/>
    <col min="14780" max="14780" width="13.42578125" style="3" customWidth="1"/>
    <col min="14781" max="14782" width="12.5703125" style="3" customWidth="1"/>
    <col min="14783" max="14783" width="14.85546875" style="3" customWidth="1"/>
    <col min="14784" max="14784" width="20.7109375" style="3" customWidth="1"/>
    <col min="14785" max="14785" width="12.5703125" style="3" customWidth="1"/>
    <col min="14786" max="14786" width="13" style="3" customWidth="1"/>
    <col min="14787" max="14787" width="16" style="3" customWidth="1"/>
    <col min="14788" max="14788" width="6.42578125" style="3" customWidth="1"/>
    <col min="14789" max="14789" width="16" style="3" customWidth="1"/>
    <col min="14790" max="14790" width="2.85546875" style="3" customWidth="1"/>
    <col min="14791" max="14791" width="0.85546875" style="3" customWidth="1"/>
    <col min="14792" max="14792" width="11" style="3"/>
    <col min="14793" max="14793" width="15.42578125" style="3" customWidth="1"/>
    <col min="14794" max="14796" width="14.85546875" style="3" customWidth="1"/>
    <col min="14797" max="14797" width="0.7109375" style="3" customWidth="1"/>
    <col min="14798" max="14798" width="11" style="3"/>
    <col min="14799" max="14799" width="15.7109375" style="3" customWidth="1"/>
    <col min="14800" max="14801" width="14.85546875" style="3" customWidth="1"/>
    <col min="14802" max="14802" width="3.28515625" style="3" customWidth="1"/>
    <col min="14803" max="14803" width="20.140625" style="3" customWidth="1"/>
    <col min="14804" max="14804" width="3.28515625" style="3" customWidth="1"/>
    <col min="14805" max="14809" width="11" style="3"/>
    <col min="14810" max="14822" width="4.7109375" style="3" customWidth="1"/>
    <col min="14823" max="15032" width="11" style="3"/>
    <col min="15033" max="15033" width="0.7109375" style="3" customWidth="1"/>
    <col min="15034" max="15034" width="6.5703125" style="3" customWidth="1"/>
    <col min="15035" max="15035" width="13.5703125" style="3" customWidth="1"/>
    <col min="15036" max="15036" width="13.42578125" style="3" customWidth="1"/>
    <col min="15037" max="15038" width="12.5703125" style="3" customWidth="1"/>
    <col min="15039" max="15039" width="14.85546875" style="3" customWidth="1"/>
    <col min="15040" max="15040" width="20.7109375" style="3" customWidth="1"/>
    <col min="15041" max="15041" width="12.5703125" style="3" customWidth="1"/>
    <col min="15042" max="15042" width="13" style="3" customWidth="1"/>
    <col min="15043" max="15043" width="16" style="3" customWidth="1"/>
    <col min="15044" max="15044" width="6.42578125" style="3" customWidth="1"/>
    <col min="15045" max="15045" width="16" style="3" customWidth="1"/>
    <col min="15046" max="15046" width="2.85546875" style="3" customWidth="1"/>
    <col min="15047" max="15047" width="0.85546875" style="3" customWidth="1"/>
    <col min="15048" max="15048" width="11" style="3"/>
    <col min="15049" max="15049" width="15.42578125" style="3" customWidth="1"/>
    <col min="15050" max="15052" width="14.85546875" style="3" customWidth="1"/>
    <col min="15053" max="15053" width="0.7109375" style="3" customWidth="1"/>
    <col min="15054" max="15054" width="11" style="3"/>
    <col min="15055" max="15055" width="15.7109375" style="3" customWidth="1"/>
    <col min="15056" max="15057" width="14.85546875" style="3" customWidth="1"/>
    <col min="15058" max="15058" width="3.28515625" style="3" customWidth="1"/>
    <col min="15059" max="15059" width="20.140625" style="3" customWidth="1"/>
    <col min="15060" max="15060" width="3.28515625" style="3" customWidth="1"/>
    <col min="15061" max="15065" width="11" style="3"/>
    <col min="15066" max="15078" width="4.7109375" style="3" customWidth="1"/>
    <col min="15079" max="15288" width="11" style="3"/>
    <col min="15289" max="15289" width="0.7109375" style="3" customWidth="1"/>
    <col min="15290" max="15290" width="6.5703125" style="3" customWidth="1"/>
    <col min="15291" max="15291" width="13.5703125" style="3" customWidth="1"/>
    <col min="15292" max="15292" width="13.42578125" style="3" customWidth="1"/>
    <col min="15293" max="15294" width="12.5703125" style="3" customWidth="1"/>
    <col min="15295" max="15295" width="14.85546875" style="3" customWidth="1"/>
    <col min="15296" max="15296" width="20.7109375" style="3" customWidth="1"/>
    <col min="15297" max="15297" width="12.5703125" style="3" customWidth="1"/>
    <col min="15298" max="15298" width="13" style="3" customWidth="1"/>
    <col min="15299" max="15299" width="16" style="3" customWidth="1"/>
    <col min="15300" max="15300" width="6.42578125" style="3" customWidth="1"/>
    <col min="15301" max="15301" width="16" style="3" customWidth="1"/>
    <col min="15302" max="15302" width="2.85546875" style="3" customWidth="1"/>
    <col min="15303" max="15303" width="0.85546875" style="3" customWidth="1"/>
    <col min="15304" max="15304" width="11" style="3"/>
    <col min="15305" max="15305" width="15.42578125" style="3" customWidth="1"/>
    <col min="15306" max="15308" width="14.85546875" style="3" customWidth="1"/>
    <col min="15309" max="15309" width="0.7109375" style="3" customWidth="1"/>
    <col min="15310" max="15310" width="11" style="3"/>
    <col min="15311" max="15311" width="15.7109375" style="3" customWidth="1"/>
    <col min="15312" max="15313" width="14.85546875" style="3" customWidth="1"/>
    <col min="15314" max="15314" width="3.28515625" style="3" customWidth="1"/>
    <col min="15315" max="15315" width="20.140625" style="3" customWidth="1"/>
    <col min="15316" max="15316" width="3.28515625" style="3" customWidth="1"/>
    <col min="15317" max="15321" width="11" style="3"/>
    <col min="15322" max="15334" width="4.7109375" style="3" customWidth="1"/>
    <col min="15335" max="15544" width="11" style="3"/>
    <col min="15545" max="15545" width="0.7109375" style="3" customWidth="1"/>
    <col min="15546" max="15546" width="6.5703125" style="3" customWidth="1"/>
    <col min="15547" max="15547" width="13.5703125" style="3" customWidth="1"/>
    <col min="15548" max="15548" width="13.42578125" style="3" customWidth="1"/>
    <col min="15549" max="15550" width="12.5703125" style="3" customWidth="1"/>
    <col min="15551" max="15551" width="14.85546875" style="3" customWidth="1"/>
    <col min="15552" max="15552" width="20.7109375" style="3" customWidth="1"/>
    <col min="15553" max="15553" width="12.5703125" style="3" customWidth="1"/>
    <col min="15554" max="15554" width="13" style="3" customWidth="1"/>
    <col min="15555" max="15555" width="16" style="3" customWidth="1"/>
    <col min="15556" max="15556" width="6.42578125" style="3" customWidth="1"/>
    <col min="15557" max="15557" width="16" style="3" customWidth="1"/>
    <col min="15558" max="15558" width="2.85546875" style="3" customWidth="1"/>
    <col min="15559" max="15559" width="0.85546875" style="3" customWidth="1"/>
    <col min="15560" max="15560" width="11" style="3"/>
    <col min="15561" max="15561" width="15.42578125" style="3" customWidth="1"/>
    <col min="15562" max="15564" width="14.85546875" style="3" customWidth="1"/>
    <col min="15565" max="15565" width="0.7109375" style="3" customWidth="1"/>
    <col min="15566" max="15566" width="11" style="3"/>
    <col min="15567" max="15567" width="15.7109375" style="3" customWidth="1"/>
    <col min="15568" max="15569" width="14.85546875" style="3" customWidth="1"/>
    <col min="15570" max="15570" width="3.28515625" style="3" customWidth="1"/>
    <col min="15571" max="15571" width="20.140625" style="3" customWidth="1"/>
    <col min="15572" max="15572" width="3.28515625" style="3" customWidth="1"/>
    <col min="15573" max="15577" width="11" style="3"/>
    <col min="15578" max="15590" width="4.7109375" style="3" customWidth="1"/>
    <col min="15591" max="15800" width="11" style="3"/>
    <col min="15801" max="15801" width="0.7109375" style="3" customWidth="1"/>
    <col min="15802" max="15802" width="6.5703125" style="3" customWidth="1"/>
    <col min="15803" max="15803" width="13.5703125" style="3" customWidth="1"/>
    <col min="15804" max="15804" width="13.42578125" style="3" customWidth="1"/>
    <col min="15805" max="15806" width="12.5703125" style="3" customWidth="1"/>
    <col min="15807" max="15807" width="14.85546875" style="3" customWidth="1"/>
    <col min="15808" max="15808" width="20.7109375" style="3" customWidth="1"/>
    <col min="15809" max="15809" width="12.5703125" style="3" customWidth="1"/>
    <col min="15810" max="15810" width="13" style="3" customWidth="1"/>
    <col min="15811" max="15811" width="16" style="3" customWidth="1"/>
    <col min="15812" max="15812" width="6.42578125" style="3" customWidth="1"/>
    <col min="15813" max="15813" width="16" style="3" customWidth="1"/>
    <col min="15814" max="15814" width="2.85546875" style="3" customWidth="1"/>
    <col min="15815" max="15815" width="0.85546875" style="3" customWidth="1"/>
    <col min="15816" max="15816" width="11" style="3"/>
    <col min="15817" max="15817" width="15.42578125" style="3" customWidth="1"/>
    <col min="15818" max="15820" width="14.85546875" style="3" customWidth="1"/>
    <col min="15821" max="15821" width="0.7109375" style="3" customWidth="1"/>
    <col min="15822" max="15822" width="11" style="3"/>
    <col min="15823" max="15823" width="15.7109375" style="3" customWidth="1"/>
    <col min="15824" max="15825" width="14.85546875" style="3" customWidth="1"/>
    <col min="15826" max="15826" width="3.28515625" style="3" customWidth="1"/>
    <col min="15827" max="15827" width="20.140625" style="3" customWidth="1"/>
    <col min="15828" max="15828" width="3.28515625" style="3" customWidth="1"/>
    <col min="15829" max="15833" width="11" style="3"/>
    <col min="15834" max="15846" width="4.7109375" style="3" customWidth="1"/>
    <col min="15847" max="16056" width="11" style="3"/>
    <col min="16057" max="16057" width="0.7109375" style="3" customWidth="1"/>
    <col min="16058" max="16058" width="6.5703125" style="3" customWidth="1"/>
    <col min="16059" max="16059" width="13.5703125" style="3" customWidth="1"/>
    <col min="16060" max="16060" width="13.42578125" style="3" customWidth="1"/>
    <col min="16061" max="16062" width="12.5703125" style="3" customWidth="1"/>
    <col min="16063" max="16063" width="14.85546875" style="3" customWidth="1"/>
    <col min="16064" max="16064" width="20.7109375" style="3" customWidth="1"/>
    <col min="16065" max="16065" width="12.5703125" style="3" customWidth="1"/>
    <col min="16066" max="16066" width="13" style="3" customWidth="1"/>
    <col min="16067" max="16067" width="16" style="3" customWidth="1"/>
    <col min="16068" max="16068" width="6.42578125" style="3" customWidth="1"/>
    <col min="16069" max="16069" width="16" style="3" customWidth="1"/>
    <col min="16070" max="16070" width="2.85546875" style="3" customWidth="1"/>
    <col min="16071" max="16071" width="0.85546875" style="3" customWidth="1"/>
    <col min="16072" max="16072" width="11" style="3"/>
    <col min="16073" max="16073" width="15.42578125" style="3" customWidth="1"/>
    <col min="16074" max="16076" width="14.85546875" style="3" customWidth="1"/>
    <col min="16077" max="16077" width="0.7109375" style="3" customWidth="1"/>
    <col min="16078" max="16078" width="11" style="3"/>
    <col min="16079" max="16079" width="15.7109375" style="3" customWidth="1"/>
    <col min="16080" max="16081" width="14.85546875" style="3" customWidth="1"/>
    <col min="16082" max="16082" width="3.28515625" style="3" customWidth="1"/>
    <col min="16083" max="16083" width="20.140625" style="3" customWidth="1"/>
    <col min="16084" max="16084" width="3.28515625" style="3" customWidth="1"/>
    <col min="16085" max="16089" width="11" style="3"/>
    <col min="16090" max="16102" width="4.7109375" style="3" customWidth="1"/>
    <col min="16103" max="16384" width="11" style="3"/>
  </cols>
  <sheetData>
    <row r="1" spans="1:28" s="1" customFormat="1" ht="19.5" customHeight="1">
      <c r="A1" s="236"/>
      <c r="B1" s="237"/>
      <c r="C1" s="179" t="s">
        <v>0</v>
      </c>
      <c r="D1" s="179"/>
      <c r="E1" s="179"/>
      <c r="F1" s="179"/>
      <c r="G1" s="179"/>
      <c r="H1" s="179"/>
      <c r="I1" s="179"/>
      <c r="J1" s="179"/>
      <c r="K1" s="180" t="s">
        <v>1</v>
      </c>
      <c r="L1" s="181"/>
      <c r="O1" s="80"/>
      <c r="P1" s="80"/>
      <c r="Q1" s="80"/>
      <c r="R1" s="80"/>
      <c r="S1" s="80"/>
      <c r="T1" s="80"/>
      <c r="U1" s="80"/>
      <c r="V1" s="80"/>
      <c r="W1" s="80"/>
      <c r="X1" s="80"/>
      <c r="Y1" s="80"/>
      <c r="Z1" s="80"/>
      <c r="AA1" s="80"/>
    </row>
    <row r="2" spans="1:28" s="1" customFormat="1" ht="19.5" customHeight="1">
      <c r="A2" s="238"/>
      <c r="B2" s="186"/>
      <c r="C2" s="241" t="s">
        <v>2</v>
      </c>
      <c r="D2" s="241"/>
      <c r="E2" s="241"/>
      <c r="F2" s="241"/>
      <c r="G2" s="241"/>
      <c r="H2" s="241"/>
      <c r="I2" s="241"/>
      <c r="J2" s="241"/>
      <c r="K2" s="182" t="s">
        <v>89</v>
      </c>
      <c r="L2" s="183"/>
      <c r="O2" s="80"/>
      <c r="P2" s="80"/>
      <c r="Q2" s="80"/>
      <c r="R2" s="80"/>
      <c r="S2" s="80"/>
      <c r="T2" s="80"/>
      <c r="U2" s="80"/>
      <c r="V2" s="80"/>
      <c r="W2" s="80"/>
      <c r="X2" s="80"/>
      <c r="Y2" s="80"/>
      <c r="Z2" s="80"/>
      <c r="AA2" s="80"/>
    </row>
    <row r="3" spans="1:28" s="1" customFormat="1" ht="19.5" customHeight="1">
      <c r="A3" s="238"/>
      <c r="B3" s="186"/>
      <c r="C3" s="241"/>
      <c r="D3" s="241"/>
      <c r="E3" s="241"/>
      <c r="F3" s="241"/>
      <c r="G3" s="241"/>
      <c r="H3" s="241"/>
      <c r="I3" s="241"/>
      <c r="J3" s="241"/>
      <c r="K3" s="182" t="s">
        <v>3</v>
      </c>
      <c r="L3" s="183"/>
      <c r="Q3" s="132"/>
      <c r="R3" s="80"/>
      <c r="T3" s="132" t="s">
        <v>4</v>
      </c>
      <c r="U3" s="132"/>
      <c r="V3" s="80"/>
      <c r="W3" s="80"/>
      <c r="X3" s="80"/>
      <c r="Y3" s="80"/>
      <c r="Z3" s="80"/>
      <c r="AA3" s="80"/>
    </row>
    <row r="4" spans="1:28" s="1" customFormat="1" ht="19.5" customHeight="1" thickBot="1">
      <c r="A4" s="239"/>
      <c r="B4" s="240"/>
      <c r="C4" s="242"/>
      <c r="D4" s="242"/>
      <c r="E4" s="242"/>
      <c r="F4" s="242"/>
      <c r="G4" s="242"/>
      <c r="H4" s="242"/>
      <c r="I4" s="242"/>
      <c r="J4" s="242"/>
      <c r="K4" s="184" t="s">
        <v>88</v>
      </c>
      <c r="L4" s="185"/>
      <c r="Q4" s="132"/>
      <c r="R4" s="80"/>
      <c r="S4" s="132"/>
      <c r="T4" s="132"/>
      <c r="U4" s="132"/>
      <c r="V4" s="80"/>
      <c r="W4" s="80"/>
      <c r="X4" s="80"/>
      <c r="Y4" s="80"/>
      <c r="Z4" s="80"/>
      <c r="AA4" s="80"/>
    </row>
    <row r="5" spans="1:28" s="1" customFormat="1" ht="3.95" customHeight="1" thickBot="1">
      <c r="A5" s="5"/>
      <c r="B5" s="186"/>
      <c r="C5" s="186"/>
      <c r="D5" s="186"/>
      <c r="E5" s="186"/>
      <c r="F5" s="186"/>
      <c r="G5" s="186"/>
      <c r="H5" s="186"/>
      <c r="I5" s="186"/>
      <c r="J5" s="186"/>
      <c r="K5" s="186"/>
      <c r="L5" s="81"/>
      <c r="Q5" s="132"/>
      <c r="R5" s="132"/>
      <c r="T5" s="132"/>
      <c r="U5" s="132"/>
      <c r="V5" s="80"/>
      <c r="W5" s="80"/>
      <c r="X5" s="80"/>
      <c r="Y5" s="80"/>
      <c r="Z5" s="80"/>
      <c r="AA5" s="80"/>
      <c r="AB5" s="80"/>
    </row>
    <row r="6" spans="1:28" s="1" customFormat="1" ht="22.5" customHeight="1">
      <c r="A6" s="6"/>
      <c r="B6" s="7" t="s">
        <v>5</v>
      </c>
      <c r="C6" s="273" t="s">
        <v>91</v>
      </c>
      <c r="D6" s="273"/>
      <c r="E6" s="273"/>
      <c r="F6" s="273"/>
      <c r="G6" s="273"/>
      <c r="H6" s="188" t="s">
        <v>6</v>
      </c>
      <c r="I6" s="188"/>
      <c r="J6" s="189">
        <v>45884</v>
      </c>
      <c r="K6" s="189"/>
      <c r="L6" s="190"/>
      <c r="Q6" s="80"/>
      <c r="R6" s="80"/>
      <c r="T6" s="133" t="s">
        <v>7</v>
      </c>
      <c r="U6" s="80"/>
      <c r="V6" s="80"/>
      <c r="W6" s="80"/>
      <c r="X6" s="80"/>
      <c r="Y6" s="80"/>
      <c r="Z6" s="80"/>
      <c r="AA6" s="80"/>
      <c r="AB6" s="80"/>
    </row>
    <row r="7" spans="1:28" s="1" customFormat="1" ht="24.75" customHeight="1">
      <c r="A7" s="5"/>
      <c r="B7" s="9" t="s">
        <v>8</v>
      </c>
      <c r="C7" s="274" t="s">
        <v>92</v>
      </c>
      <c r="D7" s="274"/>
      <c r="E7" s="274"/>
      <c r="F7" s="274"/>
      <c r="G7" s="274"/>
      <c r="H7" s="192" t="s">
        <v>9</v>
      </c>
      <c r="I7" s="192"/>
      <c r="J7" s="193">
        <v>45937</v>
      </c>
      <c r="K7" s="193"/>
      <c r="L7" s="194"/>
      <c r="Q7" s="80"/>
      <c r="R7" s="80"/>
      <c r="T7" s="133" t="s">
        <v>10</v>
      </c>
      <c r="U7" s="80"/>
      <c r="V7" s="80"/>
      <c r="W7" s="80"/>
      <c r="X7" s="80"/>
      <c r="Y7" s="80"/>
      <c r="Z7" s="80"/>
      <c r="AA7" s="80"/>
      <c r="AB7" s="80"/>
    </row>
    <row r="8" spans="1:28" s="1" customFormat="1" ht="22.5" customHeight="1">
      <c r="A8" s="5"/>
      <c r="B8" s="9" t="s">
        <v>11</v>
      </c>
      <c r="C8" s="271" t="s">
        <v>12</v>
      </c>
      <c r="D8" s="272"/>
      <c r="E8" s="272"/>
      <c r="F8" s="272"/>
      <c r="G8" s="272"/>
      <c r="H8" s="192" t="s">
        <v>13</v>
      </c>
      <c r="I8" s="192"/>
      <c r="J8" s="193">
        <v>45968</v>
      </c>
      <c r="K8" s="193"/>
      <c r="L8" s="194"/>
      <c r="Q8" s="80"/>
      <c r="R8" s="80"/>
      <c r="S8" s="1">
        <f>17-2.57</f>
        <v>14.43</v>
      </c>
      <c r="T8" s="133" t="s">
        <v>14</v>
      </c>
      <c r="U8" s="80"/>
      <c r="V8" s="80"/>
      <c r="W8" s="80"/>
      <c r="X8" s="80"/>
      <c r="Y8" s="80"/>
      <c r="Z8" s="80"/>
      <c r="AA8" s="80"/>
      <c r="AB8" s="80"/>
    </row>
    <row r="9" spans="1:28" s="1" customFormat="1" ht="22.5" customHeight="1">
      <c r="A9" s="5"/>
      <c r="B9" s="9" t="s">
        <v>15</v>
      </c>
      <c r="C9" s="202" t="s">
        <v>93</v>
      </c>
      <c r="D9" s="202"/>
      <c r="E9" s="202"/>
      <c r="F9" s="202"/>
      <c r="G9" s="202"/>
      <c r="H9" s="192" t="s">
        <v>16</v>
      </c>
      <c r="I9" s="192"/>
      <c r="J9" s="82" t="s">
        <v>17</v>
      </c>
      <c r="K9" s="83" t="s">
        <v>90</v>
      </c>
      <c r="L9" s="84" t="s">
        <v>85</v>
      </c>
      <c r="Q9" s="80"/>
      <c r="R9" s="80"/>
      <c r="T9" s="133" t="s">
        <v>18</v>
      </c>
      <c r="U9" s="80"/>
      <c r="V9" s="80"/>
      <c r="W9" s="80"/>
      <c r="X9" s="80"/>
      <c r="Y9" s="80"/>
      <c r="Z9" s="80"/>
      <c r="AA9" s="80"/>
      <c r="AB9" s="80"/>
    </row>
    <row r="10" spans="1:28" s="1" customFormat="1" ht="22.5" customHeight="1">
      <c r="A10" s="5"/>
      <c r="B10" s="10" t="s">
        <v>19</v>
      </c>
      <c r="C10" s="202" t="s">
        <v>20</v>
      </c>
      <c r="D10" s="202"/>
      <c r="E10" s="202"/>
      <c r="F10" s="202"/>
      <c r="G10" s="202"/>
      <c r="H10" s="196" t="s">
        <v>21</v>
      </c>
      <c r="I10" s="196"/>
      <c r="J10" s="197" t="str">
        <f>CONCATENATE(K9,," ",L9,"-",D12,"-",F12)</f>
        <v>056 25-UNIVALLE AP1 -3</v>
      </c>
      <c r="K10" s="197"/>
      <c r="L10" s="198"/>
      <c r="Q10" s="80"/>
      <c r="R10" s="80"/>
      <c r="T10" s="133" t="s">
        <v>22</v>
      </c>
      <c r="U10" s="80"/>
      <c r="V10" s="80"/>
      <c r="W10" s="80"/>
      <c r="X10" s="80"/>
      <c r="Y10" s="80"/>
      <c r="Z10" s="80"/>
      <c r="AA10" s="80"/>
      <c r="AB10" s="80"/>
    </row>
    <row r="11" spans="1:28" s="1" customFormat="1" ht="3.95" customHeight="1" thickBot="1">
      <c r="A11" s="11"/>
      <c r="B11" s="199"/>
      <c r="C11" s="199"/>
      <c r="D11" s="199"/>
      <c r="E11" s="199"/>
      <c r="F11" s="199"/>
      <c r="G11" s="199"/>
      <c r="H11" s="199"/>
      <c r="I11" s="199"/>
      <c r="J11" s="199"/>
      <c r="K11" s="199"/>
      <c r="L11" s="85"/>
      <c r="Q11" s="80"/>
      <c r="R11" s="80"/>
      <c r="T11" s="133"/>
      <c r="U11" s="80"/>
      <c r="V11" s="80"/>
      <c r="W11" s="80"/>
      <c r="X11" s="80"/>
      <c r="Y11" s="80"/>
      <c r="Z11" s="80"/>
      <c r="AA11" s="80"/>
      <c r="AB11" s="80"/>
    </row>
    <row r="12" spans="1:28" s="1" customFormat="1" ht="22.5" customHeight="1">
      <c r="A12" s="6"/>
      <c r="B12" s="7" t="s">
        <v>23</v>
      </c>
      <c r="C12" s="12" t="s">
        <v>10</v>
      </c>
      <c r="D12" s="13" t="s">
        <v>126</v>
      </c>
      <c r="E12" s="14" t="s">
        <v>24</v>
      </c>
      <c r="F12" s="200">
        <v>3</v>
      </c>
      <c r="G12" s="200"/>
      <c r="H12" s="201" t="s">
        <v>25</v>
      </c>
      <c r="I12" s="201"/>
      <c r="J12" s="86">
        <v>1.8</v>
      </c>
      <c r="K12" s="87" t="s">
        <v>26</v>
      </c>
      <c r="L12" s="88">
        <v>2.1</v>
      </c>
      <c r="Q12" s="80"/>
      <c r="R12" s="80"/>
      <c r="T12" s="133"/>
      <c r="U12" s="80"/>
      <c r="V12" s="80"/>
      <c r="W12" s="80"/>
      <c r="X12" s="80"/>
      <c r="Y12" s="80"/>
      <c r="Z12" s="80"/>
      <c r="AA12" s="80"/>
      <c r="AB12" s="80"/>
    </row>
    <row r="13" spans="1:28" s="1" customFormat="1" ht="22.5" customHeight="1">
      <c r="A13" s="5"/>
      <c r="B13" s="9" t="s">
        <v>27</v>
      </c>
      <c r="C13" s="202" t="s">
        <v>132</v>
      </c>
      <c r="D13" s="202"/>
      <c r="E13" s="202"/>
      <c r="F13" s="202"/>
      <c r="G13" s="202"/>
      <c r="H13" s="202"/>
      <c r="I13" s="202"/>
      <c r="J13" s="202"/>
      <c r="K13" s="202"/>
      <c r="L13" s="203"/>
      <c r="O13" s="1">
        <f>-MOD1</f>
        <v>0</v>
      </c>
      <c r="Q13" s="80"/>
      <c r="R13" s="80"/>
      <c r="T13" s="133"/>
      <c r="U13" s="80"/>
      <c r="V13" s="80"/>
      <c r="W13" s="80"/>
      <c r="X13" s="80"/>
      <c r="Y13" s="80"/>
      <c r="Z13" s="80"/>
      <c r="AA13" s="80"/>
      <c r="AB13" s="80"/>
    </row>
    <row r="14" spans="1:28" s="1" customFormat="1" ht="6.95" customHeight="1" thickBot="1">
      <c r="A14" s="11"/>
      <c r="B14" s="15"/>
      <c r="C14" s="16"/>
      <c r="D14" s="16"/>
      <c r="E14" s="16"/>
      <c r="F14" s="16"/>
      <c r="G14" s="16"/>
      <c r="H14" s="16"/>
      <c r="I14" s="16"/>
      <c r="J14" s="16"/>
      <c r="K14" s="16"/>
      <c r="L14" s="89"/>
      <c r="P14" s="80"/>
      <c r="Q14" s="80"/>
      <c r="R14" s="80"/>
      <c r="S14" s="80"/>
      <c r="T14" s="80"/>
      <c r="U14" s="80"/>
      <c r="V14" s="80"/>
      <c r="W14" s="80"/>
      <c r="X14" s="80"/>
      <c r="Y14" s="80"/>
      <c r="Z14" s="80"/>
      <c r="AA14" s="80"/>
      <c r="AB14" s="80"/>
    </row>
    <row r="15" spans="1:28" ht="14.25" customHeight="1" thickBot="1">
      <c r="A15" s="17"/>
      <c r="B15" s="18"/>
      <c r="C15" s="18"/>
      <c r="D15" s="18"/>
      <c r="E15" s="18"/>
      <c r="F15" s="18"/>
      <c r="G15" s="18"/>
      <c r="H15" s="18"/>
      <c r="I15" s="18"/>
      <c r="J15" s="18"/>
      <c r="K15" s="18"/>
      <c r="L15" s="90"/>
    </row>
    <row r="16" spans="1:28" ht="22.5" customHeight="1" thickBot="1">
      <c r="A16" s="204"/>
      <c r="B16" s="205"/>
      <c r="C16" s="205"/>
      <c r="D16" s="205"/>
      <c r="E16" s="205"/>
      <c r="F16" s="205"/>
      <c r="G16" s="205"/>
      <c r="H16" s="205"/>
      <c r="I16" s="205"/>
      <c r="J16" s="205"/>
      <c r="K16" s="205"/>
      <c r="L16" s="206"/>
    </row>
    <row r="17" spans="1:19" ht="22.5" customHeight="1" thickBot="1">
      <c r="A17" s="17"/>
      <c r="B17" s="18"/>
      <c r="C17" s="18"/>
      <c r="D17" s="18"/>
      <c r="E17" s="18"/>
      <c r="F17" s="18"/>
      <c r="G17" s="19"/>
      <c r="H17" s="19"/>
      <c r="I17" s="19"/>
      <c r="J17" s="19"/>
      <c r="K17" s="19"/>
      <c r="L17" s="91"/>
    </row>
    <row r="18" spans="1:19" s="2" customFormat="1" ht="22.5" customHeight="1" thickBot="1">
      <c r="A18" s="207" t="s">
        <v>28</v>
      </c>
      <c r="B18" s="208"/>
      <c r="C18" s="208"/>
      <c r="D18" s="208"/>
      <c r="E18" s="209"/>
      <c r="F18" s="20"/>
      <c r="G18" s="207" t="s">
        <v>28</v>
      </c>
      <c r="H18" s="208"/>
      <c r="I18" s="208"/>
      <c r="J18" s="208"/>
      <c r="K18" s="208"/>
      <c r="L18" s="209"/>
      <c r="O18" s="92"/>
    </row>
    <row r="19" spans="1:19" s="2" customFormat="1" ht="27.75" customHeight="1" thickBot="1">
      <c r="A19" s="210"/>
      <c r="B19" s="211"/>
      <c r="C19" s="211"/>
      <c r="D19" s="22" t="s">
        <v>29</v>
      </c>
      <c r="E19" s="23" t="s">
        <v>30</v>
      </c>
      <c r="F19" s="24"/>
      <c r="G19" s="243" t="s">
        <v>31</v>
      </c>
      <c r="H19" s="244"/>
      <c r="I19" s="212" t="s">
        <v>32</v>
      </c>
      <c r="J19" s="213"/>
      <c r="K19" s="214" t="s">
        <v>33</v>
      </c>
      <c r="L19" s="215"/>
    </row>
    <row r="20" spans="1:19" s="2" customFormat="1" ht="22.5" customHeight="1">
      <c r="A20" s="216" t="s">
        <v>34</v>
      </c>
      <c r="B20" s="217"/>
      <c r="C20" s="25"/>
      <c r="D20" s="26">
        <v>514</v>
      </c>
      <c r="E20" s="27">
        <f>D20</f>
        <v>514</v>
      </c>
      <c r="F20" s="28"/>
      <c r="G20" s="245"/>
      <c r="H20" s="246"/>
      <c r="I20" s="93" t="s">
        <v>35</v>
      </c>
      <c r="J20" s="168" t="s">
        <v>36</v>
      </c>
      <c r="K20" s="95" t="s">
        <v>37</v>
      </c>
      <c r="L20" s="150" t="s">
        <v>36</v>
      </c>
      <c r="N20" s="92"/>
    </row>
    <row r="21" spans="1:19" s="2" customFormat="1" ht="22.5" customHeight="1">
      <c r="A21" s="216" t="s">
        <v>38</v>
      </c>
      <c r="B21" s="217"/>
      <c r="C21" s="25" t="s">
        <v>39</v>
      </c>
      <c r="D21" s="160">
        <v>15.2</v>
      </c>
      <c r="E21" s="161">
        <f>D21</f>
        <v>15.2</v>
      </c>
      <c r="F21" s="31"/>
      <c r="G21" s="96" t="s">
        <v>40</v>
      </c>
      <c r="H21" s="32" t="s">
        <v>41</v>
      </c>
      <c r="I21" s="96" t="s">
        <v>42</v>
      </c>
      <c r="J21" s="151" t="s">
        <v>43</v>
      </c>
      <c r="K21" s="96" t="s">
        <v>42</v>
      </c>
      <c r="L21" s="151" t="s">
        <v>43</v>
      </c>
      <c r="N21" s="97"/>
    </row>
    <row r="22" spans="1:19" s="2" customFormat="1" ht="22.5" customHeight="1">
      <c r="A22" s="216" t="s">
        <v>44</v>
      </c>
      <c r="B22" s="217"/>
      <c r="C22" s="25" t="s">
        <v>39</v>
      </c>
      <c r="D22" s="160">
        <v>15.4</v>
      </c>
      <c r="E22" s="161">
        <f>D22+E39</f>
        <v>15.4</v>
      </c>
      <c r="F22" s="31"/>
      <c r="G22" s="145">
        <v>0</v>
      </c>
      <c r="H22" s="33">
        <v>0</v>
      </c>
      <c r="I22" s="144">
        <v>0</v>
      </c>
      <c r="J22" s="152">
        <v>0</v>
      </c>
      <c r="K22" s="144">
        <v>0</v>
      </c>
      <c r="L22" s="152">
        <v>0</v>
      </c>
      <c r="N22" s="97"/>
      <c r="O22" s="2">
        <v>0.13300000000000001</v>
      </c>
      <c r="S22" s="2">
        <v>6.6000000000000003E-2</v>
      </c>
    </row>
    <row r="23" spans="1:19" s="2" customFormat="1" ht="22.5" customHeight="1">
      <c r="A23" s="216" t="s">
        <v>45</v>
      </c>
      <c r="B23" s="217"/>
      <c r="C23" s="34" t="s">
        <v>46</v>
      </c>
      <c r="D23" s="35">
        <v>8326</v>
      </c>
      <c r="E23" s="36">
        <v>8612</v>
      </c>
      <c r="F23" s="31"/>
      <c r="G23" s="145">
        <v>5.0000000000000001E-3</v>
      </c>
      <c r="H23" s="33">
        <v>0.127</v>
      </c>
      <c r="I23" s="144">
        <f>O22</f>
        <v>0.13300000000000001</v>
      </c>
      <c r="J23" s="153">
        <f t="shared" ref="J23:J34" si="0">((I23/19.32)*10)</f>
        <v>6.8840579710144928E-2</v>
      </c>
      <c r="K23" s="98">
        <f>S22</f>
        <v>6.6000000000000003E-2</v>
      </c>
      <c r="L23" s="153">
        <f t="shared" ref="L23:L34" si="1">((K23/19.32)*10)</f>
        <v>3.4161490683229816E-2</v>
      </c>
      <c r="N23" s="97"/>
      <c r="O23" s="2">
        <v>0.23499999999999999</v>
      </c>
      <c r="S23" s="2">
        <v>0.217</v>
      </c>
    </row>
    <row r="24" spans="1:19" s="2" customFormat="1" ht="22.5" customHeight="1">
      <c r="A24" s="216" t="s">
        <v>47</v>
      </c>
      <c r="B24" s="217"/>
      <c r="C24" s="34" t="s">
        <v>46</v>
      </c>
      <c r="D24" s="167">
        <v>3822</v>
      </c>
      <c r="E24" s="37">
        <f>D24</f>
        <v>3822</v>
      </c>
      <c r="F24" s="38"/>
      <c r="G24" s="145">
        <v>2.5000000000000001E-2</v>
      </c>
      <c r="H24" s="33">
        <v>0.63500000000000001</v>
      </c>
      <c r="I24" s="144">
        <f t="shared" ref="I24:I34" si="2">O23</f>
        <v>0.23499999999999999</v>
      </c>
      <c r="J24" s="153">
        <f t="shared" si="0"/>
        <v>0.12163561076604554</v>
      </c>
      <c r="K24" s="98">
        <f t="shared" ref="K24:K34" si="3">S23</f>
        <v>0.217</v>
      </c>
      <c r="L24" s="153">
        <f t="shared" si="1"/>
        <v>0.11231884057971014</v>
      </c>
      <c r="N24" s="97"/>
      <c r="O24" s="2">
        <v>0.35599999999999998</v>
      </c>
      <c r="S24" s="2">
        <v>0.34599999999999997</v>
      </c>
    </row>
    <row r="25" spans="1:19" s="2" customFormat="1" ht="22.5" customHeight="1">
      <c r="A25" s="216" t="s">
        <v>48</v>
      </c>
      <c r="B25" s="217"/>
      <c r="C25" s="34" t="s">
        <v>46</v>
      </c>
      <c r="D25" s="39">
        <f>+D23-D24</f>
        <v>4504</v>
      </c>
      <c r="E25" s="40">
        <f>E23-E24</f>
        <v>4790</v>
      </c>
      <c r="F25" s="41"/>
      <c r="G25" s="145">
        <v>0.05</v>
      </c>
      <c r="H25" s="33">
        <v>1.27</v>
      </c>
      <c r="I25" s="144">
        <f t="shared" si="2"/>
        <v>0.35599999999999998</v>
      </c>
      <c r="J25" s="153">
        <f t="shared" si="0"/>
        <v>0.18426501035196688</v>
      </c>
      <c r="K25" s="98">
        <f t="shared" si="3"/>
        <v>0.34599999999999997</v>
      </c>
      <c r="L25" s="153">
        <f t="shared" si="1"/>
        <v>0.17908902691511386</v>
      </c>
      <c r="N25" s="97"/>
      <c r="O25" s="2">
        <v>0.47699999999999998</v>
      </c>
      <c r="S25" s="2">
        <v>0.40100000000000002</v>
      </c>
    </row>
    <row r="26" spans="1:19" s="2" customFormat="1" ht="22.5" customHeight="1">
      <c r="A26" s="216" t="s">
        <v>49</v>
      </c>
      <c r="B26" s="217"/>
      <c r="C26" s="34" t="s">
        <v>50</v>
      </c>
      <c r="D26" s="39">
        <f>((PI()*(D21*D21))/4)*D22</f>
        <v>2794.4592317387355</v>
      </c>
      <c r="E26" s="174">
        <f>((PI()*(E21*E21))/4)*E22</f>
        <v>2794.4592317387355</v>
      </c>
      <c r="F26" s="41"/>
      <c r="G26" s="145">
        <v>7.4999999999999997E-2</v>
      </c>
      <c r="H26" s="33">
        <v>1.905</v>
      </c>
      <c r="I26" s="144">
        <f t="shared" si="2"/>
        <v>0.47699999999999998</v>
      </c>
      <c r="J26" s="153">
        <f t="shared" si="0"/>
        <v>0.24689440993788819</v>
      </c>
      <c r="K26" s="98">
        <f t="shared" si="3"/>
        <v>0.40100000000000002</v>
      </c>
      <c r="L26" s="153">
        <f t="shared" si="1"/>
        <v>0.20755693581780538</v>
      </c>
      <c r="N26" s="97"/>
      <c r="O26" s="2">
        <v>0.59099999999999997</v>
      </c>
      <c r="S26" s="2">
        <v>0.41799999999999998</v>
      </c>
    </row>
    <row r="27" spans="1:19" s="2" customFormat="1" ht="22.5" customHeight="1">
      <c r="A27" s="216" t="s">
        <v>51</v>
      </c>
      <c r="B27" s="217"/>
      <c r="C27" s="34" t="s">
        <v>52</v>
      </c>
      <c r="D27" s="42">
        <f>D25/D26</f>
        <v>1.6117608547817583</v>
      </c>
      <c r="E27" s="175">
        <f>E25/E26</f>
        <v>1.7141062376564438</v>
      </c>
      <c r="F27" s="44"/>
      <c r="G27" s="146">
        <v>0.1</v>
      </c>
      <c r="H27" s="45">
        <v>2.54</v>
      </c>
      <c r="I27" s="154">
        <f t="shared" si="2"/>
        <v>0.59099999999999997</v>
      </c>
      <c r="J27" s="155">
        <f t="shared" si="0"/>
        <v>0.30590062111801242</v>
      </c>
      <c r="K27" s="158">
        <f t="shared" si="3"/>
        <v>0.41799999999999998</v>
      </c>
      <c r="L27" s="155">
        <f t="shared" si="1"/>
        <v>0.21635610766045546</v>
      </c>
      <c r="N27" s="97"/>
      <c r="O27" s="2">
        <v>0.69</v>
      </c>
      <c r="S27" s="2">
        <v>0.42499999999999999</v>
      </c>
    </row>
    <row r="28" spans="1:19" s="2" customFormat="1" ht="22.5" customHeight="1" thickBot="1">
      <c r="A28" s="218" t="s">
        <v>53</v>
      </c>
      <c r="B28" s="219"/>
      <c r="C28" s="46" t="s">
        <v>52</v>
      </c>
      <c r="D28" s="47">
        <f>D27/(1+D34/100)</f>
        <v>1.1976448465571643</v>
      </c>
      <c r="E28" s="48">
        <f>E27/(1+E34/100)</f>
        <v>1.1950402200893342</v>
      </c>
      <c r="F28" s="49"/>
      <c r="G28" s="145">
        <v>0.125</v>
      </c>
      <c r="H28" s="33">
        <v>3.1749999999999998</v>
      </c>
      <c r="I28" s="144">
        <f t="shared" si="2"/>
        <v>0.69</v>
      </c>
      <c r="J28" s="153">
        <f t="shared" si="0"/>
        <v>0.3571428571428571</v>
      </c>
      <c r="K28" s="98">
        <f t="shared" si="3"/>
        <v>0.42499999999999999</v>
      </c>
      <c r="L28" s="153">
        <f t="shared" si="1"/>
        <v>0.21997929606625255</v>
      </c>
      <c r="N28" s="97"/>
      <c r="O28" s="2">
        <v>0.77</v>
      </c>
      <c r="S28" s="2">
        <v>0.42399999999999999</v>
      </c>
    </row>
    <row r="29" spans="1:19" s="2" customFormat="1" ht="22.5" customHeight="1" thickBot="1">
      <c r="A29" s="207" t="s">
        <v>54</v>
      </c>
      <c r="B29" s="208" t="s">
        <v>54</v>
      </c>
      <c r="C29" s="208"/>
      <c r="D29" s="208"/>
      <c r="E29" s="209"/>
      <c r="F29" s="49"/>
      <c r="G29" s="147">
        <v>0.15</v>
      </c>
      <c r="H29" s="33">
        <v>3.81</v>
      </c>
      <c r="I29" s="144">
        <f t="shared" si="2"/>
        <v>0.77</v>
      </c>
      <c r="J29" s="153">
        <f t="shared" si="0"/>
        <v>0.39855072463768121</v>
      </c>
      <c r="K29" s="98">
        <f t="shared" si="3"/>
        <v>0.42399999999999999</v>
      </c>
      <c r="L29" s="153">
        <f>((K29/19.32)*10)</f>
        <v>0.21946169772256729</v>
      </c>
      <c r="N29" s="97"/>
      <c r="O29" s="2">
        <v>0.84699999999999998</v>
      </c>
      <c r="S29" s="2">
        <v>0.42399999999999999</v>
      </c>
    </row>
    <row r="30" spans="1:19" s="2" customFormat="1" ht="22.5" customHeight="1">
      <c r="A30" s="258" t="s">
        <v>55</v>
      </c>
      <c r="B30" s="259"/>
      <c r="C30" s="50"/>
      <c r="D30" s="51">
        <v>643</v>
      </c>
      <c r="E30" s="52">
        <v>201</v>
      </c>
      <c r="F30" s="44"/>
      <c r="G30" s="145">
        <v>0.17499999999999999</v>
      </c>
      <c r="H30" s="33">
        <v>4.4450000000000003</v>
      </c>
      <c r="I30" s="144">
        <f t="shared" si="2"/>
        <v>0.84699999999999998</v>
      </c>
      <c r="J30" s="153">
        <f t="shared" si="0"/>
        <v>0.43840579710144928</v>
      </c>
      <c r="K30" s="98">
        <f t="shared" si="3"/>
        <v>0.42399999999999999</v>
      </c>
      <c r="L30" s="153">
        <f t="shared" si="1"/>
        <v>0.21946169772256729</v>
      </c>
      <c r="N30" s="97"/>
      <c r="O30" s="2">
        <v>0.91700000000000004</v>
      </c>
      <c r="S30" s="2">
        <v>0.432</v>
      </c>
    </row>
    <row r="31" spans="1:19" s="2" customFormat="1" ht="22.5" customHeight="1">
      <c r="A31" s="216" t="s">
        <v>56</v>
      </c>
      <c r="B31" s="217"/>
      <c r="C31" s="25" t="s">
        <v>46</v>
      </c>
      <c r="D31" s="53">
        <v>181.35</v>
      </c>
      <c r="E31" s="54">
        <v>554.66999999999996</v>
      </c>
      <c r="F31" s="41"/>
      <c r="G31" s="146">
        <v>0.2</v>
      </c>
      <c r="H31" s="45">
        <v>5.08</v>
      </c>
      <c r="I31" s="154">
        <f t="shared" si="2"/>
        <v>0.91700000000000004</v>
      </c>
      <c r="J31" s="155">
        <f t="shared" si="0"/>
        <v>0.47463768115942029</v>
      </c>
      <c r="K31" s="158">
        <f t="shared" si="3"/>
        <v>0.432</v>
      </c>
      <c r="L31" s="155">
        <f t="shared" si="1"/>
        <v>0.22360248447204967</v>
      </c>
      <c r="N31" s="97"/>
      <c r="O31" s="2">
        <v>1.1020000000000001</v>
      </c>
      <c r="S31" s="2">
        <v>0.442</v>
      </c>
    </row>
    <row r="32" spans="1:19" s="2" customFormat="1" ht="22.5" customHeight="1">
      <c r="A32" s="216" t="s">
        <v>57</v>
      </c>
      <c r="B32" s="217"/>
      <c r="C32" s="25" t="s">
        <v>46</v>
      </c>
      <c r="D32" s="53">
        <v>144.11000000000001</v>
      </c>
      <c r="E32" s="54">
        <v>406.6</v>
      </c>
      <c r="F32" s="49"/>
      <c r="G32" s="145">
        <v>0.3</v>
      </c>
      <c r="H32" s="33">
        <v>7.62</v>
      </c>
      <c r="I32" s="144">
        <f t="shared" si="2"/>
        <v>1.1020000000000001</v>
      </c>
      <c r="J32" s="153">
        <f t="shared" si="0"/>
        <v>0.57039337474120089</v>
      </c>
      <c r="K32" s="98">
        <f t="shared" si="3"/>
        <v>0.442</v>
      </c>
      <c r="L32" s="153">
        <f t="shared" si="1"/>
        <v>0.22877846790890272</v>
      </c>
      <c r="N32" s="97"/>
      <c r="O32" s="2">
        <v>1.222</v>
      </c>
      <c r="S32" s="2">
        <v>0.45900000000000002</v>
      </c>
    </row>
    <row r="33" spans="1:19" s="2" customFormat="1" ht="22.5" customHeight="1">
      <c r="A33" s="216" t="s">
        <v>58</v>
      </c>
      <c r="B33" s="217"/>
      <c r="C33" s="25" t="s">
        <v>46</v>
      </c>
      <c r="D33" s="53">
        <v>36.409999999999997</v>
      </c>
      <c r="E33" s="54">
        <v>65.7</v>
      </c>
      <c r="F33" s="49"/>
      <c r="G33" s="145">
        <v>0.4</v>
      </c>
      <c r="H33" s="33">
        <v>10.16</v>
      </c>
      <c r="I33" s="144">
        <f t="shared" si="2"/>
        <v>1.222</v>
      </c>
      <c r="J33" s="153">
        <f t="shared" si="0"/>
        <v>0.63250517598343681</v>
      </c>
      <c r="K33" s="98">
        <f t="shared" si="3"/>
        <v>0.45900000000000002</v>
      </c>
      <c r="L33" s="153">
        <f t="shared" si="1"/>
        <v>0.2375776397515528</v>
      </c>
      <c r="N33" s="97"/>
      <c r="O33" s="2">
        <v>1.3009999999999999</v>
      </c>
      <c r="S33" s="2">
        <v>0.48299999999999998</v>
      </c>
    </row>
    <row r="34" spans="1:19" s="2" customFormat="1" ht="22.5" customHeight="1" thickBot="1">
      <c r="A34" s="218" t="s">
        <v>59</v>
      </c>
      <c r="B34" s="219"/>
      <c r="C34" s="46" t="s">
        <v>60</v>
      </c>
      <c r="D34" s="47">
        <f>((D31-D32)/(D32-D33))*100</f>
        <v>34.577530176415948</v>
      </c>
      <c r="E34" s="48">
        <f>((E31-E32)/(E32-E33))*100</f>
        <v>43.435024933998214</v>
      </c>
      <c r="F34" s="49"/>
      <c r="G34" s="148">
        <v>0.5</v>
      </c>
      <c r="H34" s="149">
        <v>12.7</v>
      </c>
      <c r="I34" s="156">
        <f t="shared" si="2"/>
        <v>1.3009999999999999</v>
      </c>
      <c r="J34" s="157">
        <f t="shared" si="0"/>
        <v>0.67339544513457561</v>
      </c>
      <c r="K34" s="159">
        <f t="shared" si="3"/>
        <v>0.48299999999999998</v>
      </c>
      <c r="L34" s="157">
        <f t="shared" si="1"/>
        <v>0.24999999999999997</v>
      </c>
      <c r="N34" s="97"/>
    </row>
    <row r="35" spans="1:19" s="2" customFormat="1" ht="11.25" customHeight="1" thickBot="1">
      <c r="A35" s="55"/>
      <c r="B35" s="56"/>
      <c r="C35" s="57"/>
      <c r="D35" s="58"/>
      <c r="E35" s="58"/>
      <c r="F35" s="59"/>
      <c r="G35" s="58"/>
      <c r="H35" s="58"/>
      <c r="I35" s="58"/>
      <c r="J35" s="58"/>
      <c r="K35" s="58"/>
      <c r="L35" s="99"/>
      <c r="N35" s="97"/>
    </row>
    <row r="36" spans="1:19" s="2" customFormat="1" ht="22.5" customHeight="1" thickBot="1">
      <c r="A36" s="247" t="s">
        <v>61</v>
      </c>
      <c r="B36" s="248"/>
      <c r="C36" s="248"/>
      <c r="D36" s="248"/>
      <c r="E36" s="249"/>
      <c r="F36" s="60"/>
      <c r="G36" s="60"/>
      <c r="H36" s="207" t="s">
        <v>62</v>
      </c>
      <c r="I36" s="208"/>
      <c r="J36" s="208"/>
      <c r="K36" s="209"/>
      <c r="L36" s="100"/>
    </row>
    <row r="37" spans="1:19" s="2" customFormat="1" ht="22.5" customHeight="1" thickBot="1">
      <c r="A37" s="250" t="s">
        <v>63</v>
      </c>
      <c r="B37" s="251"/>
      <c r="C37" s="61" t="s">
        <v>64</v>
      </c>
      <c r="D37" s="277">
        <v>0.80100000000000005</v>
      </c>
      <c r="E37" s="278"/>
      <c r="F37" s="62"/>
      <c r="G37" s="62"/>
      <c r="H37" s="63" t="s">
        <v>65</v>
      </c>
      <c r="I37" s="101" t="s">
        <v>86</v>
      </c>
      <c r="J37" s="63" t="s">
        <v>66</v>
      </c>
      <c r="K37" s="102" t="s">
        <v>67</v>
      </c>
      <c r="L37" s="99"/>
    </row>
    <row r="38" spans="1:19" s="2" customFormat="1" ht="22.5" customHeight="1" thickBot="1">
      <c r="A38" s="224" t="s">
        <v>68</v>
      </c>
      <c r="B38" s="225"/>
      <c r="C38" s="64" t="s">
        <v>64</v>
      </c>
      <c r="D38" s="279">
        <v>0.89649999999999996</v>
      </c>
      <c r="E38" s="280"/>
      <c r="F38" s="62"/>
      <c r="G38" s="62"/>
      <c r="H38" s="256" t="s">
        <v>69</v>
      </c>
      <c r="I38" s="257"/>
      <c r="J38" s="256" t="s">
        <v>70</v>
      </c>
      <c r="K38" s="257"/>
      <c r="L38" s="99"/>
    </row>
    <row r="39" spans="1:19" s="2" customFormat="1" ht="22.5" customHeight="1" thickBot="1">
      <c r="A39" s="224" t="s">
        <v>71</v>
      </c>
      <c r="B39" s="225"/>
      <c r="C39" s="65" t="s">
        <v>39</v>
      </c>
      <c r="D39" s="226">
        <f>(D38-D37)*2.54</f>
        <v>0.24256999999999979</v>
      </c>
      <c r="E39" s="227"/>
      <c r="F39" s="31"/>
      <c r="G39" s="31"/>
      <c r="H39" s="163" t="s">
        <v>72</v>
      </c>
      <c r="I39" s="164">
        <v>4555</v>
      </c>
      <c r="J39" s="275">
        <v>4</v>
      </c>
      <c r="K39" s="229"/>
      <c r="L39" s="99"/>
    </row>
    <row r="40" spans="1:19" s="2" customFormat="1" ht="22.5" customHeight="1" thickBot="1">
      <c r="A40" s="230" t="s">
        <v>73</v>
      </c>
      <c r="B40" s="231"/>
      <c r="C40" s="67" t="s">
        <v>60</v>
      </c>
      <c r="D40" s="232">
        <f>IF(D39&lt;&gt;"",IF(D22&lt;&gt;"",D39/D22*100,""),"")</f>
        <v>1.5751298701298686</v>
      </c>
      <c r="E40" s="233"/>
      <c r="F40" s="68"/>
      <c r="G40" s="68"/>
      <c r="H40" s="165" t="s">
        <v>33</v>
      </c>
      <c r="I40" s="166">
        <v>4555</v>
      </c>
      <c r="J40" s="276">
        <v>4</v>
      </c>
      <c r="K40" s="235"/>
      <c r="L40" s="99"/>
      <c r="P40" s="105"/>
      <c r="Q40" s="105"/>
      <c r="R40" s="134"/>
    </row>
    <row r="41" spans="1:19" s="2" customFormat="1" ht="33" customHeight="1" thickBot="1">
      <c r="A41" s="70"/>
      <c r="B41" s="58"/>
      <c r="C41" s="58"/>
      <c r="D41" s="58"/>
      <c r="E41" s="58"/>
      <c r="F41" s="71"/>
      <c r="G41" s="58"/>
      <c r="H41" s="70"/>
      <c r="I41" s="58"/>
      <c r="J41" s="107" t="str">
        <f>I19</f>
        <v>ANTES DE INMERSIÓN</v>
      </c>
      <c r="K41" s="107" t="str">
        <f>K19</f>
        <v xml:space="preserve">DESPUÉS DE INMERSIÓN </v>
      </c>
      <c r="L41" s="108"/>
      <c r="M41" s="20"/>
      <c r="P41" s="109"/>
      <c r="Q41" s="135"/>
      <c r="R41" s="136"/>
    </row>
    <row r="42" spans="1:19" s="2" customFormat="1" ht="22.5" customHeight="1">
      <c r="A42" s="70"/>
      <c r="B42" s="58"/>
      <c r="C42" s="58"/>
      <c r="D42" s="58"/>
      <c r="E42" s="58"/>
      <c r="F42" s="58"/>
      <c r="G42" s="58"/>
      <c r="H42" s="21" t="s">
        <v>74</v>
      </c>
      <c r="I42" s="110" t="s">
        <v>60</v>
      </c>
      <c r="J42" s="111">
        <f>(J27/6.9)*100</f>
        <v>4.4333423350436583</v>
      </c>
      <c r="K42" s="112">
        <f>(L27/6.9)*100</f>
        <v>3.1355957631950067</v>
      </c>
      <c r="L42" s="99"/>
      <c r="P42" s="113"/>
      <c r="Q42" s="137"/>
      <c r="R42" s="136"/>
    </row>
    <row r="43" spans="1:19" s="2" customFormat="1" ht="22.5" customHeight="1" thickBot="1">
      <c r="A43" s="70"/>
      <c r="B43" s="73"/>
      <c r="C43" s="58"/>
      <c r="D43" s="58"/>
      <c r="E43" s="58"/>
      <c r="F43" s="58"/>
      <c r="G43" s="58"/>
      <c r="H43" s="74" t="s">
        <v>75</v>
      </c>
      <c r="I43" s="114" t="s">
        <v>60</v>
      </c>
      <c r="J43" s="115">
        <f>(J31/10.3)*100</f>
        <v>4.608132826790488</v>
      </c>
      <c r="K43" s="116">
        <f>(L31/10.3)*100</f>
        <v>2.1708979074956276</v>
      </c>
      <c r="L43" s="99"/>
      <c r="P43" s="117"/>
      <c r="Q43" s="138"/>
      <c r="R43" s="139"/>
    </row>
    <row r="44" spans="1:19" s="2" customFormat="1" ht="22.5" customHeight="1" thickBot="1">
      <c r="A44" s="70"/>
      <c r="B44" s="73"/>
      <c r="C44" s="73"/>
      <c r="D44" s="73"/>
      <c r="E44" s="58"/>
      <c r="F44" s="58"/>
      <c r="G44" s="58"/>
      <c r="H44" s="74" t="s">
        <v>76</v>
      </c>
      <c r="I44" s="114"/>
      <c r="J44" s="118">
        <f>IF(J42&lt;J43,J42,J43)</f>
        <v>4.4333423350436583</v>
      </c>
      <c r="K44" s="119">
        <f>IF(K42&lt;K43,K42,K43)</f>
        <v>2.1708979074956276</v>
      </c>
      <c r="L44" s="120"/>
      <c r="M44" s="121"/>
    </row>
    <row r="45" spans="1:19" s="2" customFormat="1" ht="22.5" customHeight="1">
      <c r="A45" s="70"/>
      <c r="B45" s="58"/>
      <c r="C45" s="58"/>
      <c r="D45" s="59"/>
      <c r="E45" s="59"/>
      <c r="F45" s="59"/>
      <c r="G45" s="58"/>
      <c r="H45" s="4"/>
      <c r="I45" s="122"/>
      <c r="J45" s="122"/>
      <c r="K45" s="122"/>
      <c r="L45" s="99"/>
    </row>
    <row r="46" spans="1:19" s="2" customFormat="1" ht="22.5" customHeight="1">
      <c r="A46" s="70"/>
      <c r="B46" s="58"/>
      <c r="C46" s="58"/>
      <c r="D46" s="59"/>
      <c r="E46" s="59"/>
      <c r="F46" s="59"/>
      <c r="G46" s="58"/>
      <c r="H46" s="222" t="s">
        <v>77</v>
      </c>
      <c r="I46" s="222"/>
      <c r="J46" s="222" t="s">
        <v>78</v>
      </c>
      <c r="K46" s="222"/>
      <c r="L46" s="223"/>
    </row>
    <row r="47" spans="1:19" s="2" customFormat="1" ht="22.5" customHeight="1">
      <c r="A47" s="70"/>
      <c r="B47" s="56"/>
      <c r="C47" s="75"/>
      <c r="D47" s="76"/>
      <c r="E47" s="59"/>
      <c r="F47" s="59"/>
      <c r="G47" s="59"/>
      <c r="H47" s="77"/>
      <c r="I47" s="123"/>
      <c r="J47" s="77"/>
      <c r="K47" s="123"/>
      <c r="L47" s="124"/>
    </row>
    <row r="48" spans="1:19" s="2" customFormat="1" ht="22.5" customHeight="1">
      <c r="A48" s="70"/>
      <c r="B48" s="56"/>
      <c r="C48" s="75"/>
      <c r="D48" s="76"/>
      <c r="E48" s="59"/>
      <c r="F48" s="59"/>
      <c r="G48" s="59"/>
      <c r="H48" s="77"/>
      <c r="I48" s="123"/>
      <c r="J48" s="77"/>
      <c r="K48" s="123"/>
      <c r="L48" s="124"/>
    </row>
    <row r="49" spans="1:15" s="2" customFormat="1" ht="22.5" customHeight="1">
      <c r="A49" s="70"/>
      <c r="B49" s="56"/>
      <c r="C49" s="75"/>
      <c r="D49" s="76"/>
      <c r="E49" s="59"/>
      <c r="F49" s="59"/>
      <c r="G49" s="59"/>
      <c r="H49" s="77"/>
      <c r="I49" s="123"/>
      <c r="J49" s="77"/>
      <c r="K49"/>
      <c r="L49" s="124"/>
    </row>
    <row r="50" spans="1:15" s="2" customFormat="1" ht="22.5" customHeight="1">
      <c r="A50" s="70"/>
      <c r="B50" s="56"/>
      <c r="C50" s="75"/>
      <c r="D50" s="76"/>
      <c r="E50" s="59"/>
      <c r="F50" s="59"/>
      <c r="G50" s="59"/>
      <c r="H50" s="78"/>
      <c r="I50" s="78"/>
      <c r="J50" s="77"/>
      <c r="K50" s="123"/>
      <c r="L50" s="124"/>
    </row>
    <row r="51" spans="1:15" s="2" customFormat="1" ht="22.5" customHeight="1">
      <c r="A51" s="70"/>
      <c r="B51" s="56"/>
      <c r="C51" s="75"/>
      <c r="D51" s="76"/>
      <c r="E51" s="59"/>
      <c r="F51" s="59"/>
      <c r="G51" s="59"/>
      <c r="H51" s="220" t="s">
        <v>79</v>
      </c>
      <c r="I51" s="220"/>
      <c r="J51" s="220" t="s">
        <v>87</v>
      </c>
      <c r="K51" s="220"/>
      <c r="L51" s="221"/>
    </row>
    <row r="52" spans="1:15" s="2" customFormat="1" ht="22.5" customHeight="1">
      <c r="A52" s="70"/>
      <c r="B52" s="56"/>
      <c r="C52" s="75"/>
      <c r="D52" s="76"/>
      <c r="E52" s="59"/>
      <c r="F52" s="59"/>
      <c r="G52" s="59"/>
      <c r="H52" s="222" t="s">
        <v>80</v>
      </c>
      <c r="I52" s="222"/>
      <c r="J52" s="222" t="s">
        <v>81</v>
      </c>
      <c r="K52" s="222"/>
      <c r="L52" s="223"/>
    </row>
    <row r="53" spans="1:15" s="2" customFormat="1" ht="22.5" customHeight="1">
      <c r="A53" s="70"/>
      <c r="B53" s="56"/>
      <c r="C53" s="75"/>
      <c r="D53" s="76"/>
      <c r="E53" s="59"/>
      <c r="F53" s="59"/>
      <c r="G53" s="59"/>
      <c r="H53" s="186"/>
      <c r="I53" s="186"/>
      <c r="J53" s="186"/>
      <c r="K53" s="186"/>
      <c r="L53" s="99"/>
    </row>
    <row r="54" spans="1:15" s="2" customFormat="1" ht="22.5" customHeight="1">
      <c r="A54" s="70"/>
      <c r="B54" s="56"/>
      <c r="C54" s="75"/>
      <c r="D54" s="76"/>
      <c r="E54" s="59"/>
      <c r="F54" s="59"/>
      <c r="G54" s="59"/>
      <c r="H54" s="58"/>
      <c r="I54" s="58"/>
      <c r="J54" s="125"/>
      <c r="K54" s="58"/>
      <c r="L54" s="99"/>
      <c r="M54" s="126"/>
      <c r="N54" s="3"/>
    </row>
    <row r="55" spans="1:15" s="2" customFormat="1" ht="22.5" customHeight="1">
      <c r="A55" s="70"/>
      <c r="B55" s="56"/>
      <c r="C55" s="75"/>
      <c r="D55" s="76"/>
      <c r="E55" s="59"/>
      <c r="F55" s="59"/>
      <c r="G55" s="59"/>
      <c r="H55" s="58"/>
      <c r="I55" s="58"/>
      <c r="J55" s="127"/>
      <c r="K55" s="125"/>
      <c r="L55" s="128"/>
      <c r="M55" s="129"/>
      <c r="N55" s="3"/>
    </row>
    <row r="56" spans="1:15" s="2" customFormat="1" ht="22.5" customHeight="1">
      <c r="A56" s="264" t="s">
        <v>82</v>
      </c>
      <c r="B56" s="265"/>
      <c r="C56" s="265"/>
      <c r="D56" s="265"/>
      <c r="E56" s="265"/>
      <c r="F56" s="265"/>
      <c r="G56" s="265"/>
      <c r="H56" s="265"/>
      <c r="I56" s="265"/>
      <c r="J56" s="265"/>
      <c r="K56" s="265"/>
      <c r="L56" s="266"/>
      <c r="M56" s="130"/>
      <c r="N56" s="3"/>
      <c r="O56" s="3"/>
    </row>
    <row r="57" spans="1:15" s="2" customFormat="1" ht="22.5" customHeight="1">
      <c r="A57" s="261" t="s">
        <v>83</v>
      </c>
      <c r="B57" s="262"/>
      <c r="C57" s="262"/>
      <c r="D57" s="262"/>
      <c r="E57" s="262"/>
      <c r="F57" s="262"/>
      <c r="G57" s="262"/>
      <c r="H57" s="262"/>
      <c r="I57" s="262"/>
      <c r="J57" s="262"/>
      <c r="K57" s="262"/>
      <c r="L57" s="263"/>
      <c r="M57" s="3"/>
      <c r="N57" s="3"/>
      <c r="O57" s="3"/>
    </row>
    <row r="58" spans="1:15" s="2" customFormat="1" ht="22.5" customHeight="1">
      <c r="A58" s="261"/>
      <c r="B58" s="262"/>
      <c r="C58" s="262"/>
      <c r="D58" s="262"/>
      <c r="E58" s="262"/>
      <c r="F58" s="262"/>
      <c r="G58" s="262"/>
      <c r="H58" s="262"/>
      <c r="I58" s="262"/>
      <c r="J58" s="262"/>
      <c r="K58" s="262"/>
      <c r="L58" s="263"/>
      <c r="M58" s="3"/>
      <c r="N58" s="3"/>
      <c r="O58" s="3"/>
    </row>
    <row r="59" spans="1:15" ht="15" thickBot="1">
      <c r="A59" s="267" t="s">
        <v>84</v>
      </c>
      <c r="B59" s="268"/>
      <c r="C59" s="268"/>
      <c r="D59" s="268"/>
      <c r="E59" s="268"/>
      <c r="F59" s="268"/>
      <c r="G59" s="268"/>
      <c r="H59" s="268"/>
      <c r="I59" s="268"/>
      <c r="J59" s="268"/>
      <c r="K59" s="268"/>
      <c r="L59" s="269"/>
    </row>
    <row r="63" spans="1:15">
      <c r="I63" s="79"/>
      <c r="J63" s="79"/>
      <c r="K63" s="79"/>
      <c r="L63" s="79"/>
      <c r="M63" s="79"/>
      <c r="N63" s="79"/>
    </row>
    <row r="64" spans="1:15" ht="15" customHeight="1">
      <c r="E64" s="79"/>
      <c r="F64" s="79"/>
      <c r="G64" s="79"/>
      <c r="H64" s="79"/>
      <c r="I64" s="131"/>
      <c r="J64" s="131"/>
      <c r="K64" s="131"/>
      <c r="L64" s="131"/>
      <c r="M64" s="131"/>
      <c r="N64" s="131"/>
    </row>
    <row r="65" spans="2:18" ht="15" customHeight="1">
      <c r="E65" s="131"/>
      <c r="F65" s="131"/>
      <c r="G65" s="131"/>
      <c r="H65" s="131"/>
      <c r="I65" s="131"/>
      <c r="J65" s="131"/>
      <c r="K65" s="131"/>
      <c r="L65" s="131"/>
      <c r="M65" s="131"/>
      <c r="N65" s="131"/>
    </row>
    <row r="66" spans="2:18" ht="15" customHeight="1">
      <c r="E66" s="131"/>
      <c r="F66" s="131"/>
      <c r="G66" s="131"/>
      <c r="H66" s="131"/>
      <c r="I66" s="131"/>
      <c r="J66" s="131"/>
      <c r="K66" s="131"/>
      <c r="L66" s="131"/>
      <c r="M66" s="131"/>
      <c r="N66" s="131"/>
    </row>
    <row r="67" spans="2:18" ht="30.75" customHeight="1">
      <c r="E67" s="131"/>
      <c r="F67" s="131"/>
      <c r="G67" s="131"/>
      <c r="H67" s="131"/>
      <c r="I67" s="140"/>
      <c r="J67" s="140"/>
      <c r="K67" s="140"/>
      <c r="L67" s="140"/>
      <c r="M67" s="140"/>
      <c r="N67" s="140"/>
    </row>
    <row r="68" spans="2:18" ht="15" customHeight="1">
      <c r="E68" s="140"/>
      <c r="F68" s="140"/>
      <c r="G68" s="140"/>
      <c r="H68" s="140"/>
      <c r="I68" s="140"/>
      <c r="J68" s="140"/>
      <c r="K68" s="140"/>
      <c r="L68" s="140"/>
      <c r="M68" s="140"/>
      <c r="N68" s="140"/>
    </row>
    <row r="69" spans="2:18" ht="15" customHeight="1">
      <c r="E69" s="140"/>
      <c r="F69" s="140"/>
      <c r="G69" s="140"/>
      <c r="H69" s="140"/>
    </row>
    <row r="70" spans="2:18" ht="31.5" customHeight="1">
      <c r="E70" s="270"/>
      <c r="F70" s="270"/>
      <c r="G70" s="270"/>
      <c r="H70" s="270"/>
      <c r="I70" s="270"/>
      <c r="J70" s="270"/>
      <c r="K70" s="270"/>
      <c r="L70" s="270"/>
      <c r="M70" s="270"/>
      <c r="N70" s="270"/>
      <c r="O70" s="270"/>
      <c r="P70" s="270"/>
    </row>
    <row r="71" spans="2:18" ht="24" customHeight="1">
      <c r="B71" s="141"/>
      <c r="C71" s="142"/>
      <c r="D71" s="142"/>
      <c r="E71" s="142"/>
      <c r="F71" s="142"/>
      <c r="G71" s="142"/>
      <c r="H71" s="142"/>
      <c r="I71" s="142"/>
      <c r="J71" s="142"/>
      <c r="K71" s="142"/>
      <c r="L71" s="142"/>
      <c r="M71" s="142"/>
      <c r="N71" s="142"/>
      <c r="O71" s="142"/>
      <c r="P71" s="142"/>
      <c r="Q71" s="142"/>
      <c r="R71" s="142"/>
    </row>
    <row r="72" spans="2:18" ht="15" customHeight="1">
      <c r="B72" s="142"/>
      <c r="C72" s="142"/>
      <c r="D72" s="260"/>
      <c r="E72" s="260"/>
      <c r="F72" s="260"/>
      <c r="G72" s="260"/>
      <c r="H72" s="260"/>
      <c r="I72" s="260"/>
      <c r="J72" s="260"/>
      <c r="K72" s="260"/>
      <c r="L72" s="260"/>
      <c r="M72" s="260"/>
      <c r="N72" s="260"/>
      <c r="O72" s="260"/>
      <c r="P72" s="142"/>
      <c r="Q72" s="142"/>
      <c r="R72" s="142"/>
    </row>
    <row r="73" spans="2:18">
      <c r="D73" s="260"/>
      <c r="E73" s="260"/>
      <c r="F73" s="260"/>
      <c r="G73" s="260"/>
      <c r="H73" s="260"/>
      <c r="I73" s="260"/>
      <c r="J73" s="260"/>
      <c r="K73" s="260"/>
      <c r="L73" s="260"/>
      <c r="M73" s="260"/>
      <c r="N73" s="260"/>
      <c r="O73" s="260"/>
    </row>
  </sheetData>
  <sheetProtection formatCells="0" formatColumns="0" insertColumns="0" insertRows="0" deleteColumns="0" deleteRows="0"/>
  <mergeCells count="74">
    <mergeCell ref="D72:O73"/>
    <mergeCell ref="H46:I46"/>
    <mergeCell ref="J46:L46"/>
    <mergeCell ref="H51:I51"/>
    <mergeCell ref="J51:L51"/>
    <mergeCell ref="H52:I52"/>
    <mergeCell ref="J52:L52"/>
    <mergeCell ref="H53:K53"/>
    <mergeCell ref="A56:L56"/>
    <mergeCell ref="A57:L58"/>
    <mergeCell ref="A59:L59"/>
    <mergeCell ref="E70:P70"/>
    <mergeCell ref="A39:B39"/>
    <mergeCell ref="D39:E39"/>
    <mergeCell ref="J39:K39"/>
    <mergeCell ref="A40:B40"/>
    <mergeCell ref="D40:E40"/>
    <mergeCell ref="J40:K40"/>
    <mergeCell ref="A38:B38"/>
    <mergeCell ref="D38:E38"/>
    <mergeCell ref="H38:I38"/>
    <mergeCell ref="J38:K38"/>
    <mergeCell ref="A28:B28"/>
    <mergeCell ref="A29:E29"/>
    <mergeCell ref="A30:B30"/>
    <mergeCell ref="A31:B31"/>
    <mergeCell ref="A32:B32"/>
    <mergeCell ref="A33:B33"/>
    <mergeCell ref="A34:B34"/>
    <mergeCell ref="A36:E36"/>
    <mergeCell ref="H36:K36"/>
    <mergeCell ref="A37:B37"/>
    <mergeCell ref="D37:E37"/>
    <mergeCell ref="A27:B27"/>
    <mergeCell ref="A19:C19"/>
    <mergeCell ref="G19:H20"/>
    <mergeCell ref="I19:J19"/>
    <mergeCell ref="K19:L19"/>
    <mergeCell ref="A20:B20"/>
    <mergeCell ref="A21:B21"/>
    <mergeCell ref="A22:B22"/>
    <mergeCell ref="A23:B23"/>
    <mergeCell ref="A24:B24"/>
    <mergeCell ref="A25:B25"/>
    <mergeCell ref="A26:B26"/>
    <mergeCell ref="A18:E18"/>
    <mergeCell ref="G18:L18"/>
    <mergeCell ref="C8:G8"/>
    <mergeCell ref="H8:I8"/>
    <mergeCell ref="J8:L8"/>
    <mergeCell ref="C9:G9"/>
    <mergeCell ref="H9:I9"/>
    <mergeCell ref="C10:G10"/>
    <mergeCell ref="H10:I10"/>
    <mergeCell ref="J10:L10"/>
    <mergeCell ref="B11:K11"/>
    <mergeCell ref="F12:G12"/>
    <mergeCell ref="H12:I12"/>
    <mergeCell ref="C13:L13"/>
    <mergeCell ref="A16:L16"/>
    <mergeCell ref="B5:K5"/>
    <mergeCell ref="C6:G6"/>
    <mergeCell ref="H6:I6"/>
    <mergeCell ref="J6:L6"/>
    <mergeCell ref="C7:G7"/>
    <mergeCell ref="H7:I7"/>
    <mergeCell ref="J7:L7"/>
    <mergeCell ref="A1:B4"/>
    <mergeCell ref="C1:J1"/>
    <mergeCell ref="K1:L1"/>
    <mergeCell ref="C2:J4"/>
    <mergeCell ref="K2:L2"/>
    <mergeCell ref="K3:L3"/>
    <mergeCell ref="K4:L4"/>
  </mergeCells>
  <conditionalFormatting sqref="C6:G10">
    <cfRule type="containsBlanks" dxfId="39" priority="10">
      <formula>LEN(TRIM(C6))=0</formula>
    </cfRule>
  </conditionalFormatting>
  <conditionalFormatting sqref="C13:L13">
    <cfRule type="containsBlanks" dxfId="38" priority="9">
      <formula>LEN(TRIM(C13))=0</formula>
    </cfRule>
  </conditionalFormatting>
  <conditionalFormatting sqref="D20:D24">
    <cfRule type="containsBlanks" dxfId="37" priority="4">
      <formula>LEN(TRIM(D20))=0</formula>
    </cfRule>
  </conditionalFormatting>
  <conditionalFormatting sqref="D37:D38">
    <cfRule type="containsBlanks" dxfId="36" priority="3">
      <formula>LEN(TRIM(D37))=0</formula>
    </cfRule>
  </conditionalFormatting>
  <conditionalFormatting sqref="D30:E33">
    <cfRule type="containsBlanks" dxfId="35" priority="1">
      <formula>LEN(TRIM(D30))=0</formula>
    </cfRule>
  </conditionalFormatting>
  <conditionalFormatting sqref="E23">
    <cfRule type="containsBlanks" dxfId="34" priority="5">
      <formula>LEN(TRIM(E23))=0</formula>
    </cfRule>
  </conditionalFormatting>
  <conditionalFormatting sqref="F12:G12">
    <cfRule type="containsBlanks" dxfId="33" priority="8">
      <formula>LEN(TRIM(F12))=0</formula>
    </cfRule>
  </conditionalFormatting>
  <conditionalFormatting sqref="I22:I34">
    <cfRule type="containsBlanks" dxfId="32" priority="7">
      <formula>LEN(TRIM(I22))=0</formula>
    </cfRule>
  </conditionalFormatting>
  <conditionalFormatting sqref="I37">
    <cfRule type="containsBlanks" dxfId="31" priority="2">
      <formula>LEN(TRIM(I37))=0</formula>
    </cfRule>
  </conditionalFormatting>
  <conditionalFormatting sqref="K22:K34">
    <cfRule type="containsBlanks" dxfId="30" priority="6">
      <formula>LEN(TRIM(K22))=0</formula>
    </cfRule>
  </conditionalFormatting>
  <dataValidations count="2">
    <dataValidation type="list" allowBlank="1" showInputMessage="1" showErrorMessage="1" sqref="I37" xr:uid="{6A33CE5D-28CC-48D0-85EA-FADBE0FBB469}">
      <formula1>"5 kN, 50 kN"</formula1>
    </dataValidation>
    <dataValidation type="list" allowBlank="1" showInputMessage="1" showErrorMessage="1" sqref="C12" xr:uid="{3371039B-DE64-412F-BE54-6B2EE6931781}">
      <formula1>$T$6:$T$13</formula1>
    </dataValidation>
  </dataValidations>
  <printOptions horizontalCentered="1" verticalCentered="1"/>
  <pageMargins left="0.31496062992126" right="0.31496062992126" top="0.15748031496063" bottom="0.55118110236220497" header="0" footer="0.118110236220472"/>
  <pageSetup scale="42" fitToWidth="0" fitToHeight="0" orientation="landscape" r:id="rId1"/>
  <headerFooter>
    <oddFooter>&amp;C&amp;"Arial,Normal"&amp;10GEODELTA S.A.S. Calle 68 B bis No 70 C 95, Móvil: 318 7902368 Bogotá DC - Colombia
e-mail: laboratoriogeodelta@gmail.com</oddFooter>
  </headerFooter>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2191-6764-4C0C-9028-257BBD5FE60F}">
  <sheetPr>
    <tabColor theme="9" tint="0.59999389629810485"/>
  </sheetPr>
  <dimension ref="A1:AB73"/>
  <sheetViews>
    <sheetView showGridLines="0" view="pageBreakPreview" topLeftCell="A19" zoomScale="96" zoomScaleNormal="50" zoomScaleSheetLayoutView="96" zoomScalePageLayoutView="50" workbookViewId="0">
      <selection activeCell="J15" sqref="J15"/>
    </sheetView>
  </sheetViews>
  <sheetFormatPr baseColWidth="10" defaultColWidth="11" defaultRowHeight="14.25"/>
  <cols>
    <col min="1" max="1" width="10.5703125" style="3" customWidth="1"/>
    <col min="2" max="2" width="35.42578125" style="3" customWidth="1"/>
    <col min="3" max="3" width="20.85546875" style="3" customWidth="1"/>
    <col min="4" max="5" width="26.7109375" style="3" customWidth="1"/>
    <col min="6" max="6" width="3.7109375" style="3" customWidth="1"/>
    <col min="7" max="7" width="29.140625" style="3" customWidth="1"/>
    <col min="8" max="8" width="27.140625" style="3" customWidth="1"/>
    <col min="9" max="10" width="24.28515625" style="3" customWidth="1"/>
    <col min="11" max="12" width="22.42578125" style="3" customWidth="1"/>
    <col min="13" max="13" width="1.85546875" style="3" customWidth="1"/>
    <col min="14" max="16" width="12.85546875" style="3" customWidth="1"/>
    <col min="17" max="17" width="6.5703125" style="3" customWidth="1"/>
    <col min="18" max="18" width="6.28515625" style="3" customWidth="1"/>
    <col min="19" max="184" width="11" style="3"/>
    <col min="185" max="185" width="0.7109375" style="3" customWidth="1"/>
    <col min="186" max="186" width="6.5703125" style="3" customWidth="1"/>
    <col min="187" max="187" width="13.5703125" style="3" customWidth="1"/>
    <col min="188" max="188" width="13.42578125" style="3" customWidth="1"/>
    <col min="189" max="190" width="12.5703125" style="3" customWidth="1"/>
    <col min="191" max="191" width="14.85546875" style="3" customWidth="1"/>
    <col min="192" max="192" width="20.7109375" style="3" customWidth="1"/>
    <col min="193" max="193" width="12.5703125" style="3" customWidth="1"/>
    <col min="194" max="194" width="13" style="3" customWidth="1"/>
    <col min="195" max="195" width="16" style="3" customWidth="1"/>
    <col min="196" max="196" width="6.42578125" style="3" customWidth="1"/>
    <col min="197" max="197" width="16" style="3" customWidth="1"/>
    <col min="198" max="198" width="2.85546875" style="3" customWidth="1"/>
    <col min="199" max="199" width="0.85546875" style="3" customWidth="1"/>
    <col min="200" max="200" width="11" style="3"/>
    <col min="201" max="201" width="15.42578125" style="3" customWidth="1"/>
    <col min="202" max="204" width="14.85546875" style="3" customWidth="1"/>
    <col min="205" max="205" width="0.7109375" style="3" customWidth="1"/>
    <col min="206" max="206" width="11" style="3"/>
    <col min="207" max="207" width="15.7109375" style="3" customWidth="1"/>
    <col min="208" max="209" width="14.85546875" style="3" customWidth="1"/>
    <col min="210" max="210" width="3.28515625" style="3" customWidth="1"/>
    <col min="211" max="211" width="20.140625" style="3" customWidth="1"/>
    <col min="212" max="212" width="3.28515625" style="3" customWidth="1"/>
    <col min="213" max="217" width="11" style="3"/>
    <col min="218" max="230" width="4.7109375" style="3" customWidth="1"/>
    <col min="231" max="440" width="11" style="3"/>
    <col min="441" max="441" width="0.7109375" style="3" customWidth="1"/>
    <col min="442" max="442" width="6.5703125" style="3" customWidth="1"/>
    <col min="443" max="443" width="13.5703125" style="3" customWidth="1"/>
    <col min="444" max="444" width="13.42578125" style="3" customWidth="1"/>
    <col min="445" max="446" width="12.5703125" style="3" customWidth="1"/>
    <col min="447" max="447" width="14.85546875" style="3" customWidth="1"/>
    <col min="448" max="448" width="20.7109375" style="3" customWidth="1"/>
    <col min="449" max="449" width="12.5703125" style="3" customWidth="1"/>
    <col min="450" max="450" width="13" style="3" customWidth="1"/>
    <col min="451" max="451" width="16" style="3" customWidth="1"/>
    <col min="452" max="452" width="6.42578125" style="3" customWidth="1"/>
    <col min="453" max="453" width="16" style="3" customWidth="1"/>
    <col min="454" max="454" width="2.85546875" style="3" customWidth="1"/>
    <col min="455" max="455" width="0.85546875" style="3" customWidth="1"/>
    <col min="456" max="456" width="11" style="3"/>
    <col min="457" max="457" width="15.42578125" style="3" customWidth="1"/>
    <col min="458" max="460" width="14.85546875" style="3" customWidth="1"/>
    <col min="461" max="461" width="0.7109375" style="3" customWidth="1"/>
    <col min="462" max="462" width="11" style="3"/>
    <col min="463" max="463" width="15.7109375" style="3" customWidth="1"/>
    <col min="464" max="465" width="14.85546875" style="3" customWidth="1"/>
    <col min="466" max="466" width="3.28515625" style="3" customWidth="1"/>
    <col min="467" max="467" width="20.140625" style="3" customWidth="1"/>
    <col min="468" max="468" width="3.28515625" style="3" customWidth="1"/>
    <col min="469" max="473" width="11" style="3"/>
    <col min="474" max="486" width="4.7109375" style="3" customWidth="1"/>
    <col min="487" max="696" width="11" style="3"/>
    <col min="697" max="697" width="0.7109375" style="3" customWidth="1"/>
    <col min="698" max="698" width="6.5703125" style="3" customWidth="1"/>
    <col min="699" max="699" width="13.5703125" style="3" customWidth="1"/>
    <col min="700" max="700" width="13.42578125" style="3" customWidth="1"/>
    <col min="701" max="702" width="12.5703125" style="3" customWidth="1"/>
    <col min="703" max="703" width="14.85546875" style="3" customWidth="1"/>
    <col min="704" max="704" width="20.7109375" style="3" customWidth="1"/>
    <col min="705" max="705" width="12.5703125" style="3" customWidth="1"/>
    <col min="706" max="706" width="13" style="3" customWidth="1"/>
    <col min="707" max="707" width="16" style="3" customWidth="1"/>
    <col min="708" max="708" width="6.42578125" style="3" customWidth="1"/>
    <col min="709" max="709" width="16" style="3" customWidth="1"/>
    <col min="710" max="710" width="2.85546875" style="3" customWidth="1"/>
    <col min="711" max="711" width="0.85546875" style="3" customWidth="1"/>
    <col min="712" max="712" width="11" style="3"/>
    <col min="713" max="713" width="15.42578125" style="3" customWidth="1"/>
    <col min="714" max="716" width="14.85546875" style="3" customWidth="1"/>
    <col min="717" max="717" width="0.7109375" style="3" customWidth="1"/>
    <col min="718" max="718" width="11" style="3"/>
    <col min="719" max="719" width="15.7109375" style="3" customWidth="1"/>
    <col min="720" max="721" width="14.85546875" style="3" customWidth="1"/>
    <col min="722" max="722" width="3.28515625" style="3" customWidth="1"/>
    <col min="723" max="723" width="20.140625" style="3" customWidth="1"/>
    <col min="724" max="724" width="3.28515625" style="3" customWidth="1"/>
    <col min="725" max="729" width="11" style="3"/>
    <col min="730" max="742" width="4.7109375" style="3" customWidth="1"/>
    <col min="743" max="952" width="11" style="3"/>
    <col min="953" max="953" width="0.7109375" style="3" customWidth="1"/>
    <col min="954" max="954" width="6.5703125" style="3" customWidth="1"/>
    <col min="955" max="955" width="13.5703125" style="3" customWidth="1"/>
    <col min="956" max="956" width="13.42578125" style="3" customWidth="1"/>
    <col min="957" max="958" width="12.5703125" style="3" customWidth="1"/>
    <col min="959" max="959" width="14.85546875" style="3" customWidth="1"/>
    <col min="960" max="960" width="20.7109375" style="3" customWidth="1"/>
    <col min="961" max="961" width="12.5703125" style="3" customWidth="1"/>
    <col min="962" max="962" width="13" style="3" customWidth="1"/>
    <col min="963" max="963" width="16" style="3" customWidth="1"/>
    <col min="964" max="964" width="6.42578125" style="3" customWidth="1"/>
    <col min="965" max="965" width="16" style="3" customWidth="1"/>
    <col min="966" max="966" width="2.85546875" style="3" customWidth="1"/>
    <col min="967" max="967" width="0.85546875" style="3" customWidth="1"/>
    <col min="968" max="968" width="11" style="3"/>
    <col min="969" max="969" width="15.42578125" style="3" customWidth="1"/>
    <col min="970" max="972" width="14.85546875" style="3" customWidth="1"/>
    <col min="973" max="973" width="0.7109375" style="3" customWidth="1"/>
    <col min="974" max="974" width="11" style="3"/>
    <col min="975" max="975" width="15.7109375" style="3" customWidth="1"/>
    <col min="976" max="977" width="14.85546875" style="3" customWidth="1"/>
    <col min="978" max="978" width="3.28515625" style="3" customWidth="1"/>
    <col min="979" max="979" width="20.140625" style="3" customWidth="1"/>
    <col min="980" max="980" width="3.28515625" style="3" customWidth="1"/>
    <col min="981" max="985" width="11" style="3"/>
    <col min="986" max="998" width="4.7109375" style="3" customWidth="1"/>
    <col min="999" max="1208" width="11" style="3"/>
    <col min="1209" max="1209" width="0.7109375" style="3" customWidth="1"/>
    <col min="1210" max="1210" width="6.5703125" style="3" customWidth="1"/>
    <col min="1211" max="1211" width="13.5703125" style="3" customWidth="1"/>
    <col min="1212" max="1212" width="13.42578125" style="3" customWidth="1"/>
    <col min="1213" max="1214" width="12.5703125" style="3" customWidth="1"/>
    <col min="1215" max="1215" width="14.85546875" style="3" customWidth="1"/>
    <col min="1216" max="1216" width="20.7109375" style="3" customWidth="1"/>
    <col min="1217" max="1217" width="12.5703125" style="3" customWidth="1"/>
    <col min="1218" max="1218" width="13" style="3" customWidth="1"/>
    <col min="1219" max="1219" width="16" style="3" customWidth="1"/>
    <col min="1220" max="1220" width="6.42578125" style="3" customWidth="1"/>
    <col min="1221" max="1221" width="16" style="3" customWidth="1"/>
    <col min="1222" max="1222" width="2.85546875" style="3" customWidth="1"/>
    <col min="1223" max="1223" width="0.85546875" style="3" customWidth="1"/>
    <col min="1224" max="1224" width="11" style="3"/>
    <col min="1225" max="1225" width="15.42578125" style="3" customWidth="1"/>
    <col min="1226" max="1228" width="14.85546875" style="3" customWidth="1"/>
    <col min="1229" max="1229" width="0.7109375" style="3" customWidth="1"/>
    <col min="1230" max="1230" width="11" style="3"/>
    <col min="1231" max="1231" width="15.7109375" style="3" customWidth="1"/>
    <col min="1232" max="1233" width="14.85546875" style="3" customWidth="1"/>
    <col min="1234" max="1234" width="3.28515625" style="3" customWidth="1"/>
    <col min="1235" max="1235" width="20.140625" style="3" customWidth="1"/>
    <col min="1236" max="1236" width="3.28515625" style="3" customWidth="1"/>
    <col min="1237" max="1241" width="11" style="3"/>
    <col min="1242" max="1254" width="4.7109375" style="3" customWidth="1"/>
    <col min="1255" max="1464" width="11" style="3"/>
    <col min="1465" max="1465" width="0.7109375" style="3" customWidth="1"/>
    <col min="1466" max="1466" width="6.5703125" style="3" customWidth="1"/>
    <col min="1467" max="1467" width="13.5703125" style="3" customWidth="1"/>
    <col min="1468" max="1468" width="13.42578125" style="3" customWidth="1"/>
    <col min="1469" max="1470" width="12.5703125" style="3" customWidth="1"/>
    <col min="1471" max="1471" width="14.85546875" style="3" customWidth="1"/>
    <col min="1472" max="1472" width="20.7109375" style="3" customWidth="1"/>
    <col min="1473" max="1473" width="12.5703125" style="3" customWidth="1"/>
    <col min="1474" max="1474" width="13" style="3" customWidth="1"/>
    <col min="1475" max="1475" width="16" style="3" customWidth="1"/>
    <col min="1476" max="1476" width="6.42578125" style="3" customWidth="1"/>
    <col min="1477" max="1477" width="16" style="3" customWidth="1"/>
    <col min="1478" max="1478" width="2.85546875" style="3" customWidth="1"/>
    <col min="1479" max="1479" width="0.85546875" style="3" customWidth="1"/>
    <col min="1480" max="1480" width="11" style="3"/>
    <col min="1481" max="1481" width="15.42578125" style="3" customWidth="1"/>
    <col min="1482" max="1484" width="14.85546875" style="3" customWidth="1"/>
    <col min="1485" max="1485" width="0.7109375" style="3" customWidth="1"/>
    <col min="1486" max="1486" width="11" style="3"/>
    <col min="1487" max="1487" width="15.7109375" style="3" customWidth="1"/>
    <col min="1488" max="1489" width="14.85546875" style="3" customWidth="1"/>
    <col min="1490" max="1490" width="3.28515625" style="3" customWidth="1"/>
    <col min="1491" max="1491" width="20.140625" style="3" customWidth="1"/>
    <col min="1492" max="1492" width="3.28515625" style="3" customWidth="1"/>
    <col min="1493" max="1497" width="11" style="3"/>
    <col min="1498" max="1510" width="4.7109375" style="3" customWidth="1"/>
    <col min="1511" max="1720" width="11" style="3"/>
    <col min="1721" max="1721" width="0.7109375" style="3" customWidth="1"/>
    <col min="1722" max="1722" width="6.5703125" style="3" customWidth="1"/>
    <col min="1723" max="1723" width="13.5703125" style="3" customWidth="1"/>
    <col min="1724" max="1724" width="13.42578125" style="3" customWidth="1"/>
    <col min="1725" max="1726" width="12.5703125" style="3" customWidth="1"/>
    <col min="1727" max="1727" width="14.85546875" style="3" customWidth="1"/>
    <col min="1728" max="1728" width="20.7109375" style="3" customWidth="1"/>
    <col min="1729" max="1729" width="12.5703125" style="3" customWidth="1"/>
    <col min="1730" max="1730" width="13" style="3" customWidth="1"/>
    <col min="1731" max="1731" width="16" style="3" customWidth="1"/>
    <col min="1732" max="1732" width="6.42578125" style="3" customWidth="1"/>
    <col min="1733" max="1733" width="16" style="3" customWidth="1"/>
    <col min="1734" max="1734" width="2.85546875" style="3" customWidth="1"/>
    <col min="1735" max="1735" width="0.85546875" style="3" customWidth="1"/>
    <col min="1736" max="1736" width="11" style="3"/>
    <col min="1737" max="1737" width="15.42578125" style="3" customWidth="1"/>
    <col min="1738" max="1740" width="14.85546875" style="3" customWidth="1"/>
    <col min="1741" max="1741" width="0.7109375" style="3" customWidth="1"/>
    <col min="1742" max="1742" width="11" style="3"/>
    <col min="1743" max="1743" width="15.7109375" style="3" customWidth="1"/>
    <col min="1744" max="1745" width="14.85546875" style="3" customWidth="1"/>
    <col min="1746" max="1746" width="3.28515625" style="3" customWidth="1"/>
    <col min="1747" max="1747" width="20.140625" style="3" customWidth="1"/>
    <col min="1748" max="1748" width="3.28515625" style="3" customWidth="1"/>
    <col min="1749" max="1753" width="11" style="3"/>
    <col min="1754" max="1766" width="4.7109375" style="3" customWidth="1"/>
    <col min="1767" max="1976" width="11" style="3"/>
    <col min="1977" max="1977" width="0.7109375" style="3" customWidth="1"/>
    <col min="1978" max="1978" width="6.5703125" style="3" customWidth="1"/>
    <col min="1979" max="1979" width="13.5703125" style="3" customWidth="1"/>
    <col min="1980" max="1980" width="13.42578125" style="3" customWidth="1"/>
    <col min="1981" max="1982" width="12.5703125" style="3" customWidth="1"/>
    <col min="1983" max="1983" width="14.85546875" style="3" customWidth="1"/>
    <col min="1984" max="1984" width="20.7109375" style="3" customWidth="1"/>
    <col min="1985" max="1985" width="12.5703125" style="3" customWidth="1"/>
    <col min="1986" max="1986" width="13" style="3" customWidth="1"/>
    <col min="1987" max="1987" width="16" style="3" customWidth="1"/>
    <col min="1988" max="1988" width="6.42578125" style="3" customWidth="1"/>
    <col min="1989" max="1989" width="16" style="3" customWidth="1"/>
    <col min="1990" max="1990" width="2.85546875" style="3" customWidth="1"/>
    <col min="1991" max="1991" width="0.85546875" style="3" customWidth="1"/>
    <col min="1992" max="1992" width="11" style="3"/>
    <col min="1993" max="1993" width="15.42578125" style="3" customWidth="1"/>
    <col min="1994" max="1996" width="14.85546875" style="3" customWidth="1"/>
    <col min="1997" max="1997" width="0.7109375" style="3" customWidth="1"/>
    <col min="1998" max="1998" width="11" style="3"/>
    <col min="1999" max="1999" width="15.7109375" style="3" customWidth="1"/>
    <col min="2000" max="2001" width="14.85546875" style="3" customWidth="1"/>
    <col min="2002" max="2002" width="3.28515625" style="3" customWidth="1"/>
    <col min="2003" max="2003" width="20.140625" style="3" customWidth="1"/>
    <col min="2004" max="2004" width="3.28515625" style="3" customWidth="1"/>
    <col min="2005" max="2009" width="11" style="3"/>
    <col min="2010" max="2022" width="4.7109375" style="3" customWidth="1"/>
    <col min="2023" max="2232" width="11" style="3"/>
    <col min="2233" max="2233" width="0.7109375" style="3" customWidth="1"/>
    <col min="2234" max="2234" width="6.5703125" style="3" customWidth="1"/>
    <col min="2235" max="2235" width="13.5703125" style="3" customWidth="1"/>
    <col min="2236" max="2236" width="13.42578125" style="3" customWidth="1"/>
    <col min="2237" max="2238" width="12.5703125" style="3" customWidth="1"/>
    <col min="2239" max="2239" width="14.85546875" style="3" customWidth="1"/>
    <col min="2240" max="2240" width="20.7109375" style="3" customWidth="1"/>
    <col min="2241" max="2241" width="12.5703125" style="3" customWidth="1"/>
    <col min="2242" max="2242" width="13" style="3" customWidth="1"/>
    <col min="2243" max="2243" width="16" style="3" customWidth="1"/>
    <col min="2244" max="2244" width="6.42578125" style="3" customWidth="1"/>
    <col min="2245" max="2245" width="16" style="3" customWidth="1"/>
    <col min="2246" max="2246" width="2.85546875" style="3" customWidth="1"/>
    <col min="2247" max="2247" width="0.85546875" style="3" customWidth="1"/>
    <col min="2248" max="2248" width="11" style="3"/>
    <col min="2249" max="2249" width="15.42578125" style="3" customWidth="1"/>
    <col min="2250" max="2252" width="14.85546875" style="3" customWidth="1"/>
    <col min="2253" max="2253" width="0.7109375" style="3" customWidth="1"/>
    <col min="2254" max="2254" width="11" style="3"/>
    <col min="2255" max="2255" width="15.7109375" style="3" customWidth="1"/>
    <col min="2256" max="2257" width="14.85546875" style="3" customWidth="1"/>
    <col min="2258" max="2258" width="3.28515625" style="3" customWidth="1"/>
    <col min="2259" max="2259" width="20.140625" style="3" customWidth="1"/>
    <col min="2260" max="2260" width="3.28515625" style="3" customWidth="1"/>
    <col min="2261" max="2265" width="11" style="3"/>
    <col min="2266" max="2278" width="4.7109375" style="3" customWidth="1"/>
    <col min="2279" max="2488" width="11" style="3"/>
    <col min="2489" max="2489" width="0.7109375" style="3" customWidth="1"/>
    <col min="2490" max="2490" width="6.5703125" style="3" customWidth="1"/>
    <col min="2491" max="2491" width="13.5703125" style="3" customWidth="1"/>
    <col min="2492" max="2492" width="13.42578125" style="3" customWidth="1"/>
    <col min="2493" max="2494" width="12.5703125" style="3" customWidth="1"/>
    <col min="2495" max="2495" width="14.85546875" style="3" customWidth="1"/>
    <col min="2496" max="2496" width="20.7109375" style="3" customWidth="1"/>
    <col min="2497" max="2497" width="12.5703125" style="3" customWidth="1"/>
    <col min="2498" max="2498" width="13" style="3" customWidth="1"/>
    <col min="2499" max="2499" width="16" style="3" customWidth="1"/>
    <col min="2500" max="2500" width="6.42578125" style="3" customWidth="1"/>
    <col min="2501" max="2501" width="16" style="3" customWidth="1"/>
    <col min="2502" max="2502" width="2.85546875" style="3" customWidth="1"/>
    <col min="2503" max="2503" width="0.85546875" style="3" customWidth="1"/>
    <col min="2504" max="2504" width="11" style="3"/>
    <col min="2505" max="2505" width="15.42578125" style="3" customWidth="1"/>
    <col min="2506" max="2508" width="14.85546875" style="3" customWidth="1"/>
    <col min="2509" max="2509" width="0.7109375" style="3" customWidth="1"/>
    <col min="2510" max="2510" width="11" style="3"/>
    <col min="2511" max="2511" width="15.7109375" style="3" customWidth="1"/>
    <col min="2512" max="2513" width="14.85546875" style="3" customWidth="1"/>
    <col min="2514" max="2514" width="3.28515625" style="3" customWidth="1"/>
    <col min="2515" max="2515" width="20.140625" style="3" customWidth="1"/>
    <col min="2516" max="2516" width="3.28515625" style="3" customWidth="1"/>
    <col min="2517" max="2521" width="11" style="3"/>
    <col min="2522" max="2534" width="4.7109375" style="3" customWidth="1"/>
    <col min="2535" max="2744" width="11" style="3"/>
    <col min="2745" max="2745" width="0.7109375" style="3" customWidth="1"/>
    <col min="2746" max="2746" width="6.5703125" style="3" customWidth="1"/>
    <col min="2747" max="2747" width="13.5703125" style="3" customWidth="1"/>
    <col min="2748" max="2748" width="13.42578125" style="3" customWidth="1"/>
    <col min="2749" max="2750" width="12.5703125" style="3" customWidth="1"/>
    <col min="2751" max="2751" width="14.85546875" style="3" customWidth="1"/>
    <col min="2752" max="2752" width="20.7109375" style="3" customWidth="1"/>
    <col min="2753" max="2753" width="12.5703125" style="3" customWidth="1"/>
    <col min="2754" max="2754" width="13" style="3" customWidth="1"/>
    <col min="2755" max="2755" width="16" style="3" customWidth="1"/>
    <col min="2756" max="2756" width="6.42578125" style="3" customWidth="1"/>
    <col min="2757" max="2757" width="16" style="3" customWidth="1"/>
    <col min="2758" max="2758" width="2.85546875" style="3" customWidth="1"/>
    <col min="2759" max="2759" width="0.85546875" style="3" customWidth="1"/>
    <col min="2760" max="2760" width="11" style="3"/>
    <col min="2761" max="2761" width="15.42578125" style="3" customWidth="1"/>
    <col min="2762" max="2764" width="14.85546875" style="3" customWidth="1"/>
    <col min="2765" max="2765" width="0.7109375" style="3" customWidth="1"/>
    <col min="2766" max="2766" width="11" style="3"/>
    <col min="2767" max="2767" width="15.7109375" style="3" customWidth="1"/>
    <col min="2768" max="2769" width="14.85546875" style="3" customWidth="1"/>
    <col min="2770" max="2770" width="3.28515625" style="3" customWidth="1"/>
    <col min="2771" max="2771" width="20.140625" style="3" customWidth="1"/>
    <col min="2772" max="2772" width="3.28515625" style="3" customWidth="1"/>
    <col min="2773" max="2777" width="11" style="3"/>
    <col min="2778" max="2790" width="4.7109375" style="3" customWidth="1"/>
    <col min="2791" max="3000" width="11" style="3"/>
    <col min="3001" max="3001" width="0.7109375" style="3" customWidth="1"/>
    <col min="3002" max="3002" width="6.5703125" style="3" customWidth="1"/>
    <col min="3003" max="3003" width="13.5703125" style="3" customWidth="1"/>
    <col min="3004" max="3004" width="13.42578125" style="3" customWidth="1"/>
    <col min="3005" max="3006" width="12.5703125" style="3" customWidth="1"/>
    <col min="3007" max="3007" width="14.85546875" style="3" customWidth="1"/>
    <col min="3008" max="3008" width="20.7109375" style="3" customWidth="1"/>
    <col min="3009" max="3009" width="12.5703125" style="3" customWidth="1"/>
    <col min="3010" max="3010" width="13" style="3" customWidth="1"/>
    <col min="3011" max="3011" width="16" style="3" customWidth="1"/>
    <col min="3012" max="3012" width="6.42578125" style="3" customWidth="1"/>
    <col min="3013" max="3013" width="16" style="3" customWidth="1"/>
    <col min="3014" max="3014" width="2.85546875" style="3" customWidth="1"/>
    <col min="3015" max="3015" width="0.85546875" style="3" customWidth="1"/>
    <col min="3016" max="3016" width="11" style="3"/>
    <col min="3017" max="3017" width="15.42578125" style="3" customWidth="1"/>
    <col min="3018" max="3020" width="14.85546875" style="3" customWidth="1"/>
    <col min="3021" max="3021" width="0.7109375" style="3" customWidth="1"/>
    <col min="3022" max="3022" width="11" style="3"/>
    <col min="3023" max="3023" width="15.7109375" style="3" customWidth="1"/>
    <col min="3024" max="3025" width="14.85546875" style="3" customWidth="1"/>
    <col min="3026" max="3026" width="3.28515625" style="3" customWidth="1"/>
    <col min="3027" max="3027" width="20.140625" style="3" customWidth="1"/>
    <col min="3028" max="3028" width="3.28515625" style="3" customWidth="1"/>
    <col min="3029" max="3033" width="11" style="3"/>
    <col min="3034" max="3046" width="4.7109375" style="3" customWidth="1"/>
    <col min="3047" max="3256" width="11" style="3"/>
    <col min="3257" max="3257" width="0.7109375" style="3" customWidth="1"/>
    <col min="3258" max="3258" width="6.5703125" style="3" customWidth="1"/>
    <col min="3259" max="3259" width="13.5703125" style="3" customWidth="1"/>
    <col min="3260" max="3260" width="13.42578125" style="3" customWidth="1"/>
    <col min="3261" max="3262" width="12.5703125" style="3" customWidth="1"/>
    <col min="3263" max="3263" width="14.85546875" style="3" customWidth="1"/>
    <col min="3264" max="3264" width="20.7109375" style="3" customWidth="1"/>
    <col min="3265" max="3265" width="12.5703125" style="3" customWidth="1"/>
    <col min="3266" max="3266" width="13" style="3" customWidth="1"/>
    <col min="3267" max="3267" width="16" style="3" customWidth="1"/>
    <col min="3268" max="3268" width="6.42578125" style="3" customWidth="1"/>
    <col min="3269" max="3269" width="16" style="3" customWidth="1"/>
    <col min="3270" max="3270" width="2.85546875" style="3" customWidth="1"/>
    <col min="3271" max="3271" width="0.85546875" style="3" customWidth="1"/>
    <col min="3272" max="3272" width="11" style="3"/>
    <col min="3273" max="3273" width="15.42578125" style="3" customWidth="1"/>
    <col min="3274" max="3276" width="14.85546875" style="3" customWidth="1"/>
    <col min="3277" max="3277" width="0.7109375" style="3" customWidth="1"/>
    <col min="3278" max="3278" width="11" style="3"/>
    <col min="3279" max="3279" width="15.7109375" style="3" customWidth="1"/>
    <col min="3280" max="3281" width="14.85546875" style="3" customWidth="1"/>
    <col min="3282" max="3282" width="3.28515625" style="3" customWidth="1"/>
    <col min="3283" max="3283" width="20.140625" style="3" customWidth="1"/>
    <col min="3284" max="3284" width="3.28515625" style="3" customWidth="1"/>
    <col min="3285" max="3289" width="11" style="3"/>
    <col min="3290" max="3302" width="4.7109375" style="3" customWidth="1"/>
    <col min="3303" max="3512" width="11" style="3"/>
    <col min="3513" max="3513" width="0.7109375" style="3" customWidth="1"/>
    <col min="3514" max="3514" width="6.5703125" style="3" customWidth="1"/>
    <col min="3515" max="3515" width="13.5703125" style="3" customWidth="1"/>
    <col min="3516" max="3516" width="13.42578125" style="3" customWidth="1"/>
    <col min="3517" max="3518" width="12.5703125" style="3" customWidth="1"/>
    <col min="3519" max="3519" width="14.85546875" style="3" customWidth="1"/>
    <col min="3520" max="3520" width="20.7109375" style="3" customWidth="1"/>
    <col min="3521" max="3521" width="12.5703125" style="3" customWidth="1"/>
    <col min="3522" max="3522" width="13" style="3" customWidth="1"/>
    <col min="3523" max="3523" width="16" style="3" customWidth="1"/>
    <col min="3524" max="3524" width="6.42578125" style="3" customWidth="1"/>
    <col min="3525" max="3525" width="16" style="3" customWidth="1"/>
    <col min="3526" max="3526" width="2.85546875" style="3" customWidth="1"/>
    <col min="3527" max="3527" width="0.85546875" style="3" customWidth="1"/>
    <col min="3528" max="3528" width="11" style="3"/>
    <col min="3529" max="3529" width="15.42578125" style="3" customWidth="1"/>
    <col min="3530" max="3532" width="14.85546875" style="3" customWidth="1"/>
    <col min="3533" max="3533" width="0.7109375" style="3" customWidth="1"/>
    <col min="3534" max="3534" width="11" style="3"/>
    <col min="3535" max="3535" width="15.7109375" style="3" customWidth="1"/>
    <col min="3536" max="3537" width="14.85546875" style="3" customWidth="1"/>
    <col min="3538" max="3538" width="3.28515625" style="3" customWidth="1"/>
    <col min="3539" max="3539" width="20.140625" style="3" customWidth="1"/>
    <col min="3540" max="3540" width="3.28515625" style="3" customWidth="1"/>
    <col min="3541" max="3545" width="11" style="3"/>
    <col min="3546" max="3558" width="4.7109375" style="3" customWidth="1"/>
    <col min="3559" max="3768" width="11" style="3"/>
    <col min="3769" max="3769" width="0.7109375" style="3" customWidth="1"/>
    <col min="3770" max="3770" width="6.5703125" style="3" customWidth="1"/>
    <col min="3771" max="3771" width="13.5703125" style="3" customWidth="1"/>
    <col min="3772" max="3772" width="13.42578125" style="3" customWidth="1"/>
    <col min="3773" max="3774" width="12.5703125" style="3" customWidth="1"/>
    <col min="3775" max="3775" width="14.85546875" style="3" customWidth="1"/>
    <col min="3776" max="3776" width="20.7109375" style="3" customWidth="1"/>
    <col min="3777" max="3777" width="12.5703125" style="3" customWidth="1"/>
    <col min="3778" max="3778" width="13" style="3" customWidth="1"/>
    <col min="3779" max="3779" width="16" style="3" customWidth="1"/>
    <col min="3780" max="3780" width="6.42578125" style="3" customWidth="1"/>
    <col min="3781" max="3781" width="16" style="3" customWidth="1"/>
    <col min="3782" max="3782" width="2.85546875" style="3" customWidth="1"/>
    <col min="3783" max="3783" width="0.85546875" style="3" customWidth="1"/>
    <col min="3784" max="3784" width="11" style="3"/>
    <col min="3785" max="3785" width="15.42578125" style="3" customWidth="1"/>
    <col min="3786" max="3788" width="14.85546875" style="3" customWidth="1"/>
    <col min="3789" max="3789" width="0.7109375" style="3" customWidth="1"/>
    <col min="3790" max="3790" width="11" style="3"/>
    <col min="3791" max="3791" width="15.7109375" style="3" customWidth="1"/>
    <col min="3792" max="3793" width="14.85546875" style="3" customWidth="1"/>
    <col min="3794" max="3794" width="3.28515625" style="3" customWidth="1"/>
    <col min="3795" max="3795" width="20.140625" style="3" customWidth="1"/>
    <col min="3796" max="3796" width="3.28515625" style="3" customWidth="1"/>
    <col min="3797" max="3801" width="11" style="3"/>
    <col min="3802" max="3814" width="4.7109375" style="3" customWidth="1"/>
    <col min="3815" max="4024" width="11" style="3"/>
    <col min="4025" max="4025" width="0.7109375" style="3" customWidth="1"/>
    <col min="4026" max="4026" width="6.5703125" style="3" customWidth="1"/>
    <col min="4027" max="4027" width="13.5703125" style="3" customWidth="1"/>
    <col min="4028" max="4028" width="13.42578125" style="3" customWidth="1"/>
    <col min="4029" max="4030" width="12.5703125" style="3" customWidth="1"/>
    <col min="4031" max="4031" width="14.85546875" style="3" customWidth="1"/>
    <col min="4032" max="4032" width="20.7109375" style="3" customWidth="1"/>
    <col min="4033" max="4033" width="12.5703125" style="3" customWidth="1"/>
    <col min="4034" max="4034" width="13" style="3" customWidth="1"/>
    <col min="4035" max="4035" width="16" style="3" customWidth="1"/>
    <col min="4036" max="4036" width="6.42578125" style="3" customWidth="1"/>
    <col min="4037" max="4037" width="16" style="3" customWidth="1"/>
    <col min="4038" max="4038" width="2.85546875" style="3" customWidth="1"/>
    <col min="4039" max="4039" width="0.85546875" style="3" customWidth="1"/>
    <col min="4040" max="4040" width="11" style="3"/>
    <col min="4041" max="4041" width="15.42578125" style="3" customWidth="1"/>
    <col min="4042" max="4044" width="14.85546875" style="3" customWidth="1"/>
    <col min="4045" max="4045" width="0.7109375" style="3" customWidth="1"/>
    <col min="4046" max="4046" width="11" style="3"/>
    <col min="4047" max="4047" width="15.7109375" style="3" customWidth="1"/>
    <col min="4048" max="4049" width="14.85546875" style="3" customWidth="1"/>
    <col min="4050" max="4050" width="3.28515625" style="3" customWidth="1"/>
    <col min="4051" max="4051" width="20.140625" style="3" customWidth="1"/>
    <col min="4052" max="4052" width="3.28515625" style="3" customWidth="1"/>
    <col min="4053" max="4057" width="11" style="3"/>
    <col min="4058" max="4070" width="4.7109375" style="3" customWidth="1"/>
    <col min="4071" max="4280" width="11" style="3"/>
    <col min="4281" max="4281" width="0.7109375" style="3" customWidth="1"/>
    <col min="4282" max="4282" width="6.5703125" style="3" customWidth="1"/>
    <col min="4283" max="4283" width="13.5703125" style="3" customWidth="1"/>
    <col min="4284" max="4284" width="13.42578125" style="3" customWidth="1"/>
    <col min="4285" max="4286" width="12.5703125" style="3" customWidth="1"/>
    <col min="4287" max="4287" width="14.85546875" style="3" customWidth="1"/>
    <col min="4288" max="4288" width="20.7109375" style="3" customWidth="1"/>
    <col min="4289" max="4289" width="12.5703125" style="3" customWidth="1"/>
    <col min="4290" max="4290" width="13" style="3" customWidth="1"/>
    <col min="4291" max="4291" width="16" style="3" customWidth="1"/>
    <col min="4292" max="4292" width="6.42578125" style="3" customWidth="1"/>
    <col min="4293" max="4293" width="16" style="3" customWidth="1"/>
    <col min="4294" max="4294" width="2.85546875" style="3" customWidth="1"/>
    <col min="4295" max="4295" width="0.85546875" style="3" customWidth="1"/>
    <col min="4296" max="4296" width="11" style="3"/>
    <col min="4297" max="4297" width="15.42578125" style="3" customWidth="1"/>
    <col min="4298" max="4300" width="14.85546875" style="3" customWidth="1"/>
    <col min="4301" max="4301" width="0.7109375" style="3" customWidth="1"/>
    <col min="4302" max="4302" width="11" style="3"/>
    <col min="4303" max="4303" width="15.7109375" style="3" customWidth="1"/>
    <col min="4304" max="4305" width="14.85546875" style="3" customWidth="1"/>
    <col min="4306" max="4306" width="3.28515625" style="3" customWidth="1"/>
    <col min="4307" max="4307" width="20.140625" style="3" customWidth="1"/>
    <col min="4308" max="4308" width="3.28515625" style="3" customWidth="1"/>
    <col min="4309" max="4313" width="11" style="3"/>
    <col min="4314" max="4326" width="4.7109375" style="3" customWidth="1"/>
    <col min="4327" max="4536" width="11" style="3"/>
    <col min="4537" max="4537" width="0.7109375" style="3" customWidth="1"/>
    <col min="4538" max="4538" width="6.5703125" style="3" customWidth="1"/>
    <col min="4539" max="4539" width="13.5703125" style="3" customWidth="1"/>
    <col min="4540" max="4540" width="13.42578125" style="3" customWidth="1"/>
    <col min="4541" max="4542" width="12.5703125" style="3" customWidth="1"/>
    <col min="4543" max="4543" width="14.85546875" style="3" customWidth="1"/>
    <col min="4544" max="4544" width="20.7109375" style="3" customWidth="1"/>
    <col min="4545" max="4545" width="12.5703125" style="3" customWidth="1"/>
    <col min="4546" max="4546" width="13" style="3" customWidth="1"/>
    <col min="4547" max="4547" width="16" style="3" customWidth="1"/>
    <col min="4548" max="4548" width="6.42578125" style="3" customWidth="1"/>
    <col min="4549" max="4549" width="16" style="3" customWidth="1"/>
    <col min="4550" max="4550" width="2.85546875" style="3" customWidth="1"/>
    <col min="4551" max="4551" width="0.85546875" style="3" customWidth="1"/>
    <col min="4552" max="4552" width="11" style="3"/>
    <col min="4553" max="4553" width="15.42578125" style="3" customWidth="1"/>
    <col min="4554" max="4556" width="14.85546875" style="3" customWidth="1"/>
    <col min="4557" max="4557" width="0.7109375" style="3" customWidth="1"/>
    <col min="4558" max="4558" width="11" style="3"/>
    <col min="4559" max="4559" width="15.7109375" style="3" customWidth="1"/>
    <col min="4560" max="4561" width="14.85546875" style="3" customWidth="1"/>
    <col min="4562" max="4562" width="3.28515625" style="3" customWidth="1"/>
    <col min="4563" max="4563" width="20.140625" style="3" customWidth="1"/>
    <col min="4564" max="4564" width="3.28515625" style="3" customWidth="1"/>
    <col min="4565" max="4569" width="11" style="3"/>
    <col min="4570" max="4582" width="4.7109375" style="3" customWidth="1"/>
    <col min="4583" max="4792" width="11" style="3"/>
    <col min="4793" max="4793" width="0.7109375" style="3" customWidth="1"/>
    <col min="4794" max="4794" width="6.5703125" style="3" customWidth="1"/>
    <col min="4795" max="4795" width="13.5703125" style="3" customWidth="1"/>
    <col min="4796" max="4796" width="13.42578125" style="3" customWidth="1"/>
    <col min="4797" max="4798" width="12.5703125" style="3" customWidth="1"/>
    <col min="4799" max="4799" width="14.85546875" style="3" customWidth="1"/>
    <col min="4800" max="4800" width="20.7109375" style="3" customWidth="1"/>
    <col min="4801" max="4801" width="12.5703125" style="3" customWidth="1"/>
    <col min="4802" max="4802" width="13" style="3" customWidth="1"/>
    <col min="4803" max="4803" width="16" style="3" customWidth="1"/>
    <col min="4804" max="4804" width="6.42578125" style="3" customWidth="1"/>
    <col min="4805" max="4805" width="16" style="3" customWidth="1"/>
    <col min="4806" max="4806" width="2.85546875" style="3" customWidth="1"/>
    <col min="4807" max="4807" width="0.85546875" style="3" customWidth="1"/>
    <col min="4808" max="4808" width="11" style="3"/>
    <col min="4809" max="4809" width="15.42578125" style="3" customWidth="1"/>
    <col min="4810" max="4812" width="14.85546875" style="3" customWidth="1"/>
    <col min="4813" max="4813" width="0.7109375" style="3" customWidth="1"/>
    <col min="4814" max="4814" width="11" style="3"/>
    <col min="4815" max="4815" width="15.7109375" style="3" customWidth="1"/>
    <col min="4816" max="4817" width="14.85546875" style="3" customWidth="1"/>
    <col min="4818" max="4818" width="3.28515625" style="3" customWidth="1"/>
    <col min="4819" max="4819" width="20.140625" style="3" customWidth="1"/>
    <col min="4820" max="4820" width="3.28515625" style="3" customWidth="1"/>
    <col min="4821" max="4825" width="11" style="3"/>
    <col min="4826" max="4838" width="4.7109375" style="3" customWidth="1"/>
    <col min="4839" max="5048" width="11" style="3"/>
    <col min="5049" max="5049" width="0.7109375" style="3" customWidth="1"/>
    <col min="5050" max="5050" width="6.5703125" style="3" customWidth="1"/>
    <col min="5051" max="5051" width="13.5703125" style="3" customWidth="1"/>
    <col min="5052" max="5052" width="13.42578125" style="3" customWidth="1"/>
    <col min="5053" max="5054" width="12.5703125" style="3" customWidth="1"/>
    <col min="5055" max="5055" width="14.85546875" style="3" customWidth="1"/>
    <col min="5056" max="5056" width="20.7109375" style="3" customWidth="1"/>
    <col min="5057" max="5057" width="12.5703125" style="3" customWidth="1"/>
    <col min="5058" max="5058" width="13" style="3" customWidth="1"/>
    <col min="5059" max="5059" width="16" style="3" customWidth="1"/>
    <col min="5060" max="5060" width="6.42578125" style="3" customWidth="1"/>
    <col min="5061" max="5061" width="16" style="3" customWidth="1"/>
    <col min="5062" max="5062" width="2.85546875" style="3" customWidth="1"/>
    <col min="5063" max="5063" width="0.85546875" style="3" customWidth="1"/>
    <col min="5064" max="5064" width="11" style="3"/>
    <col min="5065" max="5065" width="15.42578125" style="3" customWidth="1"/>
    <col min="5066" max="5068" width="14.85546875" style="3" customWidth="1"/>
    <col min="5069" max="5069" width="0.7109375" style="3" customWidth="1"/>
    <col min="5070" max="5070" width="11" style="3"/>
    <col min="5071" max="5071" width="15.7109375" style="3" customWidth="1"/>
    <col min="5072" max="5073" width="14.85546875" style="3" customWidth="1"/>
    <col min="5074" max="5074" width="3.28515625" style="3" customWidth="1"/>
    <col min="5075" max="5075" width="20.140625" style="3" customWidth="1"/>
    <col min="5076" max="5076" width="3.28515625" style="3" customWidth="1"/>
    <col min="5077" max="5081" width="11" style="3"/>
    <col min="5082" max="5094" width="4.7109375" style="3" customWidth="1"/>
    <col min="5095" max="5304" width="11" style="3"/>
    <col min="5305" max="5305" width="0.7109375" style="3" customWidth="1"/>
    <col min="5306" max="5306" width="6.5703125" style="3" customWidth="1"/>
    <col min="5307" max="5307" width="13.5703125" style="3" customWidth="1"/>
    <col min="5308" max="5308" width="13.42578125" style="3" customWidth="1"/>
    <col min="5309" max="5310" width="12.5703125" style="3" customWidth="1"/>
    <col min="5311" max="5311" width="14.85546875" style="3" customWidth="1"/>
    <col min="5312" max="5312" width="20.7109375" style="3" customWidth="1"/>
    <col min="5313" max="5313" width="12.5703125" style="3" customWidth="1"/>
    <col min="5314" max="5314" width="13" style="3" customWidth="1"/>
    <col min="5315" max="5315" width="16" style="3" customWidth="1"/>
    <col min="5316" max="5316" width="6.42578125" style="3" customWidth="1"/>
    <col min="5317" max="5317" width="16" style="3" customWidth="1"/>
    <col min="5318" max="5318" width="2.85546875" style="3" customWidth="1"/>
    <col min="5319" max="5319" width="0.85546875" style="3" customWidth="1"/>
    <col min="5320" max="5320" width="11" style="3"/>
    <col min="5321" max="5321" width="15.42578125" style="3" customWidth="1"/>
    <col min="5322" max="5324" width="14.85546875" style="3" customWidth="1"/>
    <col min="5325" max="5325" width="0.7109375" style="3" customWidth="1"/>
    <col min="5326" max="5326" width="11" style="3"/>
    <col min="5327" max="5327" width="15.7109375" style="3" customWidth="1"/>
    <col min="5328" max="5329" width="14.85546875" style="3" customWidth="1"/>
    <col min="5330" max="5330" width="3.28515625" style="3" customWidth="1"/>
    <col min="5331" max="5331" width="20.140625" style="3" customWidth="1"/>
    <col min="5332" max="5332" width="3.28515625" style="3" customWidth="1"/>
    <col min="5333" max="5337" width="11" style="3"/>
    <col min="5338" max="5350" width="4.7109375" style="3" customWidth="1"/>
    <col min="5351" max="5560" width="11" style="3"/>
    <col min="5561" max="5561" width="0.7109375" style="3" customWidth="1"/>
    <col min="5562" max="5562" width="6.5703125" style="3" customWidth="1"/>
    <col min="5563" max="5563" width="13.5703125" style="3" customWidth="1"/>
    <col min="5564" max="5564" width="13.42578125" style="3" customWidth="1"/>
    <col min="5565" max="5566" width="12.5703125" style="3" customWidth="1"/>
    <col min="5567" max="5567" width="14.85546875" style="3" customWidth="1"/>
    <col min="5568" max="5568" width="20.7109375" style="3" customWidth="1"/>
    <col min="5569" max="5569" width="12.5703125" style="3" customWidth="1"/>
    <col min="5570" max="5570" width="13" style="3" customWidth="1"/>
    <col min="5571" max="5571" width="16" style="3" customWidth="1"/>
    <col min="5572" max="5572" width="6.42578125" style="3" customWidth="1"/>
    <col min="5573" max="5573" width="16" style="3" customWidth="1"/>
    <col min="5574" max="5574" width="2.85546875" style="3" customWidth="1"/>
    <col min="5575" max="5575" width="0.85546875" style="3" customWidth="1"/>
    <col min="5576" max="5576" width="11" style="3"/>
    <col min="5577" max="5577" width="15.42578125" style="3" customWidth="1"/>
    <col min="5578" max="5580" width="14.85546875" style="3" customWidth="1"/>
    <col min="5581" max="5581" width="0.7109375" style="3" customWidth="1"/>
    <col min="5582" max="5582" width="11" style="3"/>
    <col min="5583" max="5583" width="15.7109375" style="3" customWidth="1"/>
    <col min="5584" max="5585" width="14.85546875" style="3" customWidth="1"/>
    <col min="5586" max="5586" width="3.28515625" style="3" customWidth="1"/>
    <col min="5587" max="5587" width="20.140625" style="3" customWidth="1"/>
    <col min="5588" max="5588" width="3.28515625" style="3" customWidth="1"/>
    <col min="5589" max="5593" width="11" style="3"/>
    <col min="5594" max="5606" width="4.7109375" style="3" customWidth="1"/>
    <col min="5607" max="5816" width="11" style="3"/>
    <col min="5817" max="5817" width="0.7109375" style="3" customWidth="1"/>
    <col min="5818" max="5818" width="6.5703125" style="3" customWidth="1"/>
    <col min="5819" max="5819" width="13.5703125" style="3" customWidth="1"/>
    <col min="5820" max="5820" width="13.42578125" style="3" customWidth="1"/>
    <col min="5821" max="5822" width="12.5703125" style="3" customWidth="1"/>
    <col min="5823" max="5823" width="14.85546875" style="3" customWidth="1"/>
    <col min="5824" max="5824" width="20.7109375" style="3" customWidth="1"/>
    <col min="5825" max="5825" width="12.5703125" style="3" customWidth="1"/>
    <col min="5826" max="5826" width="13" style="3" customWidth="1"/>
    <col min="5827" max="5827" width="16" style="3" customWidth="1"/>
    <col min="5828" max="5828" width="6.42578125" style="3" customWidth="1"/>
    <col min="5829" max="5829" width="16" style="3" customWidth="1"/>
    <col min="5830" max="5830" width="2.85546875" style="3" customWidth="1"/>
    <col min="5831" max="5831" width="0.85546875" style="3" customWidth="1"/>
    <col min="5832" max="5832" width="11" style="3"/>
    <col min="5833" max="5833" width="15.42578125" style="3" customWidth="1"/>
    <col min="5834" max="5836" width="14.85546875" style="3" customWidth="1"/>
    <col min="5837" max="5837" width="0.7109375" style="3" customWidth="1"/>
    <col min="5838" max="5838" width="11" style="3"/>
    <col min="5839" max="5839" width="15.7109375" style="3" customWidth="1"/>
    <col min="5840" max="5841" width="14.85546875" style="3" customWidth="1"/>
    <col min="5842" max="5842" width="3.28515625" style="3" customWidth="1"/>
    <col min="5843" max="5843" width="20.140625" style="3" customWidth="1"/>
    <col min="5844" max="5844" width="3.28515625" style="3" customWidth="1"/>
    <col min="5845" max="5849" width="11" style="3"/>
    <col min="5850" max="5862" width="4.7109375" style="3" customWidth="1"/>
    <col min="5863" max="6072" width="11" style="3"/>
    <col min="6073" max="6073" width="0.7109375" style="3" customWidth="1"/>
    <col min="6074" max="6074" width="6.5703125" style="3" customWidth="1"/>
    <col min="6075" max="6075" width="13.5703125" style="3" customWidth="1"/>
    <col min="6076" max="6076" width="13.42578125" style="3" customWidth="1"/>
    <col min="6077" max="6078" width="12.5703125" style="3" customWidth="1"/>
    <col min="6079" max="6079" width="14.85546875" style="3" customWidth="1"/>
    <col min="6080" max="6080" width="20.7109375" style="3" customWidth="1"/>
    <col min="6081" max="6081" width="12.5703125" style="3" customWidth="1"/>
    <col min="6082" max="6082" width="13" style="3" customWidth="1"/>
    <col min="6083" max="6083" width="16" style="3" customWidth="1"/>
    <col min="6084" max="6084" width="6.42578125" style="3" customWidth="1"/>
    <col min="6085" max="6085" width="16" style="3" customWidth="1"/>
    <col min="6086" max="6086" width="2.85546875" style="3" customWidth="1"/>
    <col min="6087" max="6087" width="0.85546875" style="3" customWidth="1"/>
    <col min="6088" max="6088" width="11" style="3"/>
    <col min="6089" max="6089" width="15.42578125" style="3" customWidth="1"/>
    <col min="6090" max="6092" width="14.85546875" style="3" customWidth="1"/>
    <col min="6093" max="6093" width="0.7109375" style="3" customWidth="1"/>
    <col min="6094" max="6094" width="11" style="3"/>
    <col min="6095" max="6095" width="15.7109375" style="3" customWidth="1"/>
    <col min="6096" max="6097" width="14.85546875" style="3" customWidth="1"/>
    <col min="6098" max="6098" width="3.28515625" style="3" customWidth="1"/>
    <col min="6099" max="6099" width="20.140625" style="3" customWidth="1"/>
    <col min="6100" max="6100" width="3.28515625" style="3" customWidth="1"/>
    <col min="6101" max="6105" width="11" style="3"/>
    <col min="6106" max="6118" width="4.7109375" style="3" customWidth="1"/>
    <col min="6119" max="6328" width="11" style="3"/>
    <col min="6329" max="6329" width="0.7109375" style="3" customWidth="1"/>
    <col min="6330" max="6330" width="6.5703125" style="3" customWidth="1"/>
    <col min="6331" max="6331" width="13.5703125" style="3" customWidth="1"/>
    <col min="6332" max="6332" width="13.42578125" style="3" customWidth="1"/>
    <col min="6333" max="6334" width="12.5703125" style="3" customWidth="1"/>
    <col min="6335" max="6335" width="14.85546875" style="3" customWidth="1"/>
    <col min="6336" max="6336" width="20.7109375" style="3" customWidth="1"/>
    <col min="6337" max="6337" width="12.5703125" style="3" customWidth="1"/>
    <col min="6338" max="6338" width="13" style="3" customWidth="1"/>
    <col min="6339" max="6339" width="16" style="3" customWidth="1"/>
    <col min="6340" max="6340" width="6.42578125" style="3" customWidth="1"/>
    <col min="6341" max="6341" width="16" style="3" customWidth="1"/>
    <col min="6342" max="6342" width="2.85546875" style="3" customWidth="1"/>
    <col min="6343" max="6343" width="0.85546875" style="3" customWidth="1"/>
    <col min="6344" max="6344" width="11" style="3"/>
    <col min="6345" max="6345" width="15.42578125" style="3" customWidth="1"/>
    <col min="6346" max="6348" width="14.85546875" style="3" customWidth="1"/>
    <col min="6349" max="6349" width="0.7109375" style="3" customWidth="1"/>
    <col min="6350" max="6350" width="11" style="3"/>
    <col min="6351" max="6351" width="15.7109375" style="3" customWidth="1"/>
    <col min="6352" max="6353" width="14.85546875" style="3" customWidth="1"/>
    <col min="6354" max="6354" width="3.28515625" style="3" customWidth="1"/>
    <col min="6355" max="6355" width="20.140625" style="3" customWidth="1"/>
    <col min="6356" max="6356" width="3.28515625" style="3" customWidth="1"/>
    <col min="6357" max="6361" width="11" style="3"/>
    <col min="6362" max="6374" width="4.7109375" style="3" customWidth="1"/>
    <col min="6375" max="6584" width="11" style="3"/>
    <col min="6585" max="6585" width="0.7109375" style="3" customWidth="1"/>
    <col min="6586" max="6586" width="6.5703125" style="3" customWidth="1"/>
    <col min="6587" max="6587" width="13.5703125" style="3" customWidth="1"/>
    <col min="6588" max="6588" width="13.42578125" style="3" customWidth="1"/>
    <col min="6589" max="6590" width="12.5703125" style="3" customWidth="1"/>
    <col min="6591" max="6591" width="14.85546875" style="3" customWidth="1"/>
    <col min="6592" max="6592" width="20.7109375" style="3" customWidth="1"/>
    <col min="6593" max="6593" width="12.5703125" style="3" customWidth="1"/>
    <col min="6594" max="6594" width="13" style="3" customWidth="1"/>
    <col min="6595" max="6595" width="16" style="3" customWidth="1"/>
    <col min="6596" max="6596" width="6.42578125" style="3" customWidth="1"/>
    <col min="6597" max="6597" width="16" style="3" customWidth="1"/>
    <col min="6598" max="6598" width="2.85546875" style="3" customWidth="1"/>
    <col min="6599" max="6599" width="0.85546875" style="3" customWidth="1"/>
    <col min="6600" max="6600" width="11" style="3"/>
    <col min="6601" max="6601" width="15.42578125" style="3" customWidth="1"/>
    <col min="6602" max="6604" width="14.85546875" style="3" customWidth="1"/>
    <col min="6605" max="6605" width="0.7109375" style="3" customWidth="1"/>
    <col min="6606" max="6606" width="11" style="3"/>
    <col min="6607" max="6607" width="15.7109375" style="3" customWidth="1"/>
    <col min="6608" max="6609" width="14.85546875" style="3" customWidth="1"/>
    <col min="6610" max="6610" width="3.28515625" style="3" customWidth="1"/>
    <col min="6611" max="6611" width="20.140625" style="3" customWidth="1"/>
    <col min="6612" max="6612" width="3.28515625" style="3" customWidth="1"/>
    <col min="6613" max="6617" width="11" style="3"/>
    <col min="6618" max="6630" width="4.7109375" style="3" customWidth="1"/>
    <col min="6631" max="6840" width="11" style="3"/>
    <col min="6841" max="6841" width="0.7109375" style="3" customWidth="1"/>
    <col min="6842" max="6842" width="6.5703125" style="3" customWidth="1"/>
    <col min="6843" max="6843" width="13.5703125" style="3" customWidth="1"/>
    <col min="6844" max="6844" width="13.42578125" style="3" customWidth="1"/>
    <col min="6845" max="6846" width="12.5703125" style="3" customWidth="1"/>
    <col min="6847" max="6847" width="14.85546875" style="3" customWidth="1"/>
    <col min="6848" max="6848" width="20.7109375" style="3" customWidth="1"/>
    <col min="6849" max="6849" width="12.5703125" style="3" customWidth="1"/>
    <col min="6850" max="6850" width="13" style="3" customWidth="1"/>
    <col min="6851" max="6851" width="16" style="3" customWidth="1"/>
    <col min="6852" max="6852" width="6.42578125" style="3" customWidth="1"/>
    <col min="6853" max="6853" width="16" style="3" customWidth="1"/>
    <col min="6854" max="6854" width="2.85546875" style="3" customWidth="1"/>
    <col min="6855" max="6855" width="0.85546875" style="3" customWidth="1"/>
    <col min="6856" max="6856" width="11" style="3"/>
    <col min="6857" max="6857" width="15.42578125" style="3" customWidth="1"/>
    <col min="6858" max="6860" width="14.85546875" style="3" customWidth="1"/>
    <col min="6861" max="6861" width="0.7109375" style="3" customWidth="1"/>
    <col min="6862" max="6862" width="11" style="3"/>
    <col min="6863" max="6863" width="15.7109375" style="3" customWidth="1"/>
    <col min="6864" max="6865" width="14.85546875" style="3" customWidth="1"/>
    <col min="6866" max="6866" width="3.28515625" style="3" customWidth="1"/>
    <col min="6867" max="6867" width="20.140625" style="3" customWidth="1"/>
    <col min="6868" max="6868" width="3.28515625" style="3" customWidth="1"/>
    <col min="6869" max="6873" width="11" style="3"/>
    <col min="6874" max="6886" width="4.7109375" style="3" customWidth="1"/>
    <col min="6887" max="7096" width="11" style="3"/>
    <col min="7097" max="7097" width="0.7109375" style="3" customWidth="1"/>
    <col min="7098" max="7098" width="6.5703125" style="3" customWidth="1"/>
    <col min="7099" max="7099" width="13.5703125" style="3" customWidth="1"/>
    <col min="7100" max="7100" width="13.42578125" style="3" customWidth="1"/>
    <col min="7101" max="7102" width="12.5703125" style="3" customWidth="1"/>
    <col min="7103" max="7103" width="14.85546875" style="3" customWidth="1"/>
    <col min="7104" max="7104" width="20.7109375" style="3" customWidth="1"/>
    <col min="7105" max="7105" width="12.5703125" style="3" customWidth="1"/>
    <col min="7106" max="7106" width="13" style="3" customWidth="1"/>
    <col min="7107" max="7107" width="16" style="3" customWidth="1"/>
    <col min="7108" max="7108" width="6.42578125" style="3" customWidth="1"/>
    <col min="7109" max="7109" width="16" style="3" customWidth="1"/>
    <col min="7110" max="7110" width="2.85546875" style="3" customWidth="1"/>
    <col min="7111" max="7111" width="0.85546875" style="3" customWidth="1"/>
    <col min="7112" max="7112" width="11" style="3"/>
    <col min="7113" max="7113" width="15.42578125" style="3" customWidth="1"/>
    <col min="7114" max="7116" width="14.85546875" style="3" customWidth="1"/>
    <col min="7117" max="7117" width="0.7109375" style="3" customWidth="1"/>
    <col min="7118" max="7118" width="11" style="3"/>
    <col min="7119" max="7119" width="15.7109375" style="3" customWidth="1"/>
    <col min="7120" max="7121" width="14.85546875" style="3" customWidth="1"/>
    <col min="7122" max="7122" width="3.28515625" style="3" customWidth="1"/>
    <col min="7123" max="7123" width="20.140625" style="3" customWidth="1"/>
    <col min="7124" max="7124" width="3.28515625" style="3" customWidth="1"/>
    <col min="7125" max="7129" width="11" style="3"/>
    <col min="7130" max="7142" width="4.7109375" style="3" customWidth="1"/>
    <col min="7143" max="7352" width="11" style="3"/>
    <col min="7353" max="7353" width="0.7109375" style="3" customWidth="1"/>
    <col min="7354" max="7354" width="6.5703125" style="3" customWidth="1"/>
    <col min="7355" max="7355" width="13.5703125" style="3" customWidth="1"/>
    <col min="7356" max="7356" width="13.42578125" style="3" customWidth="1"/>
    <col min="7357" max="7358" width="12.5703125" style="3" customWidth="1"/>
    <col min="7359" max="7359" width="14.85546875" style="3" customWidth="1"/>
    <col min="7360" max="7360" width="20.7109375" style="3" customWidth="1"/>
    <col min="7361" max="7361" width="12.5703125" style="3" customWidth="1"/>
    <col min="7362" max="7362" width="13" style="3" customWidth="1"/>
    <col min="7363" max="7363" width="16" style="3" customWidth="1"/>
    <col min="7364" max="7364" width="6.42578125" style="3" customWidth="1"/>
    <col min="7365" max="7365" width="16" style="3" customWidth="1"/>
    <col min="7366" max="7366" width="2.85546875" style="3" customWidth="1"/>
    <col min="7367" max="7367" width="0.85546875" style="3" customWidth="1"/>
    <col min="7368" max="7368" width="11" style="3"/>
    <col min="7369" max="7369" width="15.42578125" style="3" customWidth="1"/>
    <col min="7370" max="7372" width="14.85546875" style="3" customWidth="1"/>
    <col min="7373" max="7373" width="0.7109375" style="3" customWidth="1"/>
    <col min="7374" max="7374" width="11" style="3"/>
    <col min="7375" max="7375" width="15.7109375" style="3" customWidth="1"/>
    <col min="7376" max="7377" width="14.85546875" style="3" customWidth="1"/>
    <col min="7378" max="7378" width="3.28515625" style="3" customWidth="1"/>
    <col min="7379" max="7379" width="20.140625" style="3" customWidth="1"/>
    <col min="7380" max="7380" width="3.28515625" style="3" customWidth="1"/>
    <col min="7381" max="7385" width="11" style="3"/>
    <col min="7386" max="7398" width="4.7109375" style="3" customWidth="1"/>
    <col min="7399" max="7608" width="11" style="3"/>
    <col min="7609" max="7609" width="0.7109375" style="3" customWidth="1"/>
    <col min="7610" max="7610" width="6.5703125" style="3" customWidth="1"/>
    <col min="7611" max="7611" width="13.5703125" style="3" customWidth="1"/>
    <col min="7612" max="7612" width="13.42578125" style="3" customWidth="1"/>
    <col min="7613" max="7614" width="12.5703125" style="3" customWidth="1"/>
    <col min="7615" max="7615" width="14.85546875" style="3" customWidth="1"/>
    <col min="7616" max="7616" width="20.7109375" style="3" customWidth="1"/>
    <col min="7617" max="7617" width="12.5703125" style="3" customWidth="1"/>
    <col min="7618" max="7618" width="13" style="3" customWidth="1"/>
    <col min="7619" max="7619" width="16" style="3" customWidth="1"/>
    <col min="7620" max="7620" width="6.42578125" style="3" customWidth="1"/>
    <col min="7621" max="7621" width="16" style="3" customWidth="1"/>
    <col min="7622" max="7622" width="2.85546875" style="3" customWidth="1"/>
    <col min="7623" max="7623" width="0.85546875" style="3" customWidth="1"/>
    <col min="7624" max="7624" width="11" style="3"/>
    <col min="7625" max="7625" width="15.42578125" style="3" customWidth="1"/>
    <col min="7626" max="7628" width="14.85546875" style="3" customWidth="1"/>
    <col min="7629" max="7629" width="0.7109375" style="3" customWidth="1"/>
    <col min="7630" max="7630" width="11" style="3"/>
    <col min="7631" max="7631" width="15.7109375" style="3" customWidth="1"/>
    <col min="7632" max="7633" width="14.85546875" style="3" customWidth="1"/>
    <col min="7634" max="7634" width="3.28515625" style="3" customWidth="1"/>
    <col min="7635" max="7635" width="20.140625" style="3" customWidth="1"/>
    <col min="7636" max="7636" width="3.28515625" style="3" customWidth="1"/>
    <col min="7637" max="7641" width="11" style="3"/>
    <col min="7642" max="7654" width="4.7109375" style="3" customWidth="1"/>
    <col min="7655" max="7864" width="11" style="3"/>
    <col min="7865" max="7865" width="0.7109375" style="3" customWidth="1"/>
    <col min="7866" max="7866" width="6.5703125" style="3" customWidth="1"/>
    <col min="7867" max="7867" width="13.5703125" style="3" customWidth="1"/>
    <col min="7868" max="7868" width="13.42578125" style="3" customWidth="1"/>
    <col min="7869" max="7870" width="12.5703125" style="3" customWidth="1"/>
    <col min="7871" max="7871" width="14.85546875" style="3" customWidth="1"/>
    <col min="7872" max="7872" width="20.7109375" style="3" customWidth="1"/>
    <col min="7873" max="7873" width="12.5703125" style="3" customWidth="1"/>
    <col min="7874" max="7874" width="13" style="3" customWidth="1"/>
    <col min="7875" max="7875" width="16" style="3" customWidth="1"/>
    <col min="7876" max="7876" width="6.42578125" style="3" customWidth="1"/>
    <col min="7877" max="7877" width="16" style="3" customWidth="1"/>
    <col min="7878" max="7878" width="2.85546875" style="3" customWidth="1"/>
    <col min="7879" max="7879" width="0.85546875" style="3" customWidth="1"/>
    <col min="7880" max="7880" width="11" style="3"/>
    <col min="7881" max="7881" width="15.42578125" style="3" customWidth="1"/>
    <col min="7882" max="7884" width="14.85546875" style="3" customWidth="1"/>
    <col min="7885" max="7885" width="0.7109375" style="3" customWidth="1"/>
    <col min="7886" max="7886" width="11" style="3"/>
    <col min="7887" max="7887" width="15.7109375" style="3" customWidth="1"/>
    <col min="7888" max="7889" width="14.85546875" style="3" customWidth="1"/>
    <col min="7890" max="7890" width="3.28515625" style="3" customWidth="1"/>
    <col min="7891" max="7891" width="20.140625" style="3" customWidth="1"/>
    <col min="7892" max="7892" width="3.28515625" style="3" customWidth="1"/>
    <col min="7893" max="7897" width="11" style="3"/>
    <col min="7898" max="7910" width="4.7109375" style="3" customWidth="1"/>
    <col min="7911" max="8120" width="11" style="3"/>
    <col min="8121" max="8121" width="0.7109375" style="3" customWidth="1"/>
    <col min="8122" max="8122" width="6.5703125" style="3" customWidth="1"/>
    <col min="8123" max="8123" width="13.5703125" style="3" customWidth="1"/>
    <col min="8124" max="8124" width="13.42578125" style="3" customWidth="1"/>
    <col min="8125" max="8126" width="12.5703125" style="3" customWidth="1"/>
    <col min="8127" max="8127" width="14.85546875" style="3" customWidth="1"/>
    <col min="8128" max="8128" width="20.7109375" style="3" customWidth="1"/>
    <col min="8129" max="8129" width="12.5703125" style="3" customWidth="1"/>
    <col min="8130" max="8130" width="13" style="3" customWidth="1"/>
    <col min="8131" max="8131" width="16" style="3" customWidth="1"/>
    <col min="8132" max="8132" width="6.42578125" style="3" customWidth="1"/>
    <col min="8133" max="8133" width="16" style="3" customWidth="1"/>
    <col min="8134" max="8134" width="2.85546875" style="3" customWidth="1"/>
    <col min="8135" max="8135" width="0.85546875" style="3" customWidth="1"/>
    <col min="8136" max="8136" width="11" style="3"/>
    <col min="8137" max="8137" width="15.42578125" style="3" customWidth="1"/>
    <col min="8138" max="8140" width="14.85546875" style="3" customWidth="1"/>
    <col min="8141" max="8141" width="0.7109375" style="3" customWidth="1"/>
    <col min="8142" max="8142" width="11" style="3"/>
    <col min="8143" max="8143" width="15.7109375" style="3" customWidth="1"/>
    <col min="8144" max="8145" width="14.85546875" style="3" customWidth="1"/>
    <col min="8146" max="8146" width="3.28515625" style="3" customWidth="1"/>
    <col min="8147" max="8147" width="20.140625" style="3" customWidth="1"/>
    <col min="8148" max="8148" width="3.28515625" style="3" customWidth="1"/>
    <col min="8149" max="8153" width="11" style="3"/>
    <col min="8154" max="8166" width="4.7109375" style="3" customWidth="1"/>
    <col min="8167" max="8376" width="11" style="3"/>
    <col min="8377" max="8377" width="0.7109375" style="3" customWidth="1"/>
    <col min="8378" max="8378" width="6.5703125" style="3" customWidth="1"/>
    <col min="8379" max="8379" width="13.5703125" style="3" customWidth="1"/>
    <col min="8380" max="8380" width="13.42578125" style="3" customWidth="1"/>
    <col min="8381" max="8382" width="12.5703125" style="3" customWidth="1"/>
    <col min="8383" max="8383" width="14.85546875" style="3" customWidth="1"/>
    <col min="8384" max="8384" width="20.7109375" style="3" customWidth="1"/>
    <col min="8385" max="8385" width="12.5703125" style="3" customWidth="1"/>
    <col min="8386" max="8386" width="13" style="3" customWidth="1"/>
    <col min="8387" max="8387" width="16" style="3" customWidth="1"/>
    <col min="8388" max="8388" width="6.42578125" style="3" customWidth="1"/>
    <col min="8389" max="8389" width="16" style="3" customWidth="1"/>
    <col min="8390" max="8390" width="2.85546875" style="3" customWidth="1"/>
    <col min="8391" max="8391" width="0.85546875" style="3" customWidth="1"/>
    <col min="8392" max="8392" width="11" style="3"/>
    <col min="8393" max="8393" width="15.42578125" style="3" customWidth="1"/>
    <col min="8394" max="8396" width="14.85546875" style="3" customWidth="1"/>
    <col min="8397" max="8397" width="0.7109375" style="3" customWidth="1"/>
    <col min="8398" max="8398" width="11" style="3"/>
    <col min="8399" max="8399" width="15.7109375" style="3" customWidth="1"/>
    <col min="8400" max="8401" width="14.85546875" style="3" customWidth="1"/>
    <col min="8402" max="8402" width="3.28515625" style="3" customWidth="1"/>
    <col min="8403" max="8403" width="20.140625" style="3" customWidth="1"/>
    <col min="8404" max="8404" width="3.28515625" style="3" customWidth="1"/>
    <col min="8405" max="8409" width="11" style="3"/>
    <col min="8410" max="8422" width="4.7109375" style="3" customWidth="1"/>
    <col min="8423" max="8632" width="11" style="3"/>
    <col min="8633" max="8633" width="0.7109375" style="3" customWidth="1"/>
    <col min="8634" max="8634" width="6.5703125" style="3" customWidth="1"/>
    <col min="8635" max="8635" width="13.5703125" style="3" customWidth="1"/>
    <col min="8636" max="8636" width="13.42578125" style="3" customWidth="1"/>
    <col min="8637" max="8638" width="12.5703125" style="3" customWidth="1"/>
    <col min="8639" max="8639" width="14.85546875" style="3" customWidth="1"/>
    <col min="8640" max="8640" width="20.7109375" style="3" customWidth="1"/>
    <col min="8641" max="8641" width="12.5703125" style="3" customWidth="1"/>
    <col min="8642" max="8642" width="13" style="3" customWidth="1"/>
    <col min="8643" max="8643" width="16" style="3" customWidth="1"/>
    <col min="8644" max="8644" width="6.42578125" style="3" customWidth="1"/>
    <col min="8645" max="8645" width="16" style="3" customWidth="1"/>
    <col min="8646" max="8646" width="2.85546875" style="3" customWidth="1"/>
    <col min="8647" max="8647" width="0.85546875" style="3" customWidth="1"/>
    <col min="8648" max="8648" width="11" style="3"/>
    <col min="8649" max="8649" width="15.42578125" style="3" customWidth="1"/>
    <col min="8650" max="8652" width="14.85546875" style="3" customWidth="1"/>
    <col min="8653" max="8653" width="0.7109375" style="3" customWidth="1"/>
    <col min="8654" max="8654" width="11" style="3"/>
    <col min="8655" max="8655" width="15.7109375" style="3" customWidth="1"/>
    <col min="8656" max="8657" width="14.85546875" style="3" customWidth="1"/>
    <col min="8658" max="8658" width="3.28515625" style="3" customWidth="1"/>
    <col min="8659" max="8659" width="20.140625" style="3" customWidth="1"/>
    <col min="8660" max="8660" width="3.28515625" style="3" customWidth="1"/>
    <col min="8661" max="8665" width="11" style="3"/>
    <col min="8666" max="8678" width="4.7109375" style="3" customWidth="1"/>
    <col min="8679" max="8888" width="11" style="3"/>
    <col min="8889" max="8889" width="0.7109375" style="3" customWidth="1"/>
    <col min="8890" max="8890" width="6.5703125" style="3" customWidth="1"/>
    <col min="8891" max="8891" width="13.5703125" style="3" customWidth="1"/>
    <col min="8892" max="8892" width="13.42578125" style="3" customWidth="1"/>
    <col min="8893" max="8894" width="12.5703125" style="3" customWidth="1"/>
    <col min="8895" max="8895" width="14.85546875" style="3" customWidth="1"/>
    <col min="8896" max="8896" width="20.7109375" style="3" customWidth="1"/>
    <col min="8897" max="8897" width="12.5703125" style="3" customWidth="1"/>
    <col min="8898" max="8898" width="13" style="3" customWidth="1"/>
    <col min="8899" max="8899" width="16" style="3" customWidth="1"/>
    <col min="8900" max="8900" width="6.42578125" style="3" customWidth="1"/>
    <col min="8901" max="8901" width="16" style="3" customWidth="1"/>
    <col min="8902" max="8902" width="2.85546875" style="3" customWidth="1"/>
    <col min="8903" max="8903" width="0.85546875" style="3" customWidth="1"/>
    <col min="8904" max="8904" width="11" style="3"/>
    <col min="8905" max="8905" width="15.42578125" style="3" customWidth="1"/>
    <col min="8906" max="8908" width="14.85546875" style="3" customWidth="1"/>
    <col min="8909" max="8909" width="0.7109375" style="3" customWidth="1"/>
    <col min="8910" max="8910" width="11" style="3"/>
    <col min="8911" max="8911" width="15.7109375" style="3" customWidth="1"/>
    <col min="8912" max="8913" width="14.85546875" style="3" customWidth="1"/>
    <col min="8914" max="8914" width="3.28515625" style="3" customWidth="1"/>
    <col min="8915" max="8915" width="20.140625" style="3" customWidth="1"/>
    <col min="8916" max="8916" width="3.28515625" style="3" customWidth="1"/>
    <col min="8917" max="8921" width="11" style="3"/>
    <col min="8922" max="8934" width="4.7109375" style="3" customWidth="1"/>
    <col min="8935" max="9144" width="11" style="3"/>
    <col min="9145" max="9145" width="0.7109375" style="3" customWidth="1"/>
    <col min="9146" max="9146" width="6.5703125" style="3" customWidth="1"/>
    <col min="9147" max="9147" width="13.5703125" style="3" customWidth="1"/>
    <col min="9148" max="9148" width="13.42578125" style="3" customWidth="1"/>
    <col min="9149" max="9150" width="12.5703125" style="3" customWidth="1"/>
    <col min="9151" max="9151" width="14.85546875" style="3" customWidth="1"/>
    <col min="9152" max="9152" width="20.7109375" style="3" customWidth="1"/>
    <col min="9153" max="9153" width="12.5703125" style="3" customWidth="1"/>
    <col min="9154" max="9154" width="13" style="3" customWidth="1"/>
    <col min="9155" max="9155" width="16" style="3" customWidth="1"/>
    <col min="9156" max="9156" width="6.42578125" style="3" customWidth="1"/>
    <col min="9157" max="9157" width="16" style="3" customWidth="1"/>
    <col min="9158" max="9158" width="2.85546875" style="3" customWidth="1"/>
    <col min="9159" max="9159" width="0.85546875" style="3" customWidth="1"/>
    <col min="9160" max="9160" width="11" style="3"/>
    <col min="9161" max="9161" width="15.42578125" style="3" customWidth="1"/>
    <col min="9162" max="9164" width="14.85546875" style="3" customWidth="1"/>
    <col min="9165" max="9165" width="0.7109375" style="3" customWidth="1"/>
    <col min="9166" max="9166" width="11" style="3"/>
    <col min="9167" max="9167" width="15.7109375" style="3" customWidth="1"/>
    <col min="9168" max="9169" width="14.85546875" style="3" customWidth="1"/>
    <col min="9170" max="9170" width="3.28515625" style="3" customWidth="1"/>
    <col min="9171" max="9171" width="20.140625" style="3" customWidth="1"/>
    <col min="9172" max="9172" width="3.28515625" style="3" customWidth="1"/>
    <col min="9173" max="9177" width="11" style="3"/>
    <col min="9178" max="9190" width="4.7109375" style="3" customWidth="1"/>
    <col min="9191" max="9400" width="11" style="3"/>
    <col min="9401" max="9401" width="0.7109375" style="3" customWidth="1"/>
    <col min="9402" max="9402" width="6.5703125" style="3" customWidth="1"/>
    <col min="9403" max="9403" width="13.5703125" style="3" customWidth="1"/>
    <col min="9404" max="9404" width="13.42578125" style="3" customWidth="1"/>
    <col min="9405" max="9406" width="12.5703125" style="3" customWidth="1"/>
    <col min="9407" max="9407" width="14.85546875" style="3" customWidth="1"/>
    <col min="9408" max="9408" width="20.7109375" style="3" customWidth="1"/>
    <col min="9409" max="9409" width="12.5703125" style="3" customWidth="1"/>
    <col min="9410" max="9410" width="13" style="3" customWidth="1"/>
    <col min="9411" max="9411" width="16" style="3" customWidth="1"/>
    <col min="9412" max="9412" width="6.42578125" style="3" customWidth="1"/>
    <col min="9413" max="9413" width="16" style="3" customWidth="1"/>
    <col min="9414" max="9414" width="2.85546875" style="3" customWidth="1"/>
    <col min="9415" max="9415" width="0.85546875" style="3" customWidth="1"/>
    <col min="9416" max="9416" width="11" style="3"/>
    <col min="9417" max="9417" width="15.42578125" style="3" customWidth="1"/>
    <col min="9418" max="9420" width="14.85546875" style="3" customWidth="1"/>
    <col min="9421" max="9421" width="0.7109375" style="3" customWidth="1"/>
    <col min="9422" max="9422" width="11" style="3"/>
    <col min="9423" max="9423" width="15.7109375" style="3" customWidth="1"/>
    <col min="9424" max="9425" width="14.85546875" style="3" customWidth="1"/>
    <col min="9426" max="9426" width="3.28515625" style="3" customWidth="1"/>
    <col min="9427" max="9427" width="20.140625" style="3" customWidth="1"/>
    <col min="9428" max="9428" width="3.28515625" style="3" customWidth="1"/>
    <col min="9429" max="9433" width="11" style="3"/>
    <col min="9434" max="9446" width="4.7109375" style="3" customWidth="1"/>
    <col min="9447" max="9656" width="11" style="3"/>
    <col min="9657" max="9657" width="0.7109375" style="3" customWidth="1"/>
    <col min="9658" max="9658" width="6.5703125" style="3" customWidth="1"/>
    <col min="9659" max="9659" width="13.5703125" style="3" customWidth="1"/>
    <col min="9660" max="9660" width="13.42578125" style="3" customWidth="1"/>
    <col min="9661" max="9662" width="12.5703125" style="3" customWidth="1"/>
    <col min="9663" max="9663" width="14.85546875" style="3" customWidth="1"/>
    <col min="9664" max="9664" width="20.7109375" style="3" customWidth="1"/>
    <col min="9665" max="9665" width="12.5703125" style="3" customWidth="1"/>
    <col min="9666" max="9666" width="13" style="3" customWidth="1"/>
    <col min="9667" max="9667" width="16" style="3" customWidth="1"/>
    <col min="9668" max="9668" width="6.42578125" style="3" customWidth="1"/>
    <col min="9669" max="9669" width="16" style="3" customWidth="1"/>
    <col min="9670" max="9670" width="2.85546875" style="3" customWidth="1"/>
    <col min="9671" max="9671" width="0.85546875" style="3" customWidth="1"/>
    <col min="9672" max="9672" width="11" style="3"/>
    <col min="9673" max="9673" width="15.42578125" style="3" customWidth="1"/>
    <col min="9674" max="9676" width="14.85546875" style="3" customWidth="1"/>
    <col min="9677" max="9677" width="0.7109375" style="3" customWidth="1"/>
    <col min="9678" max="9678" width="11" style="3"/>
    <col min="9679" max="9679" width="15.7109375" style="3" customWidth="1"/>
    <col min="9680" max="9681" width="14.85546875" style="3" customWidth="1"/>
    <col min="9682" max="9682" width="3.28515625" style="3" customWidth="1"/>
    <col min="9683" max="9683" width="20.140625" style="3" customWidth="1"/>
    <col min="9684" max="9684" width="3.28515625" style="3" customWidth="1"/>
    <col min="9685" max="9689" width="11" style="3"/>
    <col min="9690" max="9702" width="4.7109375" style="3" customWidth="1"/>
    <col min="9703" max="9912" width="11" style="3"/>
    <col min="9913" max="9913" width="0.7109375" style="3" customWidth="1"/>
    <col min="9914" max="9914" width="6.5703125" style="3" customWidth="1"/>
    <col min="9915" max="9915" width="13.5703125" style="3" customWidth="1"/>
    <col min="9916" max="9916" width="13.42578125" style="3" customWidth="1"/>
    <col min="9917" max="9918" width="12.5703125" style="3" customWidth="1"/>
    <col min="9919" max="9919" width="14.85546875" style="3" customWidth="1"/>
    <col min="9920" max="9920" width="20.7109375" style="3" customWidth="1"/>
    <col min="9921" max="9921" width="12.5703125" style="3" customWidth="1"/>
    <col min="9922" max="9922" width="13" style="3" customWidth="1"/>
    <col min="9923" max="9923" width="16" style="3" customWidth="1"/>
    <col min="9924" max="9924" width="6.42578125" style="3" customWidth="1"/>
    <col min="9925" max="9925" width="16" style="3" customWidth="1"/>
    <col min="9926" max="9926" width="2.85546875" style="3" customWidth="1"/>
    <col min="9927" max="9927" width="0.85546875" style="3" customWidth="1"/>
    <col min="9928" max="9928" width="11" style="3"/>
    <col min="9929" max="9929" width="15.42578125" style="3" customWidth="1"/>
    <col min="9930" max="9932" width="14.85546875" style="3" customWidth="1"/>
    <col min="9933" max="9933" width="0.7109375" style="3" customWidth="1"/>
    <col min="9934" max="9934" width="11" style="3"/>
    <col min="9935" max="9935" width="15.7109375" style="3" customWidth="1"/>
    <col min="9936" max="9937" width="14.85546875" style="3" customWidth="1"/>
    <col min="9938" max="9938" width="3.28515625" style="3" customWidth="1"/>
    <col min="9939" max="9939" width="20.140625" style="3" customWidth="1"/>
    <col min="9940" max="9940" width="3.28515625" style="3" customWidth="1"/>
    <col min="9941" max="9945" width="11" style="3"/>
    <col min="9946" max="9958" width="4.7109375" style="3" customWidth="1"/>
    <col min="9959" max="10168" width="11" style="3"/>
    <col min="10169" max="10169" width="0.7109375" style="3" customWidth="1"/>
    <col min="10170" max="10170" width="6.5703125" style="3" customWidth="1"/>
    <col min="10171" max="10171" width="13.5703125" style="3" customWidth="1"/>
    <col min="10172" max="10172" width="13.42578125" style="3" customWidth="1"/>
    <col min="10173" max="10174" width="12.5703125" style="3" customWidth="1"/>
    <col min="10175" max="10175" width="14.85546875" style="3" customWidth="1"/>
    <col min="10176" max="10176" width="20.7109375" style="3" customWidth="1"/>
    <col min="10177" max="10177" width="12.5703125" style="3" customWidth="1"/>
    <col min="10178" max="10178" width="13" style="3" customWidth="1"/>
    <col min="10179" max="10179" width="16" style="3" customWidth="1"/>
    <col min="10180" max="10180" width="6.42578125" style="3" customWidth="1"/>
    <col min="10181" max="10181" width="16" style="3" customWidth="1"/>
    <col min="10182" max="10182" width="2.85546875" style="3" customWidth="1"/>
    <col min="10183" max="10183" width="0.85546875" style="3" customWidth="1"/>
    <col min="10184" max="10184" width="11" style="3"/>
    <col min="10185" max="10185" width="15.42578125" style="3" customWidth="1"/>
    <col min="10186" max="10188" width="14.85546875" style="3" customWidth="1"/>
    <col min="10189" max="10189" width="0.7109375" style="3" customWidth="1"/>
    <col min="10190" max="10190" width="11" style="3"/>
    <col min="10191" max="10191" width="15.7109375" style="3" customWidth="1"/>
    <col min="10192" max="10193" width="14.85546875" style="3" customWidth="1"/>
    <col min="10194" max="10194" width="3.28515625" style="3" customWidth="1"/>
    <col min="10195" max="10195" width="20.140625" style="3" customWidth="1"/>
    <col min="10196" max="10196" width="3.28515625" style="3" customWidth="1"/>
    <col min="10197" max="10201" width="11" style="3"/>
    <col min="10202" max="10214" width="4.7109375" style="3" customWidth="1"/>
    <col min="10215" max="10424" width="11" style="3"/>
    <col min="10425" max="10425" width="0.7109375" style="3" customWidth="1"/>
    <col min="10426" max="10426" width="6.5703125" style="3" customWidth="1"/>
    <col min="10427" max="10427" width="13.5703125" style="3" customWidth="1"/>
    <col min="10428" max="10428" width="13.42578125" style="3" customWidth="1"/>
    <col min="10429" max="10430" width="12.5703125" style="3" customWidth="1"/>
    <col min="10431" max="10431" width="14.85546875" style="3" customWidth="1"/>
    <col min="10432" max="10432" width="20.7109375" style="3" customWidth="1"/>
    <col min="10433" max="10433" width="12.5703125" style="3" customWidth="1"/>
    <col min="10434" max="10434" width="13" style="3" customWidth="1"/>
    <col min="10435" max="10435" width="16" style="3" customWidth="1"/>
    <col min="10436" max="10436" width="6.42578125" style="3" customWidth="1"/>
    <col min="10437" max="10437" width="16" style="3" customWidth="1"/>
    <col min="10438" max="10438" width="2.85546875" style="3" customWidth="1"/>
    <col min="10439" max="10439" width="0.85546875" style="3" customWidth="1"/>
    <col min="10440" max="10440" width="11" style="3"/>
    <col min="10441" max="10441" width="15.42578125" style="3" customWidth="1"/>
    <col min="10442" max="10444" width="14.85546875" style="3" customWidth="1"/>
    <col min="10445" max="10445" width="0.7109375" style="3" customWidth="1"/>
    <col min="10446" max="10446" width="11" style="3"/>
    <col min="10447" max="10447" width="15.7109375" style="3" customWidth="1"/>
    <col min="10448" max="10449" width="14.85546875" style="3" customWidth="1"/>
    <col min="10450" max="10450" width="3.28515625" style="3" customWidth="1"/>
    <col min="10451" max="10451" width="20.140625" style="3" customWidth="1"/>
    <col min="10452" max="10452" width="3.28515625" style="3" customWidth="1"/>
    <col min="10453" max="10457" width="11" style="3"/>
    <col min="10458" max="10470" width="4.7109375" style="3" customWidth="1"/>
    <col min="10471" max="10680" width="11" style="3"/>
    <col min="10681" max="10681" width="0.7109375" style="3" customWidth="1"/>
    <col min="10682" max="10682" width="6.5703125" style="3" customWidth="1"/>
    <col min="10683" max="10683" width="13.5703125" style="3" customWidth="1"/>
    <col min="10684" max="10684" width="13.42578125" style="3" customWidth="1"/>
    <col min="10685" max="10686" width="12.5703125" style="3" customWidth="1"/>
    <col min="10687" max="10687" width="14.85546875" style="3" customWidth="1"/>
    <col min="10688" max="10688" width="20.7109375" style="3" customWidth="1"/>
    <col min="10689" max="10689" width="12.5703125" style="3" customWidth="1"/>
    <col min="10690" max="10690" width="13" style="3" customWidth="1"/>
    <col min="10691" max="10691" width="16" style="3" customWidth="1"/>
    <col min="10692" max="10692" width="6.42578125" style="3" customWidth="1"/>
    <col min="10693" max="10693" width="16" style="3" customWidth="1"/>
    <col min="10694" max="10694" width="2.85546875" style="3" customWidth="1"/>
    <col min="10695" max="10695" width="0.85546875" style="3" customWidth="1"/>
    <col min="10696" max="10696" width="11" style="3"/>
    <col min="10697" max="10697" width="15.42578125" style="3" customWidth="1"/>
    <col min="10698" max="10700" width="14.85546875" style="3" customWidth="1"/>
    <col min="10701" max="10701" width="0.7109375" style="3" customWidth="1"/>
    <col min="10702" max="10702" width="11" style="3"/>
    <col min="10703" max="10703" width="15.7109375" style="3" customWidth="1"/>
    <col min="10704" max="10705" width="14.85546875" style="3" customWidth="1"/>
    <col min="10706" max="10706" width="3.28515625" style="3" customWidth="1"/>
    <col min="10707" max="10707" width="20.140625" style="3" customWidth="1"/>
    <col min="10708" max="10708" width="3.28515625" style="3" customWidth="1"/>
    <col min="10709" max="10713" width="11" style="3"/>
    <col min="10714" max="10726" width="4.7109375" style="3" customWidth="1"/>
    <col min="10727" max="10936" width="11" style="3"/>
    <col min="10937" max="10937" width="0.7109375" style="3" customWidth="1"/>
    <col min="10938" max="10938" width="6.5703125" style="3" customWidth="1"/>
    <col min="10939" max="10939" width="13.5703125" style="3" customWidth="1"/>
    <col min="10940" max="10940" width="13.42578125" style="3" customWidth="1"/>
    <col min="10941" max="10942" width="12.5703125" style="3" customWidth="1"/>
    <col min="10943" max="10943" width="14.85546875" style="3" customWidth="1"/>
    <col min="10944" max="10944" width="20.7109375" style="3" customWidth="1"/>
    <col min="10945" max="10945" width="12.5703125" style="3" customWidth="1"/>
    <col min="10946" max="10946" width="13" style="3" customWidth="1"/>
    <col min="10947" max="10947" width="16" style="3" customWidth="1"/>
    <col min="10948" max="10948" width="6.42578125" style="3" customWidth="1"/>
    <col min="10949" max="10949" width="16" style="3" customWidth="1"/>
    <col min="10950" max="10950" width="2.85546875" style="3" customWidth="1"/>
    <col min="10951" max="10951" width="0.85546875" style="3" customWidth="1"/>
    <col min="10952" max="10952" width="11" style="3"/>
    <col min="10953" max="10953" width="15.42578125" style="3" customWidth="1"/>
    <col min="10954" max="10956" width="14.85546875" style="3" customWidth="1"/>
    <col min="10957" max="10957" width="0.7109375" style="3" customWidth="1"/>
    <col min="10958" max="10958" width="11" style="3"/>
    <col min="10959" max="10959" width="15.7109375" style="3" customWidth="1"/>
    <col min="10960" max="10961" width="14.85546875" style="3" customWidth="1"/>
    <col min="10962" max="10962" width="3.28515625" style="3" customWidth="1"/>
    <col min="10963" max="10963" width="20.140625" style="3" customWidth="1"/>
    <col min="10964" max="10964" width="3.28515625" style="3" customWidth="1"/>
    <col min="10965" max="10969" width="11" style="3"/>
    <col min="10970" max="10982" width="4.7109375" style="3" customWidth="1"/>
    <col min="10983" max="11192" width="11" style="3"/>
    <col min="11193" max="11193" width="0.7109375" style="3" customWidth="1"/>
    <col min="11194" max="11194" width="6.5703125" style="3" customWidth="1"/>
    <col min="11195" max="11195" width="13.5703125" style="3" customWidth="1"/>
    <col min="11196" max="11196" width="13.42578125" style="3" customWidth="1"/>
    <col min="11197" max="11198" width="12.5703125" style="3" customWidth="1"/>
    <col min="11199" max="11199" width="14.85546875" style="3" customWidth="1"/>
    <col min="11200" max="11200" width="20.7109375" style="3" customWidth="1"/>
    <col min="11201" max="11201" width="12.5703125" style="3" customWidth="1"/>
    <col min="11202" max="11202" width="13" style="3" customWidth="1"/>
    <col min="11203" max="11203" width="16" style="3" customWidth="1"/>
    <col min="11204" max="11204" width="6.42578125" style="3" customWidth="1"/>
    <col min="11205" max="11205" width="16" style="3" customWidth="1"/>
    <col min="11206" max="11206" width="2.85546875" style="3" customWidth="1"/>
    <col min="11207" max="11207" width="0.85546875" style="3" customWidth="1"/>
    <col min="11208" max="11208" width="11" style="3"/>
    <col min="11209" max="11209" width="15.42578125" style="3" customWidth="1"/>
    <col min="11210" max="11212" width="14.85546875" style="3" customWidth="1"/>
    <col min="11213" max="11213" width="0.7109375" style="3" customWidth="1"/>
    <col min="11214" max="11214" width="11" style="3"/>
    <col min="11215" max="11215" width="15.7109375" style="3" customWidth="1"/>
    <col min="11216" max="11217" width="14.85546875" style="3" customWidth="1"/>
    <col min="11218" max="11218" width="3.28515625" style="3" customWidth="1"/>
    <col min="11219" max="11219" width="20.140625" style="3" customWidth="1"/>
    <col min="11220" max="11220" width="3.28515625" style="3" customWidth="1"/>
    <col min="11221" max="11225" width="11" style="3"/>
    <col min="11226" max="11238" width="4.7109375" style="3" customWidth="1"/>
    <col min="11239" max="11448" width="11" style="3"/>
    <col min="11449" max="11449" width="0.7109375" style="3" customWidth="1"/>
    <col min="11450" max="11450" width="6.5703125" style="3" customWidth="1"/>
    <col min="11451" max="11451" width="13.5703125" style="3" customWidth="1"/>
    <col min="11452" max="11452" width="13.42578125" style="3" customWidth="1"/>
    <col min="11453" max="11454" width="12.5703125" style="3" customWidth="1"/>
    <col min="11455" max="11455" width="14.85546875" style="3" customWidth="1"/>
    <col min="11456" max="11456" width="20.7109375" style="3" customWidth="1"/>
    <col min="11457" max="11457" width="12.5703125" style="3" customWidth="1"/>
    <col min="11458" max="11458" width="13" style="3" customWidth="1"/>
    <col min="11459" max="11459" width="16" style="3" customWidth="1"/>
    <col min="11460" max="11460" width="6.42578125" style="3" customWidth="1"/>
    <col min="11461" max="11461" width="16" style="3" customWidth="1"/>
    <col min="11462" max="11462" width="2.85546875" style="3" customWidth="1"/>
    <col min="11463" max="11463" width="0.85546875" style="3" customWidth="1"/>
    <col min="11464" max="11464" width="11" style="3"/>
    <col min="11465" max="11465" width="15.42578125" style="3" customWidth="1"/>
    <col min="11466" max="11468" width="14.85546875" style="3" customWidth="1"/>
    <col min="11469" max="11469" width="0.7109375" style="3" customWidth="1"/>
    <col min="11470" max="11470" width="11" style="3"/>
    <col min="11471" max="11471" width="15.7109375" style="3" customWidth="1"/>
    <col min="11472" max="11473" width="14.85546875" style="3" customWidth="1"/>
    <col min="11474" max="11474" width="3.28515625" style="3" customWidth="1"/>
    <col min="11475" max="11475" width="20.140625" style="3" customWidth="1"/>
    <col min="11476" max="11476" width="3.28515625" style="3" customWidth="1"/>
    <col min="11477" max="11481" width="11" style="3"/>
    <col min="11482" max="11494" width="4.7109375" style="3" customWidth="1"/>
    <col min="11495" max="11704" width="11" style="3"/>
    <col min="11705" max="11705" width="0.7109375" style="3" customWidth="1"/>
    <col min="11706" max="11706" width="6.5703125" style="3" customWidth="1"/>
    <col min="11707" max="11707" width="13.5703125" style="3" customWidth="1"/>
    <col min="11708" max="11708" width="13.42578125" style="3" customWidth="1"/>
    <col min="11709" max="11710" width="12.5703125" style="3" customWidth="1"/>
    <col min="11711" max="11711" width="14.85546875" style="3" customWidth="1"/>
    <col min="11712" max="11712" width="20.7109375" style="3" customWidth="1"/>
    <col min="11713" max="11713" width="12.5703125" style="3" customWidth="1"/>
    <col min="11714" max="11714" width="13" style="3" customWidth="1"/>
    <col min="11715" max="11715" width="16" style="3" customWidth="1"/>
    <col min="11716" max="11716" width="6.42578125" style="3" customWidth="1"/>
    <col min="11717" max="11717" width="16" style="3" customWidth="1"/>
    <col min="11718" max="11718" width="2.85546875" style="3" customWidth="1"/>
    <col min="11719" max="11719" width="0.85546875" style="3" customWidth="1"/>
    <col min="11720" max="11720" width="11" style="3"/>
    <col min="11721" max="11721" width="15.42578125" style="3" customWidth="1"/>
    <col min="11722" max="11724" width="14.85546875" style="3" customWidth="1"/>
    <col min="11725" max="11725" width="0.7109375" style="3" customWidth="1"/>
    <col min="11726" max="11726" width="11" style="3"/>
    <col min="11727" max="11727" width="15.7109375" style="3" customWidth="1"/>
    <col min="11728" max="11729" width="14.85546875" style="3" customWidth="1"/>
    <col min="11730" max="11730" width="3.28515625" style="3" customWidth="1"/>
    <col min="11731" max="11731" width="20.140625" style="3" customWidth="1"/>
    <col min="11732" max="11732" width="3.28515625" style="3" customWidth="1"/>
    <col min="11733" max="11737" width="11" style="3"/>
    <col min="11738" max="11750" width="4.7109375" style="3" customWidth="1"/>
    <col min="11751" max="11960" width="11" style="3"/>
    <col min="11961" max="11961" width="0.7109375" style="3" customWidth="1"/>
    <col min="11962" max="11962" width="6.5703125" style="3" customWidth="1"/>
    <col min="11963" max="11963" width="13.5703125" style="3" customWidth="1"/>
    <col min="11964" max="11964" width="13.42578125" style="3" customWidth="1"/>
    <col min="11965" max="11966" width="12.5703125" style="3" customWidth="1"/>
    <col min="11967" max="11967" width="14.85546875" style="3" customWidth="1"/>
    <col min="11968" max="11968" width="20.7109375" style="3" customWidth="1"/>
    <col min="11969" max="11969" width="12.5703125" style="3" customWidth="1"/>
    <col min="11970" max="11970" width="13" style="3" customWidth="1"/>
    <col min="11971" max="11971" width="16" style="3" customWidth="1"/>
    <col min="11972" max="11972" width="6.42578125" style="3" customWidth="1"/>
    <col min="11973" max="11973" width="16" style="3" customWidth="1"/>
    <col min="11974" max="11974" width="2.85546875" style="3" customWidth="1"/>
    <col min="11975" max="11975" width="0.85546875" style="3" customWidth="1"/>
    <col min="11976" max="11976" width="11" style="3"/>
    <col min="11977" max="11977" width="15.42578125" style="3" customWidth="1"/>
    <col min="11978" max="11980" width="14.85546875" style="3" customWidth="1"/>
    <col min="11981" max="11981" width="0.7109375" style="3" customWidth="1"/>
    <col min="11982" max="11982" width="11" style="3"/>
    <col min="11983" max="11983" width="15.7109375" style="3" customWidth="1"/>
    <col min="11984" max="11985" width="14.85546875" style="3" customWidth="1"/>
    <col min="11986" max="11986" width="3.28515625" style="3" customWidth="1"/>
    <col min="11987" max="11987" width="20.140625" style="3" customWidth="1"/>
    <col min="11988" max="11988" width="3.28515625" style="3" customWidth="1"/>
    <col min="11989" max="11993" width="11" style="3"/>
    <col min="11994" max="12006" width="4.7109375" style="3" customWidth="1"/>
    <col min="12007" max="12216" width="11" style="3"/>
    <col min="12217" max="12217" width="0.7109375" style="3" customWidth="1"/>
    <col min="12218" max="12218" width="6.5703125" style="3" customWidth="1"/>
    <col min="12219" max="12219" width="13.5703125" style="3" customWidth="1"/>
    <col min="12220" max="12220" width="13.42578125" style="3" customWidth="1"/>
    <col min="12221" max="12222" width="12.5703125" style="3" customWidth="1"/>
    <col min="12223" max="12223" width="14.85546875" style="3" customWidth="1"/>
    <col min="12224" max="12224" width="20.7109375" style="3" customWidth="1"/>
    <col min="12225" max="12225" width="12.5703125" style="3" customWidth="1"/>
    <col min="12226" max="12226" width="13" style="3" customWidth="1"/>
    <col min="12227" max="12227" width="16" style="3" customWidth="1"/>
    <col min="12228" max="12228" width="6.42578125" style="3" customWidth="1"/>
    <col min="12229" max="12229" width="16" style="3" customWidth="1"/>
    <col min="12230" max="12230" width="2.85546875" style="3" customWidth="1"/>
    <col min="12231" max="12231" width="0.85546875" style="3" customWidth="1"/>
    <col min="12232" max="12232" width="11" style="3"/>
    <col min="12233" max="12233" width="15.42578125" style="3" customWidth="1"/>
    <col min="12234" max="12236" width="14.85546875" style="3" customWidth="1"/>
    <col min="12237" max="12237" width="0.7109375" style="3" customWidth="1"/>
    <col min="12238" max="12238" width="11" style="3"/>
    <col min="12239" max="12239" width="15.7109375" style="3" customWidth="1"/>
    <col min="12240" max="12241" width="14.85546875" style="3" customWidth="1"/>
    <col min="12242" max="12242" width="3.28515625" style="3" customWidth="1"/>
    <col min="12243" max="12243" width="20.140625" style="3" customWidth="1"/>
    <col min="12244" max="12244" width="3.28515625" style="3" customWidth="1"/>
    <col min="12245" max="12249" width="11" style="3"/>
    <col min="12250" max="12262" width="4.7109375" style="3" customWidth="1"/>
    <col min="12263" max="12472" width="11" style="3"/>
    <col min="12473" max="12473" width="0.7109375" style="3" customWidth="1"/>
    <col min="12474" max="12474" width="6.5703125" style="3" customWidth="1"/>
    <col min="12475" max="12475" width="13.5703125" style="3" customWidth="1"/>
    <col min="12476" max="12476" width="13.42578125" style="3" customWidth="1"/>
    <col min="12477" max="12478" width="12.5703125" style="3" customWidth="1"/>
    <col min="12479" max="12479" width="14.85546875" style="3" customWidth="1"/>
    <col min="12480" max="12480" width="20.7109375" style="3" customWidth="1"/>
    <col min="12481" max="12481" width="12.5703125" style="3" customWidth="1"/>
    <col min="12482" max="12482" width="13" style="3" customWidth="1"/>
    <col min="12483" max="12483" width="16" style="3" customWidth="1"/>
    <col min="12484" max="12484" width="6.42578125" style="3" customWidth="1"/>
    <col min="12485" max="12485" width="16" style="3" customWidth="1"/>
    <col min="12486" max="12486" width="2.85546875" style="3" customWidth="1"/>
    <col min="12487" max="12487" width="0.85546875" style="3" customWidth="1"/>
    <col min="12488" max="12488" width="11" style="3"/>
    <col min="12489" max="12489" width="15.42578125" style="3" customWidth="1"/>
    <col min="12490" max="12492" width="14.85546875" style="3" customWidth="1"/>
    <col min="12493" max="12493" width="0.7109375" style="3" customWidth="1"/>
    <col min="12494" max="12494" width="11" style="3"/>
    <col min="12495" max="12495" width="15.7109375" style="3" customWidth="1"/>
    <col min="12496" max="12497" width="14.85546875" style="3" customWidth="1"/>
    <col min="12498" max="12498" width="3.28515625" style="3" customWidth="1"/>
    <col min="12499" max="12499" width="20.140625" style="3" customWidth="1"/>
    <col min="12500" max="12500" width="3.28515625" style="3" customWidth="1"/>
    <col min="12501" max="12505" width="11" style="3"/>
    <col min="12506" max="12518" width="4.7109375" style="3" customWidth="1"/>
    <col min="12519" max="12728" width="11" style="3"/>
    <col min="12729" max="12729" width="0.7109375" style="3" customWidth="1"/>
    <col min="12730" max="12730" width="6.5703125" style="3" customWidth="1"/>
    <col min="12731" max="12731" width="13.5703125" style="3" customWidth="1"/>
    <col min="12732" max="12732" width="13.42578125" style="3" customWidth="1"/>
    <col min="12733" max="12734" width="12.5703125" style="3" customWidth="1"/>
    <col min="12735" max="12735" width="14.85546875" style="3" customWidth="1"/>
    <col min="12736" max="12736" width="20.7109375" style="3" customWidth="1"/>
    <col min="12737" max="12737" width="12.5703125" style="3" customWidth="1"/>
    <col min="12738" max="12738" width="13" style="3" customWidth="1"/>
    <col min="12739" max="12739" width="16" style="3" customWidth="1"/>
    <col min="12740" max="12740" width="6.42578125" style="3" customWidth="1"/>
    <col min="12741" max="12741" width="16" style="3" customWidth="1"/>
    <col min="12742" max="12742" width="2.85546875" style="3" customWidth="1"/>
    <col min="12743" max="12743" width="0.85546875" style="3" customWidth="1"/>
    <col min="12744" max="12744" width="11" style="3"/>
    <col min="12745" max="12745" width="15.42578125" style="3" customWidth="1"/>
    <col min="12746" max="12748" width="14.85546875" style="3" customWidth="1"/>
    <col min="12749" max="12749" width="0.7109375" style="3" customWidth="1"/>
    <col min="12750" max="12750" width="11" style="3"/>
    <col min="12751" max="12751" width="15.7109375" style="3" customWidth="1"/>
    <col min="12752" max="12753" width="14.85546875" style="3" customWidth="1"/>
    <col min="12754" max="12754" width="3.28515625" style="3" customWidth="1"/>
    <col min="12755" max="12755" width="20.140625" style="3" customWidth="1"/>
    <col min="12756" max="12756" width="3.28515625" style="3" customWidth="1"/>
    <col min="12757" max="12761" width="11" style="3"/>
    <col min="12762" max="12774" width="4.7109375" style="3" customWidth="1"/>
    <col min="12775" max="12984" width="11" style="3"/>
    <col min="12985" max="12985" width="0.7109375" style="3" customWidth="1"/>
    <col min="12986" max="12986" width="6.5703125" style="3" customWidth="1"/>
    <col min="12987" max="12987" width="13.5703125" style="3" customWidth="1"/>
    <col min="12988" max="12988" width="13.42578125" style="3" customWidth="1"/>
    <col min="12989" max="12990" width="12.5703125" style="3" customWidth="1"/>
    <col min="12991" max="12991" width="14.85546875" style="3" customWidth="1"/>
    <col min="12992" max="12992" width="20.7109375" style="3" customWidth="1"/>
    <col min="12993" max="12993" width="12.5703125" style="3" customWidth="1"/>
    <col min="12994" max="12994" width="13" style="3" customWidth="1"/>
    <col min="12995" max="12995" width="16" style="3" customWidth="1"/>
    <col min="12996" max="12996" width="6.42578125" style="3" customWidth="1"/>
    <col min="12997" max="12997" width="16" style="3" customWidth="1"/>
    <col min="12998" max="12998" width="2.85546875" style="3" customWidth="1"/>
    <col min="12999" max="12999" width="0.85546875" style="3" customWidth="1"/>
    <col min="13000" max="13000" width="11" style="3"/>
    <col min="13001" max="13001" width="15.42578125" style="3" customWidth="1"/>
    <col min="13002" max="13004" width="14.85546875" style="3" customWidth="1"/>
    <col min="13005" max="13005" width="0.7109375" style="3" customWidth="1"/>
    <col min="13006" max="13006" width="11" style="3"/>
    <col min="13007" max="13007" width="15.7109375" style="3" customWidth="1"/>
    <col min="13008" max="13009" width="14.85546875" style="3" customWidth="1"/>
    <col min="13010" max="13010" width="3.28515625" style="3" customWidth="1"/>
    <col min="13011" max="13011" width="20.140625" style="3" customWidth="1"/>
    <col min="13012" max="13012" width="3.28515625" style="3" customWidth="1"/>
    <col min="13013" max="13017" width="11" style="3"/>
    <col min="13018" max="13030" width="4.7109375" style="3" customWidth="1"/>
    <col min="13031" max="13240" width="11" style="3"/>
    <col min="13241" max="13241" width="0.7109375" style="3" customWidth="1"/>
    <col min="13242" max="13242" width="6.5703125" style="3" customWidth="1"/>
    <col min="13243" max="13243" width="13.5703125" style="3" customWidth="1"/>
    <col min="13244" max="13244" width="13.42578125" style="3" customWidth="1"/>
    <col min="13245" max="13246" width="12.5703125" style="3" customWidth="1"/>
    <col min="13247" max="13247" width="14.85546875" style="3" customWidth="1"/>
    <col min="13248" max="13248" width="20.7109375" style="3" customWidth="1"/>
    <col min="13249" max="13249" width="12.5703125" style="3" customWidth="1"/>
    <col min="13250" max="13250" width="13" style="3" customWidth="1"/>
    <col min="13251" max="13251" width="16" style="3" customWidth="1"/>
    <col min="13252" max="13252" width="6.42578125" style="3" customWidth="1"/>
    <col min="13253" max="13253" width="16" style="3" customWidth="1"/>
    <col min="13254" max="13254" width="2.85546875" style="3" customWidth="1"/>
    <col min="13255" max="13255" width="0.85546875" style="3" customWidth="1"/>
    <col min="13256" max="13256" width="11" style="3"/>
    <col min="13257" max="13257" width="15.42578125" style="3" customWidth="1"/>
    <col min="13258" max="13260" width="14.85546875" style="3" customWidth="1"/>
    <col min="13261" max="13261" width="0.7109375" style="3" customWidth="1"/>
    <col min="13262" max="13262" width="11" style="3"/>
    <col min="13263" max="13263" width="15.7109375" style="3" customWidth="1"/>
    <col min="13264" max="13265" width="14.85546875" style="3" customWidth="1"/>
    <col min="13266" max="13266" width="3.28515625" style="3" customWidth="1"/>
    <col min="13267" max="13267" width="20.140625" style="3" customWidth="1"/>
    <col min="13268" max="13268" width="3.28515625" style="3" customWidth="1"/>
    <col min="13269" max="13273" width="11" style="3"/>
    <col min="13274" max="13286" width="4.7109375" style="3" customWidth="1"/>
    <col min="13287" max="13496" width="11" style="3"/>
    <col min="13497" max="13497" width="0.7109375" style="3" customWidth="1"/>
    <col min="13498" max="13498" width="6.5703125" style="3" customWidth="1"/>
    <col min="13499" max="13499" width="13.5703125" style="3" customWidth="1"/>
    <col min="13500" max="13500" width="13.42578125" style="3" customWidth="1"/>
    <col min="13501" max="13502" width="12.5703125" style="3" customWidth="1"/>
    <col min="13503" max="13503" width="14.85546875" style="3" customWidth="1"/>
    <col min="13504" max="13504" width="20.7109375" style="3" customWidth="1"/>
    <col min="13505" max="13505" width="12.5703125" style="3" customWidth="1"/>
    <col min="13506" max="13506" width="13" style="3" customWidth="1"/>
    <col min="13507" max="13507" width="16" style="3" customWidth="1"/>
    <col min="13508" max="13508" width="6.42578125" style="3" customWidth="1"/>
    <col min="13509" max="13509" width="16" style="3" customWidth="1"/>
    <col min="13510" max="13510" width="2.85546875" style="3" customWidth="1"/>
    <col min="13511" max="13511" width="0.85546875" style="3" customWidth="1"/>
    <col min="13512" max="13512" width="11" style="3"/>
    <col min="13513" max="13513" width="15.42578125" style="3" customWidth="1"/>
    <col min="13514" max="13516" width="14.85546875" style="3" customWidth="1"/>
    <col min="13517" max="13517" width="0.7109375" style="3" customWidth="1"/>
    <col min="13518" max="13518" width="11" style="3"/>
    <col min="13519" max="13519" width="15.7109375" style="3" customWidth="1"/>
    <col min="13520" max="13521" width="14.85546875" style="3" customWidth="1"/>
    <col min="13522" max="13522" width="3.28515625" style="3" customWidth="1"/>
    <col min="13523" max="13523" width="20.140625" style="3" customWidth="1"/>
    <col min="13524" max="13524" width="3.28515625" style="3" customWidth="1"/>
    <col min="13525" max="13529" width="11" style="3"/>
    <col min="13530" max="13542" width="4.7109375" style="3" customWidth="1"/>
    <col min="13543" max="13752" width="11" style="3"/>
    <col min="13753" max="13753" width="0.7109375" style="3" customWidth="1"/>
    <col min="13754" max="13754" width="6.5703125" style="3" customWidth="1"/>
    <col min="13755" max="13755" width="13.5703125" style="3" customWidth="1"/>
    <col min="13756" max="13756" width="13.42578125" style="3" customWidth="1"/>
    <col min="13757" max="13758" width="12.5703125" style="3" customWidth="1"/>
    <col min="13759" max="13759" width="14.85546875" style="3" customWidth="1"/>
    <col min="13760" max="13760" width="20.7109375" style="3" customWidth="1"/>
    <col min="13761" max="13761" width="12.5703125" style="3" customWidth="1"/>
    <col min="13762" max="13762" width="13" style="3" customWidth="1"/>
    <col min="13763" max="13763" width="16" style="3" customWidth="1"/>
    <col min="13764" max="13764" width="6.42578125" style="3" customWidth="1"/>
    <col min="13765" max="13765" width="16" style="3" customWidth="1"/>
    <col min="13766" max="13766" width="2.85546875" style="3" customWidth="1"/>
    <col min="13767" max="13767" width="0.85546875" style="3" customWidth="1"/>
    <col min="13768" max="13768" width="11" style="3"/>
    <col min="13769" max="13769" width="15.42578125" style="3" customWidth="1"/>
    <col min="13770" max="13772" width="14.85546875" style="3" customWidth="1"/>
    <col min="13773" max="13773" width="0.7109375" style="3" customWidth="1"/>
    <col min="13774" max="13774" width="11" style="3"/>
    <col min="13775" max="13775" width="15.7109375" style="3" customWidth="1"/>
    <col min="13776" max="13777" width="14.85546875" style="3" customWidth="1"/>
    <col min="13778" max="13778" width="3.28515625" style="3" customWidth="1"/>
    <col min="13779" max="13779" width="20.140625" style="3" customWidth="1"/>
    <col min="13780" max="13780" width="3.28515625" style="3" customWidth="1"/>
    <col min="13781" max="13785" width="11" style="3"/>
    <col min="13786" max="13798" width="4.7109375" style="3" customWidth="1"/>
    <col min="13799" max="14008" width="11" style="3"/>
    <col min="14009" max="14009" width="0.7109375" style="3" customWidth="1"/>
    <col min="14010" max="14010" width="6.5703125" style="3" customWidth="1"/>
    <col min="14011" max="14011" width="13.5703125" style="3" customWidth="1"/>
    <col min="14012" max="14012" width="13.42578125" style="3" customWidth="1"/>
    <col min="14013" max="14014" width="12.5703125" style="3" customWidth="1"/>
    <col min="14015" max="14015" width="14.85546875" style="3" customWidth="1"/>
    <col min="14016" max="14016" width="20.7109375" style="3" customWidth="1"/>
    <col min="14017" max="14017" width="12.5703125" style="3" customWidth="1"/>
    <col min="14018" max="14018" width="13" style="3" customWidth="1"/>
    <col min="14019" max="14019" width="16" style="3" customWidth="1"/>
    <col min="14020" max="14020" width="6.42578125" style="3" customWidth="1"/>
    <col min="14021" max="14021" width="16" style="3" customWidth="1"/>
    <col min="14022" max="14022" width="2.85546875" style="3" customWidth="1"/>
    <col min="14023" max="14023" width="0.85546875" style="3" customWidth="1"/>
    <col min="14024" max="14024" width="11" style="3"/>
    <col min="14025" max="14025" width="15.42578125" style="3" customWidth="1"/>
    <col min="14026" max="14028" width="14.85546875" style="3" customWidth="1"/>
    <col min="14029" max="14029" width="0.7109375" style="3" customWidth="1"/>
    <col min="14030" max="14030" width="11" style="3"/>
    <col min="14031" max="14031" width="15.7109375" style="3" customWidth="1"/>
    <col min="14032" max="14033" width="14.85546875" style="3" customWidth="1"/>
    <col min="14034" max="14034" width="3.28515625" style="3" customWidth="1"/>
    <col min="14035" max="14035" width="20.140625" style="3" customWidth="1"/>
    <col min="14036" max="14036" width="3.28515625" style="3" customWidth="1"/>
    <col min="14037" max="14041" width="11" style="3"/>
    <col min="14042" max="14054" width="4.7109375" style="3" customWidth="1"/>
    <col min="14055" max="14264" width="11" style="3"/>
    <col min="14265" max="14265" width="0.7109375" style="3" customWidth="1"/>
    <col min="14266" max="14266" width="6.5703125" style="3" customWidth="1"/>
    <col min="14267" max="14267" width="13.5703125" style="3" customWidth="1"/>
    <col min="14268" max="14268" width="13.42578125" style="3" customWidth="1"/>
    <col min="14269" max="14270" width="12.5703125" style="3" customWidth="1"/>
    <col min="14271" max="14271" width="14.85546875" style="3" customWidth="1"/>
    <col min="14272" max="14272" width="20.7109375" style="3" customWidth="1"/>
    <col min="14273" max="14273" width="12.5703125" style="3" customWidth="1"/>
    <col min="14274" max="14274" width="13" style="3" customWidth="1"/>
    <col min="14275" max="14275" width="16" style="3" customWidth="1"/>
    <col min="14276" max="14276" width="6.42578125" style="3" customWidth="1"/>
    <col min="14277" max="14277" width="16" style="3" customWidth="1"/>
    <col min="14278" max="14278" width="2.85546875" style="3" customWidth="1"/>
    <col min="14279" max="14279" width="0.85546875" style="3" customWidth="1"/>
    <col min="14280" max="14280" width="11" style="3"/>
    <col min="14281" max="14281" width="15.42578125" style="3" customWidth="1"/>
    <col min="14282" max="14284" width="14.85546875" style="3" customWidth="1"/>
    <col min="14285" max="14285" width="0.7109375" style="3" customWidth="1"/>
    <col min="14286" max="14286" width="11" style="3"/>
    <col min="14287" max="14287" width="15.7109375" style="3" customWidth="1"/>
    <col min="14288" max="14289" width="14.85546875" style="3" customWidth="1"/>
    <col min="14290" max="14290" width="3.28515625" style="3" customWidth="1"/>
    <col min="14291" max="14291" width="20.140625" style="3" customWidth="1"/>
    <col min="14292" max="14292" width="3.28515625" style="3" customWidth="1"/>
    <col min="14293" max="14297" width="11" style="3"/>
    <col min="14298" max="14310" width="4.7109375" style="3" customWidth="1"/>
    <col min="14311" max="14520" width="11" style="3"/>
    <col min="14521" max="14521" width="0.7109375" style="3" customWidth="1"/>
    <col min="14522" max="14522" width="6.5703125" style="3" customWidth="1"/>
    <col min="14523" max="14523" width="13.5703125" style="3" customWidth="1"/>
    <col min="14524" max="14524" width="13.42578125" style="3" customWidth="1"/>
    <col min="14525" max="14526" width="12.5703125" style="3" customWidth="1"/>
    <col min="14527" max="14527" width="14.85546875" style="3" customWidth="1"/>
    <col min="14528" max="14528" width="20.7109375" style="3" customWidth="1"/>
    <col min="14529" max="14529" width="12.5703125" style="3" customWidth="1"/>
    <col min="14530" max="14530" width="13" style="3" customWidth="1"/>
    <col min="14531" max="14531" width="16" style="3" customWidth="1"/>
    <col min="14532" max="14532" width="6.42578125" style="3" customWidth="1"/>
    <col min="14533" max="14533" width="16" style="3" customWidth="1"/>
    <col min="14534" max="14534" width="2.85546875" style="3" customWidth="1"/>
    <col min="14535" max="14535" width="0.85546875" style="3" customWidth="1"/>
    <col min="14536" max="14536" width="11" style="3"/>
    <col min="14537" max="14537" width="15.42578125" style="3" customWidth="1"/>
    <col min="14538" max="14540" width="14.85546875" style="3" customWidth="1"/>
    <col min="14541" max="14541" width="0.7109375" style="3" customWidth="1"/>
    <col min="14542" max="14542" width="11" style="3"/>
    <col min="14543" max="14543" width="15.7109375" style="3" customWidth="1"/>
    <col min="14544" max="14545" width="14.85546875" style="3" customWidth="1"/>
    <col min="14546" max="14546" width="3.28515625" style="3" customWidth="1"/>
    <col min="14547" max="14547" width="20.140625" style="3" customWidth="1"/>
    <col min="14548" max="14548" width="3.28515625" style="3" customWidth="1"/>
    <col min="14549" max="14553" width="11" style="3"/>
    <col min="14554" max="14566" width="4.7109375" style="3" customWidth="1"/>
    <col min="14567" max="14776" width="11" style="3"/>
    <col min="14777" max="14777" width="0.7109375" style="3" customWidth="1"/>
    <col min="14778" max="14778" width="6.5703125" style="3" customWidth="1"/>
    <col min="14779" max="14779" width="13.5703125" style="3" customWidth="1"/>
    <col min="14780" max="14780" width="13.42578125" style="3" customWidth="1"/>
    <col min="14781" max="14782" width="12.5703125" style="3" customWidth="1"/>
    <col min="14783" max="14783" width="14.85546875" style="3" customWidth="1"/>
    <col min="14784" max="14784" width="20.7109375" style="3" customWidth="1"/>
    <col min="14785" max="14785" width="12.5703125" style="3" customWidth="1"/>
    <col min="14786" max="14786" width="13" style="3" customWidth="1"/>
    <col min="14787" max="14787" width="16" style="3" customWidth="1"/>
    <col min="14788" max="14788" width="6.42578125" style="3" customWidth="1"/>
    <col min="14789" max="14789" width="16" style="3" customWidth="1"/>
    <col min="14790" max="14790" width="2.85546875" style="3" customWidth="1"/>
    <col min="14791" max="14791" width="0.85546875" style="3" customWidth="1"/>
    <col min="14792" max="14792" width="11" style="3"/>
    <col min="14793" max="14793" width="15.42578125" style="3" customWidth="1"/>
    <col min="14794" max="14796" width="14.85546875" style="3" customWidth="1"/>
    <col min="14797" max="14797" width="0.7109375" style="3" customWidth="1"/>
    <col min="14798" max="14798" width="11" style="3"/>
    <col min="14799" max="14799" width="15.7109375" style="3" customWidth="1"/>
    <col min="14800" max="14801" width="14.85546875" style="3" customWidth="1"/>
    <col min="14802" max="14802" width="3.28515625" style="3" customWidth="1"/>
    <col min="14803" max="14803" width="20.140625" style="3" customWidth="1"/>
    <col min="14804" max="14804" width="3.28515625" style="3" customWidth="1"/>
    <col min="14805" max="14809" width="11" style="3"/>
    <col min="14810" max="14822" width="4.7109375" style="3" customWidth="1"/>
    <col min="14823" max="15032" width="11" style="3"/>
    <col min="15033" max="15033" width="0.7109375" style="3" customWidth="1"/>
    <col min="15034" max="15034" width="6.5703125" style="3" customWidth="1"/>
    <col min="15035" max="15035" width="13.5703125" style="3" customWidth="1"/>
    <col min="15036" max="15036" width="13.42578125" style="3" customWidth="1"/>
    <col min="15037" max="15038" width="12.5703125" style="3" customWidth="1"/>
    <col min="15039" max="15039" width="14.85546875" style="3" customWidth="1"/>
    <col min="15040" max="15040" width="20.7109375" style="3" customWidth="1"/>
    <col min="15041" max="15041" width="12.5703125" style="3" customWidth="1"/>
    <col min="15042" max="15042" width="13" style="3" customWidth="1"/>
    <col min="15043" max="15043" width="16" style="3" customWidth="1"/>
    <col min="15044" max="15044" width="6.42578125" style="3" customWidth="1"/>
    <col min="15045" max="15045" width="16" style="3" customWidth="1"/>
    <col min="15046" max="15046" width="2.85546875" style="3" customWidth="1"/>
    <col min="15047" max="15047" width="0.85546875" style="3" customWidth="1"/>
    <col min="15048" max="15048" width="11" style="3"/>
    <col min="15049" max="15049" width="15.42578125" style="3" customWidth="1"/>
    <col min="15050" max="15052" width="14.85546875" style="3" customWidth="1"/>
    <col min="15053" max="15053" width="0.7109375" style="3" customWidth="1"/>
    <col min="15054" max="15054" width="11" style="3"/>
    <col min="15055" max="15055" width="15.7109375" style="3" customWidth="1"/>
    <col min="15056" max="15057" width="14.85546875" style="3" customWidth="1"/>
    <col min="15058" max="15058" width="3.28515625" style="3" customWidth="1"/>
    <col min="15059" max="15059" width="20.140625" style="3" customWidth="1"/>
    <col min="15060" max="15060" width="3.28515625" style="3" customWidth="1"/>
    <col min="15061" max="15065" width="11" style="3"/>
    <col min="15066" max="15078" width="4.7109375" style="3" customWidth="1"/>
    <col min="15079" max="15288" width="11" style="3"/>
    <col min="15289" max="15289" width="0.7109375" style="3" customWidth="1"/>
    <col min="15290" max="15290" width="6.5703125" style="3" customWidth="1"/>
    <col min="15291" max="15291" width="13.5703125" style="3" customWidth="1"/>
    <col min="15292" max="15292" width="13.42578125" style="3" customWidth="1"/>
    <col min="15293" max="15294" width="12.5703125" style="3" customWidth="1"/>
    <col min="15295" max="15295" width="14.85546875" style="3" customWidth="1"/>
    <col min="15296" max="15296" width="20.7109375" style="3" customWidth="1"/>
    <col min="15297" max="15297" width="12.5703125" style="3" customWidth="1"/>
    <col min="15298" max="15298" width="13" style="3" customWidth="1"/>
    <col min="15299" max="15299" width="16" style="3" customWidth="1"/>
    <col min="15300" max="15300" width="6.42578125" style="3" customWidth="1"/>
    <col min="15301" max="15301" width="16" style="3" customWidth="1"/>
    <col min="15302" max="15302" width="2.85546875" style="3" customWidth="1"/>
    <col min="15303" max="15303" width="0.85546875" style="3" customWidth="1"/>
    <col min="15304" max="15304" width="11" style="3"/>
    <col min="15305" max="15305" width="15.42578125" style="3" customWidth="1"/>
    <col min="15306" max="15308" width="14.85546875" style="3" customWidth="1"/>
    <col min="15309" max="15309" width="0.7109375" style="3" customWidth="1"/>
    <col min="15310" max="15310" width="11" style="3"/>
    <col min="15311" max="15311" width="15.7109375" style="3" customWidth="1"/>
    <col min="15312" max="15313" width="14.85546875" style="3" customWidth="1"/>
    <col min="15314" max="15314" width="3.28515625" style="3" customWidth="1"/>
    <col min="15315" max="15315" width="20.140625" style="3" customWidth="1"/>
    <col min="15316" max="15316" width="3.28515625" style="3" customWidth="1"/>
    <col min="15317" max="15321" width="11" style="3"/>
    <col min="15322" max="15334" width="4.7109375" style="3" customWidth="1"/>
    <col min="15335" max="15544" width="11" style="3"/>
    <col min="15545" max="15545" width="0.7109375" style="3" customWidth="1"/>
    <col min="15546" max="15546" width="6.5703125" style="3" customWidth="1"/>
    <col min="15547" max="15547" width="13.5703125" style="3" customWidth="1"/>
    <col min="15548" max="15548" width="13.42578125" style="3" customWidth="1"/>
    <col min="15549" max="15550" width="12.5703125" style="3" customWidth="1"/>
    <col min="15551" max="15551" width="14.85546875" style="3" customWidth="1"/>
    <col min="15552" max="15552" width="20.7109375" style="3" customWidth="1"/>
    <col min="15553" max="15553" width="12.5703125" style="3" customWidth="1"/>
    <col min="15554" max="15554" width="13" style="3" customWidth="1"/>
    <col min="15555" max="15555" width="16" style="3" customWidth="1"/>
    <col min="15556" max="15556" width="6.42578125" style="3" customWidth="1"/>
    <col min="15557" max="15557" width="16" style="3" customWidth="1"/>
    <col min="15558" max="15558" width="2.85546875" style="3" customWidth="1"/>
    <col min="15559" max="15559" width="0.85546875" style="3" customWidth="1"/>
    <col min="15560" max="15560" width="11" style="3"/>
    <col min="15561" max="15561" width="15.42578125" style="3" customWidth="1"/>
    <col min="15562" max="15564" width="14.85546875" style="3" customWidth="1"/>
    <col min="15565" max="15565" width="0.7109375" style="3" customWidth="1"/>
    <col min="15566" max="15566" width="11" style="3"/>
    <col min="15567" max="15567" width="15.7109375" style="3" customWidth="1"/>
    <col min="15568" max="15569" width="14.85546875" style="3" customWidth="1"/>
    <col min="15570" max="15570" width="3.28515625" style="3" customWidth="1"/>
    <col min="15571" max="15571" width="20.140625" style="3" customWidth="1"/>
    <col min="15572" max="15572" width="3.28515625" style="3" customWidth="1"/>
    <col min="15573" max="15577" width="11" style="3"/>
    <col min="15578" max="15590" width="4.7109375" style="3" customWidth="1"/>
    <col min="15591" max="15800" width="11" style="3"/>
    <col min="15801" max="15801" width="0.7109375" style="3" customWidth="1"/>
    <col min="15802" max="15802" width="6.5703125" style="3" customWidth="1"/>
    <col min="15803" max="15803" width="13.5703125" style="3" customWidth="1"/>
    <col min="15804" max="15804" width="13.42578125" style="3" customWidth="1"/>
    <col min="15805" max="15806" width="12.5703125" style="3" customWidth="1"/>
    <col min="15807" max="15807" width="14.85546875" style="3" customWidth="1"/>
    <col min="15808" max="15808" width="20.7109375" style="3" customWidth="1"/>
    <col min="15809" max="15809" width="12.5703125" style="3" customWidth="1"/>
    <col min="15810" max="15810" width="13" style="3" customWidth="1"/>
    <col min="15811" max="15811" width="16" style="3" customWidth="1"/>
    <col min="15812" max="15812" width="6.42578125" style="3" customWidth="1"/>
    <col min="15813" max="15813" width="16" style="3" customWidth="1"/>
    <col min="15814" max="15814" width="2.85546875" style="3" customWidth="1"/>
    <col min="15815" max="15815" width="0.85546875" style="3" customWidth="1"/>
    <col min="15816" max="15816" width="11" style="3"/>
    <col min="15817" max="15817" width="15.42578125" style="3" customWidth="1"/>
    <col min="15818" max="15820" width="14.85546875" style="3" customWidth="1"/>
    <col min="15821" max="15821" width="0.7109375" style="3" customWidth="1"/>
    <col min="15822" max="15822" width="11" style="3"/>
    <col min="15823" max="15823" width="15.7109375" style="3" customWidth="1"/>
    <col min="15824" max="15825" width="14.85546875" style="3" customWidth="1"/>
    <col min="15826" max="15826" width="3.28515625" style="3" customWidth="1"/>
    <col min="15827" max="15827" width="20.140625" style="3" customWidth="1"/>
    <col min="15828" max="15828" width="3.28515625" style="3" customWidth="1"/>
    <col min="15829" max="15833" width="11" style="3"/>
    <col min="15834" max="15846" width="4.7109375" style="3" customWidth="1"/>
    <col min="15847" max="16056" width="11" style="3"/>
    <col min="16057" max="16057" width="0.7109375" style="3" customWidth="1"/>
    <col min="16058" max="16058" width="6.5703125" style="3" customWidth="1"/>
    <col min="16059" max="16059" width="13.5703125" style="3" customWidth="1"/>
    <col min="16060" max="16060" width="13.42578125" style="3" customWidth="1"/>
    <col min="16061" max="16062" width="12.5703125" style="3" customWidth="1"/>
    <col min="16063" max="16063" width="14.85546875" style="3" customWidth="1"/>
    <col min="16064" max="16064" width="20.7109375" style="3" customWidth="1"/>
    <col min="16065" max="16065" width="12.5703125" style="3" customWidth="1"/>
    <col min="16066" max="16066" width="13" style="3" customWidth="1"/>
    <col min="16067" max="16067" width="16" style="3" customWidth="1"/>
    <col min="16068" max="16068" width="6.42578125" style="3" customWidth="1"/>
    <col min="16069" max="16069" width="16" style="3" customWidth="1"/>
    <col min="16070" max="16070" width="2.85546875" style="3" customWidth="1"/>
    <col min="16071" max="16071" width="0.85546875" style="3" customWidth="1"/>
    <col min="16072" max="16072" width="11" style="3"/>
    <col min="16073" max="16073" width="15.42578125" style="3" customWidth="1"/>
    <col min="16074" max="16076" width="14.85546875" style="3" customWidth="1"/>
    <col min="16077" max="16077" width="0.7109375" style="3" customWidth="1"/>
    <col min="16078" max="16078" width="11" style="3"/>
    <col min="16079" max="16079" width="15.7109375" style="3" customWidth="1"/>
    <col min="16080" max="16081" width="14.85546875" style="3" customWidth="1"/>
    <col min="16082" max="16082" width="3.28515625" style="3" customWidth="1"/>
    <col min="16083" max="16083" width="20.140625" style="3" customWidth="1"/>
    <col min="16084" max="16084" width="3.28515625" style="3" customWidth="1"/>
    <col min="16085" max="16089" width="11" style="3"/>
    <col min="16090" max="16102" width="4.7109375" style="3" customWidth="1"/>
    <col min="16103" max="16384" width="11" style="3"/>
  </cols>
  <sheetData>
    <row r="1" spans="1:28" s="1" customFormat="1" ht="19.5" customHeight="1">
      <c r="A1" s="236"/>
      <c r="B1" s="237"/>
      <c r="C1" s="179" t="s">
        <v>0</v>
      </c>
      <c r="D1" s="179"/>
      <c r="E1" s="179"/>
      <c r="F1" s="179"/>
      <c r="G1" s="179"/>
      <c r="H1" s="179"/>
      <c r="I1" s="179"/>
      <c r="J1" s="179"/>
      <c r="K1" s="180" t="s">
        <v>1</v>
      </c>
      <c r="L1" s="181"/>
      <c r="O1" s="80"/>
      <c r="P1" s="80"/>
      <c r="Q1" s="80"/>
      <c r="R1" s="80"/>
      <c r="S1" s="80"/>
      <c r="T1" s="80"/>
      <c r="U1" s="80"/>
      <c r="V1" s="80"/>
      <c r="W1" s="80"/>
      <c r="X1" s="80"/>
      <c r="Y1" s="80"/>
      <c r="Z1" s="80"/>
      <c r="AA1" s="80"/>
    </row>
    <row r="2" spans="1:28" s="1" customFormat="1" ht="19.5" customHeight="1">
      <c r="A2" s="238"/>
      <c r="B2" s="186"/>
      <c r="C2" s="241" t="s">
        <v>2</v>
      </c>
      <c r="D2" s="241"/>
      <c r="E2" s="241"/>
      <c r="F2" s="241"/>
      <c r="G2" s="241"/>
      <c r="H2" s="241"/>
      <c r="I2" s="241"/>
      <c r="J2" s="241"/>
      <c r="K2" s="182" t="s">
        <v>89</v>
      </c>
      <c r="L2" s="183"/>
      <c r="O2" s="80"/>
      <c r="P2" s="80"/>
      <c r="Q2" s="80"/>
      <c r="R2" s="80"/>
      <c r="S2" s="80"/>
      <c r="T2" s="80"/>
      <c r="U2" s="80"/>
      <c r="V2" s="80"/>
      <c r="W2" s="80"/>
      <c r="X2" s="80"/>
      <c r="Y2" s="80"/>
      <c r="Z2" s="80"/>
      <c r="AA2" s="80"/>
    </row>
    <row r="3" spans="1:28" s="1" customFormat="1" ht="19.5" customHeight="1">
      <c r="A3" s="238"/>
      <c r="B3" s="186"/>
      <c r="C3" s="241"/>
      <c r="D3" s="241"/>
      <c r="E3" s="241"/>
      <c r="F3" s="241"/>
      <c r="G3" s="241"/>
      <c r="H3" s="241"/>
      <c r="I3" s="241"/>
      <c r="J3" s="241"/>
      <c r="K3" s="182" t="s">
        <v>3</v>
      </c>
      <c r="L3" s="183"/>
      <c r="Q3" s="132"/>
      <c r="R3" s="80"/>
      <c r="T3" s="132" t="s">
        <v>4</v>
      </c>
      <c r="U3" s="132"/>
      <c r="V3" s="80"/>
      <c r="W3" s="80"/>
      <c r="X3" s="80"/>
      <c r="Y3" s="80"/>
      <c r="Z3" s="80"/>
      <c r="AA3" s="80"/>
    </row>
    <row r="4" spans="1:28" s="1" customFormat="1" ht="19.5" customHeight="1" thickBot="1">
      <c r="A4" s="239"/>
      <c r="B4" s="240"/>
      <c r="C4" s="242"/>
      <c r="D4" s="242"/>
      <c r="E4" s="242"/>
      <c r="F4" s="242"/>
      <c r="G4" s="242"/>
      <c r="H4" s="242"/>
      <c r="I4" s="242"/>
      <c r="J4" s="242"/>
      <c r="K4" s="184" t="s">
        <v>88</v>
      </c>
      <c r="L4" s="185"/>
      <c r="Q4" s="132"/>
      <c r="R4" s="80"/>
      <c r="S4" s="132"/>
      <c r="T4" s="132"/>
      <c r="U4" s="132"/>
      <c r="V4" s="80"/>
      <c r="W4" s="80"/>
      <c r="X4" s="80"/>
      <c r="Y4" s="80"/>
      <c r="Z4" s="80"/>
      <c r="AA4" s="80"/>
    </row>
    <row r="5" spans="1:28" s="1" customFormat="1" ht="3.95" customHeight="1" thickBot="1">
      <c r="A5" s="5"/>
      <c r="B5" s="186"/>
      <c r="C5" s="186"/>
      <c r="D5" s="186"/>
      <c r="E5" s="186"/>
      <c r="F5" s="186"/>
      <c r="G5" s="186"/>
      <c r="H5" s="186"/>
      <c r="I5" s="186"/>
      <c r="J5" s="186"/>
      <c r="K5" s="186"/>
      <c r="L5" s="81"/>
      <c r="Q5" s="132"/>
      <c r="R5" s="132"/>
      <c r="T5" s="132"/>
      <c r="U5" s="132"/>
      <c r="V5" s="80"/>
      <c r="W5" s="80"/>
      <c r="X5" s="80"/>
      <c r="Y5" s="80"/>
      <c r="Z5" s="80"/>
      <c r="AA5" s="80"/>
      <c r="AB5" s="80"/>
    </row>
    <row r="6" spans="1:28" s="1" customFormat="1" ht="22.5" customHeight="1">
      <c r="A6" s="6"/>
      <c r="B6" s="7" t="s">
        <v>5</v>
      </c>
      <c r="C6" s="273" t="s">
        <v>91</v>
      </c>
      <c r="D6" s="273"/>
      <c r="E6" s="273"/>
      <c r="F6" s="273"/>
      <c r="G6" s="273"/>
      <c r="H6" s="188" t="s">
        <v>6</v>
      </c>
      <c r="I6" s="188"/>
      <c r="J6" s="189">
        <v>45884</v>
      </c>
      <c r="K6" s="189"/>
      <c r="L6" s="190"/>
      <c r="Q6" s="80"/>
      <c r="R6" s="80"/>
      <c r="T6" s="133" t="s">
        <v>7</v>
      </c>
      <c r="U6" s="80"/>
      <c r="V6" s="80"/>
      <c r="W6" s="80"/>
      <c r="X6" s="80"/>
      <c r="Y6" s="80"/>
      <c r="Z6" s="80"/>
      <c r="AA6" s="80"/>
      <c r="AB6" s="80"/>
    </row>
    <row r="7" spans="1:28" s="1" customFormat="1" ht="24.75" customHeight="1">
      <c r="A7" s="5"/>
      <c r="B7" s="9" t="s">
        <v>8</v>
      </c>
      <c r="C7" s="274" t="s">
        <v>92</v>
      </c>
      <c r="D7" s="274"/>
      <c r="E7" s="274"/>
      <c r="F7" s="274"/>
      <c r="G7" s="274"/>
      <c r="H7" s="192" t="s">
        <v>9</v>
      </c>
      <c r="I7" s="192"/>
      <c r="J7" s="193">
        <v>45937</v>
      </c>
      <c r="K7" s="193"/>
      <c r="L7" s="194"/>
      <c r="Q7" s="80"/>
      <c r="R7" s="80"/>
      <c r="T7" s="133" t="s">
        <v>10</v>
      </c>
      <c r="U7" s="80"/>
      <c r="V7" s="80"/>
      <c r="W7" s="80"/>
      <c r="X7" s="80"/>
      <c r="Y7" s="80"/>
      <c r="Z7" s="80"/>
      <c r="AA7" s="80"/>
      <c r="AB7" s="80"/>
    </row>
    <row r="8" spans="1:28" s="1" customFormat="1" ht="22.5" customHeight="1">
      <c r="A8" s="5"/>
      <c r="B8" s="9" t="s">
        <v>11</v>
      </c>
      <c r="C8" s="271" t="s">
        <v>12</v>
      </c>
      <c r="D8" s="272"/>
      <c r="E8" s="272"/>
      <c r="F8" s="272"/>
      <c r="G8" s="272"/>
      <c r="H8" s="192" t="s">
        <v>13</v>
      </c>
      <c r="I8" s="192"/>
      <c r="J8" s="193">
        <v>45968</v>
      </c>
      <c r="K8" s="193"/>
      <c r="L8" s="194"/>
      <c r="Q8" s="80"/>
      <c r="R8" s="80"/>
      <c r="S8" s="1">
        <f>17-2.57</f>
        <v>14.43</v>
      </c>
      <c r="T8" s="133" t="s">
        <v>14</v>
      </c>
      <c r="U8" s="80"/>
      <c r="V8" s="80"/>
      <c r="W8" s="80"/>
      <c r="X8" s="80"/>
      <c r="Y8" s="80"/>
      <c r="Z8" s="80"/>
      <c r="AA8" s="80"/>
      <c r="AB8" s="80"/>
    </row>
    <row r="9" spans="1:28" s="1" customFormat="1" ht="22.5" customHeight="1">
      <c r="A9" s="5"/>
      <c r="B9" s="9" t="s">
        <v>15</v>
      </c>
      <c r="C9" s="202" t="s">
        <v>93</v>
      </c>
      <c r="D9" s="202"/>
      <c r="E9" s="202"/>
      <c r="F9" s="202"/>
      <c r="G9" s="202"/>
      <c r="H9" s="192" t="s">
        <v>16</v>
      </c>
      <c r="I9" s="192"/>
      <c r="J9" s="82" t="s">
        <v>17</v>
      </c>
      <c r="K9" s="83" t="s">
        <v>90</v>
      </c>
      <c r="L9" s="84" t="s">
        <v>85</v>
      </c>
      <c r="Q9" s="80"/>
      <c r="R9" s="80"/>
      <c r="T9" s="133" t="s">
        <v>18</v>
      </c>
      <c r="U9" s="80"/>
      <c r="V9" s="80"/>
      <c r="W9" s="80"/>
      <c r="X9" s="80"/>
      <c r="Y9" s="80"/>
      <c r="Z9" s="80"/>
      <c r="AA9" s="80"/>
      <c r="AB9" s="80"/>
    </row>
    <row r="10" spans="1:28" s="1" customFormat="1" ht="22.5" customHeight="1">
      <c r="A10" s="5"/>
      <c r="B10" s="10" t="s">
        <v>19</v>
      </c>
      <c r="C10" s="202" t="s">
        <v>20</v>
      </c>
      <c r="D10" s="202"/>
      <c r="E10" s="202"/>
      <c r="F10" s="202"/>
      <c r="G10" s="202"/>
      <c r="H10" s="196" t="s">
        <v>21</v>
      </c>
      <c r="I10" s="196"/>
      <c r="J10" s="197" t="str">
        <f>CONCATENATE(K9,," ",L9,"-",D12,"-",F12)</f>
        <v>056 25-UNIVALLE AP2 -3</v>
      </c>
      <c r="K10" s="197"/>
      <c r="L10" s="198"/>
      <c r="Q10" s="80"/>
      <c r="R10" s="80"/>
      <c r="T10" s="133" t="s">
        <v>22</v>
      </c>
      <c r="U10" s="80"/>
      <c r="V10" s="80"/>
      <c r="W10" s="80"/>
      <c r="X10" s="80"/>
      <c r="Y10" s="80"/>
      <c r="Z10" s="80"/>
      <c r="AA10" s="80"/>
      <c r="AB10" s="80"/>
    </row>
    <row r="11" spans="1:28" s="1" customFormat="1" ht="3.95" customHeight="1" thickBot="1">
      <c r="A11" s="11"/>
      <c r="B11" s="199"/>
      <c r="C11" s="199"/>
      <c r="D11" s="199"/>
      <c r="E11" s="199"/>
      <c r="F11" s="199"/>
      <c r="G11" s="199"/>
      <c r="H11" s="199"/>
      <c r="I11" s="199"/>
      <c r="J11" s="199"/>
      <c r="K11" s="199"/>
      <c r="L11" s="85"/>
      <c r="Q11" s="80"/>
      <c r="R11" s="80"/>
      <c r="T11" s="133"/>
      <c r="U11" s="80"/>
      <c r="V11" s="80"/>
      <c r="W11" s="80"/>
      <c r="X11" s="80"/>
      <c r="Y11" s="80"/>
      <c r="Z11" s="80"/>
      <c r="AA11" s="80"/>
      <c r="AB11" s="80"/>
    </row>
    <row r="12" spans="1:28" s="1" customFormat="1" ht="22.5" customHeight="1">
      <c r="A12" s="6"/>
      <c r="B12" s="7" t="s">
        <v>23</v>
      </c>
      <c r="C12" s="12" t="s">
        <v>10</v>
      </c>
      <c r="D12" s="13" t="s">
        <v>127</v>
      </c>
      <c r="E12" s="14" t="s">
        <v>24</v>
      </c>
      <c r="F12" s="200">
        <v>3</v>
      </c>
      <c r="G12" s="200"/>
      <c r="H12" s="201" t="s">
        <v>25</v>
      </c>
      <c r="I12" s="201"/>
      <c r="J12" s="86">
        <v>1.2</v>
      </c>
      <c r="K12" s="87" t="s">
        <v>26</v>
      </c>
      <c r="L12" s="88">
        <v>1.5</v>
      </c>
      <c r="Q12" s="80"/>
      <c r="R12" s="80"/>
      <c r="T12" s="133"/>
      <c r="U12" s="80"/>
      <c r="V12" s="80"/>
      <c r="W12" s="80"/>
      <c r="X12" s="80"/>
      <c r="Y12" s="80"/>
      <c r="Z12" s="80"/>
      <c r="AA12" s="80"/>
      <c r="AB12" s="80"/>
    </row>
    <row r="13" spans="1:28" s="1" customFormat="1" ht="22.5" customHeight="1">
      <c r="A13" s="5"/>
      <c r="B13" s="9" t="s">
        <v>27</v>
      </c>
      <c r="C13" s="202" t="s">
        <v>130</v>
      </c>
      <c r="D13" s="202"/>
      <c r="E13" s="202"/>
      <c r="F13" s="202"/>
      <c r="G13" s="202"/>
      <c r="H13" s="202"/>
      <c r="I13" s="202"/>
      <c r="J13" s="202"/>
      <c r="K13" s="202"/>
      <c r="L13" s="203"/>
      <c r="O13" s="1">
        <f>-MOD1</f>
        <v>0</v>
      </c>
      <c r="Q13" s="80"/>
      <c r="R13" s="80"/>
      <c r="T13" s="133"/>
      <c r="U13" s="80"/>
      <c r="V13" s="80"/>
      <c r="W13" s="80"/>
      <c r="X13" s="80"/>
      <c r="Y13" s="80"/>
      <c r="Z13" s="80"/>
      <c r="AA13" s="80"/>
      <c r="AB13" s="80"/>
    </row>
    <row r="14" spans="1:28" s="1" customFormat="1" ht="6.95" customHeight="1" thickBot="1">
      <c r="A14" s="11"/>
      <c r="B14" s="15"/>
      <c r="C14" s="16"/>
      <c r="D14" s="16"/>
      <c r="E14" s="16"/>
      <c r="F14" s="16"/>
      <c r="G14" s="16"/>
      <c r="H14" s="16"/>
      <c r="I14" s="16"/>
      <c r="J14" s="16"/>
      <c r="K14" s="16"/>
      <c r="L14" s="89"/>
      <c r="P14" s="80"/>
      <c r="Q14" s="80"/>
      <c r="R14" s="80"/>
      <c r="S14" s="80"/>
      <c r="T14" s="80"/>
      <c r="U14" s="80"/>
      <c r="V14" s="80"/>
      <c r="W14" s="80"/>
      <c r="X14" s="80"/>
      <c r="Y14" s="80"/>
      <c r="Z14" s="80"/>
      <c r="AA14" s="80"/>
      <c r="AB14" s="80"/>
    </row>
    <row r="15" spans="1:28" ht="14.25" customHeight="1" thickBot="1">
      <c r="A15" s="17"/>
      <c r="B15" s="18"/>
      <c r="C15" s="18"/>
      <c r="D15" s="18"/>
      <c r="E15" s="18"/>
      <c r="F15" s="18"/>
      <c r="G15" s="18"/>
      <c r="H15" s="18"/>
      <c r="I15" s="18"/>
      <c r="J15" s="18"/>
      <c r="K15" s="18"/>
      <c r="L15" s="90"/>
    </row>
    <row r="16" spans="1:28" ht="22.5" customHeight="1" thickBot="1">
      <c r="A16" s="204"/>
      <c r="B16" s="205"/>
      <c r="C16" s="205"/>
      <c r="D16" s="205"/>
      <c r="E16" s="205"/>
      <c r="F16" s="205"/>
      <c r="G16" s="205"/>
      <c r="H16" s="205"/>
      <c r="I16" s="205"/>
      <c r="J16" s="205"/>
      <c r="K16" s="205"/>
      <c r="L16" s="206"/>
    </row>
    <row r="17" spans="1:19" ht="22.5" customHeight="1" thickBot="1">
      <c r="A17" s="17"/>
      <c r="B17" s="18"/>
      <c r="C17" s="18"/>
      <c r="D17" s="18"/>
      <c r="E17" s="18"/>
      <c r="F17" s="18"/>
      <c r="G17" s="19"/>
      <c r="H17" s="19"/>
      <c r="I17" s="19"/>
      <c r="J17" s="19"/>
      <c r="K17" s="19"/>
      <c r="L17" s="91"/>
    </row>
    <row r="18" spans="1:19" s="2" customFormat="1" ht="22.5" customHeight="1" thickBot="1">
      <c r="A18" s="207" t="s">
        <v>28</v>
      </c>
      <c r="B18" s="208"/>
      <c r="C18" s="208"/>
      <c r="D18" s="208"/>
      <c r="E18" s="209"/>
      <c r="F18" s="20"/>
      <c r="G18" s="207" t="s">
        <v>28</v>
      </c>
      <c r="H18" s="208"/>
      <c r="I18" s="208"/>
      <c r="J18" s="208"/>
      <c r="K18" s="208"/>
      <c r="L18" s="209"/>
      <c r="O18" s="92"/>
    </row>
    <row r="19" spans="1:19" s="2" customFormat="1" ht="27.75" customHeight="1" thickBot="1">
      <c r="A19" s="210"/>
      <c r="B19" s="211"/>
      <c r="C19" s="211"/>
      <c r="D19" s="22" t="s">
        <v>29</v>
      </c>
      <c r="E19" s="23" t="s">
        <v>30</v>
      </c>
      <c r="F19" s="24"/>
      <c r="G19" s="243" t="s">
        <v>31</v>
      </c>
      <c r="H19" s="244"/>
      <c r="I19" s="212" t="s">
        <v>32</v>
      </c>
      <c r="J19" s="213"/>
      <c r="K19" s="214" t="s">
        <v>33</v>
      </c>
      <c r="L19" s="215"/>
    </row>
    <row r="20" spans="1:19" s="2" customFormat="1" ht="22.5" customHeight="1">
      <c r="A20" s="216" t="s">
        <v>34</v>
      </c>
      <c r="B20" s="217"/>
      <c r="C20" s="25"/>
      <c r="D20" s="26">
        <v>218</v>
      </c>
      <c r="E20" s="27">
        <f>D20</f>
        <v>218</v>
      </c>
      <c r="F20" s="28"/>
      <c r="G20" s="245"/>
      <c r="H20" s="246"/>
      <c r="I20" s="93" t="s">
        <v>35</v>
      </c>
      <c r="J20" s="168" t="s">
        <v>36</v>
      </c>
      <c r="K20" s="95" t="s">
        <v>37</v>
      </c>
      <c r="L20" s="150" t="s">
        <v>36</v>
      </c>
      <c r="N20" s="92"/>
    </row>
    <row r="21" spans="1:19" s="2" customFormat="1" ht="22.5" customHeight="1">
      <c r="A21" s="216" t="s">
        <v>38</v>
      </c>
      <c r="B21" s="217"/>
      <c r="C21" s="25" t="s">
        <v>39</v>
      </c>
      <c r="D21" s="160">
        <v>15.1</v>
      </c>
      <c r="E21" s="161">
        <f>D21</f>
        <v>15.1</v>
      </c>
      <c r="F21" s="31"/>
      <c r="G21" s="96" t="s">
        <v>40</v>
      </c>
      <c r="H21" s="32" t="s">
        <v>41</v>
      </c>
      <c r="I21" s="96" t="s">
        <v>42</v>
      </c>
      <c r="J21" s="151" t="s">
        <v>43</v>
      </c>
      <c r="K21" s="96" t="s">
        <v>42</v>
      </c>
      <c r="L21" s="151" t="s">
        <v>43</v>
      </c>
      <c r="N21" s="97"/>
    </row>
    <row r="22" spans="1:19" s="2" customFormat="1" ht="22.5" customHeight="1">
      <c r="A22" s="216" t="s">
        <v>44</v>
      </c>
      <c r="B22" s="217"/>
      <c r="C22" s="25" t="s">
        <v>39</v>
      </c>
      <c r="D22" s="160">
        <v>14.71</v>
      </c>
      <c r="E22" s="161">
        <f>D22+E39</f>
        <v>14.71</v>
      </c>
      <c r="F22" s="31"/>
      <c r="G22" s="145">
        <v>0</v>
      </c>
      <c r="H22" s="33">
        <v>0</v>
      </c>
      <c r="I22" s="144">
        <v>0</v>
      </c>
      <c r="J22" s="152">
        <v>0</v>
      </c>
      <c r="K22" s="144">
        <v>0</v>
      </c>
      <c r="L22" s="152">
        <v>0</v>
      </c>
      <c r="N22" s="97"/>
      <c r="O22" s="2">
        <v>3.5999999999999997E-2</v>
      </c>
      <c r="S22" s="2">
        <v>8.4000000000000005E-2</v>
      </c>
    </row>
    <row r="23" spans="1:19" s="2" customFormat="1" ht="22.5" customHeight="1">
      <c r="A23" s="216" t="s">
        <v>45</v>
      </c>
      <c r="B23" s="217"/>
      <c r="C23" s="34" t="s">
        <v>46</v>
      </c>
      <c r="D23" s="35">
        <v>8220</v>
      </c>
      <c r="E23" s="36">
        <v>8316</v>
      </c>
      <c r="F23" s="31"/>
      <c r="G23" s="145">
        <v>5.0000000000000001E-3</v>
      </c>
      <c r="H23" s="33">
        <v>0.127</v>
      </c>
      <c r="I23" s="144">
        <v>0.112</v>
      </c>
      <c r="J23" s="153">
        <f t="shared" ref="J23:J34" si="0">((I23/19.32)*10)</f>
        <v>5.7971014492753624E-2</v>
      </c>
      <c r="K23" s="98">
        <f>S22</f>
        <v>8.4000000000000005E-2</v>
      </c>
      <c r="L23" s="153">
        <f t="shared" ref="L23:L34" si="1">((K23/19.32)*10)</f>
        <v>4.3478260869565216E-2</v>
      </c>
      <c r="N23" s="97"/>
      <c r="O23" s="2">
        <v>7.2999999999999995E-2</v>
      </c>
      <c r="S23" s="2">
        <v>0.185</v>
      </c>
    </row>
    <row r="24" spans="1:19" s="2" customFormat="1" ht="22.5" customHeight="1">
      <c r="A24" s="216" t="s">
        <v>47</v>
      </c>
      <c r="B24" s="217"/>
      <c r="C24" s="34" t="s">
        <v>46</v>
      </c>
      <c r="D24" s="167">
        <v>3842</v>
      </c>
      <c r="E24" s="37">
        <f>D24</f>
        <v>3842</v>
      </c>
      <c r="F24" s="38"/>
      <c r="G24" s="145">
        <v>2.5000000000000001E-2</v>
      </c>
      <c r="H24" s="33">
        <v>0.63500000000000001</v>
      </c>
      <c r="I24" s="144">
        <v>0.215</v>
      </c>
      <c r="J24" s="153">
        <f t="shared" si="0"/>
        <v>0.11128364389233954</v>
      </c>
      <c r="K24" s="98">
        <f t="shared" ref="K24:K34" si="2">S23</f>
        <v>0.185</v>
      </c>
      <c r="L24" s="153">
        <f t="shared" si="1"/>
        <v>9.5755693581780543E-2</v>
      </c>
      <c r="N24" s="97"/>
      <c r="O24" s="2">
        <v>0.14099999999999999</v>
      </c>
      <c r="S24" s="2">
        <v>0.26500000000000001</v>
      </c>
    </row>
    <row r="25" spans="1:19" s="2" customFormat="1" ht="22.5" customHeight="1">
      <c r="A25" s="216" t="s">
        <v>48</v>
      </c>
      <c r="B25" s="217"/>
      <c r="C25" s="34" t="s">
        <v>46</v>
      </c>
      <c r="D25" s="39">
        <f>+D23-D24</f>
        <v>4378</v>
      </c>
      <c r="E25" s="40">
        <f>E23-E24</f>
        <v>4474</v>
      </c>
      <c r="F25" s="41"/>
      <c r="G25" s="145">
        <v>0.05</v>
      </c>
      <c r="H25" s="33">
        <v>1.27</v>
      </c>
      <c r="I25" s="144">
        <v>0.28100000000000003</v>
      </c>
      <c r="J25" s="153">
        <f t="shared" si="0"/>
        <v>0.14544513457556937</v>
      </c>
      <c r="K25" s="98">
        <f t="shared" si="2"/>
        <v>0.26500000000000001</v>
      </c>
      <c r="L25" s="153">
        <f t="shared" si="1"/>
        <v>0.13716356107660455</v>
      </c>
      <c r="N25" s="97"/>
      <c r="O25" s="2">
        <v>0.22500000000000001</v>
      </c>
      <c r="S25" s="2">
        <v>0.314</v>
      </c>
    </row>
    <row r="26" spans="1:19" s="2" customFormat="1" ht="22.5" customHeight="1">
      <c r="A26" s="216" t="s">
        <v>49</v>
      </c>
      <c r="B26" s="217"/>
      <c r="C26" s="34" t="s">
        <v>50</v>
      </c>
      <c r="D26" s="39">
        <f>((PI()*(D21*D21))/4)*D22</f>
        <v>2634.24672432527</v>
      </c>
      <c r="E26" s="174">
        <f>((PI()*(E21*E21))/4)*E22</f>
        <v>2634.24672432527</v>
      </c>
      <c r="F26" s="41"/>
      <c r="G26" s="145">
        <v>7.4999999999999997E-2</v>
      </c>
      <c r="H26" s="33">
        <v>1.905</v>
      </c>
      <c r="I26" s="144">
        <v>0.33200000000000002</v>
      </c>
      <c r="J26" s="153">
        <f t="shared" si="0"/>
        <v>0.17184265010351968</v>
      </c>
      <c r="K26" s="98">
        <f t="shared" si="2"/>
        <v>0.314</v>
      </c>
      <c r="L26" s="153">
        <f t="shared" si="1"/>
        <v>0.16252587991718426</v>
      </c>
      <c r="N26" s="97"/>
      <c r="O26" s="2">
        <v>0.307</v>
      </c>
      <c r="S26" s="2">
        <v>0.33900000000000002</v>
      </c>
    </row>
    <row r="27" spans="1:19" s="2" customFormat="1" ht="22.5" customHeight="1">
      <c r="A27" s="216" t="s">
        <v>51</v>
      </c>
      <c r="B27" s="217"/>
      <c r="C27" s="34" t="s">
        <v>52</v>
      </c>
      <c r="D27" s="42">
        <f>D25/D26</f>
        <v>1.6619551842173672</v>
      </c>
      <c r="E27" s="175">
        <f>E25/E26</f>
        <v>1.6983982398785977</v>
      </c>
      <c r="F27" s="44"/>
      <c r="G27" s="146">
        <v>0.1</v>
      </c>
      <c r="H27" s="45">
        <v>2.54</v>
      </c>
      <c r="I27" s="154">
        <v>0.36799999999999999</v>
      </c>
      <c r="J27" s="155">
        <f t="shared" si="0"/>
        <v>0.19047619047619047</v>
      </c>
      <c r="K27" s="158">
        <f t="shared" si="2"/>
        <v>0.33900000000000002</v>
      </c>
      <c r="L27" s="155">
        <f t="shared" si="1"/>
        <v>0.17546583850931677</v>
      </c>
      <c r="N27" s="97"/>
      <c r="O27" s="2">
        <v>0.36799999999999999</v>
      </c>
      <c r="S27" s="2">
        <v>0.35799999999999998</v>
      </c>
    </row>
    <row r="28" spans="1:19" s="2" customFormat="1" ht="22.5" customHeight="1" thickBot="1">
      <c r="A28" s="218" t="s">
        <v>53</v>
      </c>
      <c r="B28" s="219"/>
      <c r="C28" s="46" t="s">
        <v>52</v>
      </c>
      <c r="D28" s="47">
        <f>D27/(1+D34/100)</f>
        <v>1.1613662733085217</v>
      </c>
      <c r="E28" s="48">
        <f>E27/(1+E34/100)</f>
        <v>1.1812902454022911</v>
      </c>
      <c r="F28" s="49"/>
      <c r="G28" s="145">
        <v>0.125</v>
      </c>
      <c r="H28" s="33">
        <v>3.1749999999999998</v>
      </c>
      <c r="I28" s="144">
        <v>0.39800000000000002</v>
      </c>
      <c r="J28" s="153">
        <f t="shared" si="0"/>
        <v>0.2060041407867495</v>
      </c>
      <c r="K28" s="98">
        <f t="shared" si="2"/>
        <v>0.35799999999999998</v>
      </c>
      <c r="L28" s="153">
        <f t="shared" si="1"/>
        <v>0.18530020703933747</v>
      </c>
      <c r="N28" s="97"/>
      <c r="O28" s="2">
        <v>0.42499999999999999</v>
      </c>
      <c r="S28" s="2">
        <v>0.37</v>
      </c>
    </row>
    <row r="29" spans="1:19" s="2" customFormat="1" ht="22.5" customHeight="1" thickBot="1">
      <c r="A29" s="207" t="s">
        <v>54</v>
      </c>
      <c r="B29" s="208" t="s">
        <v>54</v>
      </c>
      <c r="C29" s="208"/>
      <c r="D29" s="208"/>
      <c r="E29" s="209"/>
      <c r="F29" s="49"/>
      <c r="G29" s="147">
        <v>0.15</v>
      </c>
      <c r="H29" s="33">
        <v>3.81</v>
      </c>
      <c r="I29" s="144">
        <v>0.42799999999999999</v>
      </c>
      <c r="J29" s="153">
        <f t="shared" si="0"/>
        <v>0.22153209109730848</v>
      </c>
      <c r="K29" s="98">
        <f t="shared" si="2"/>
        <v>0.37</v>
      </c>
      <c r="L29" s="153">
        <f>((K29/19.32)*10)</f>
        <v>0.19151138716356109</v>
      </c>
      <c r="N29" s="97"/>
      <c r="O29" s="2">
        <v>0.46500000000000002</v>
      </c>
      <c r="S29" s="2">
        <v>0.379</v>
      </c>
    </row>
    <row r="30" spans="1:19" s="2" customFormat="1" ht="22.5" customHeight="1">
      <c r="A30" s="258" t="s">
        <v>55</v>
      </c>
      <c r="B30" s="259"/>
      <c r="C30" s="50"/>
      <c r="D30" s="51">
        <v>218</v>
      </c>
      <c r="E30" s="52">
        <v>374</v>
      </c>
      <c r="F30" s="44"/>
      <c r="G30" s="145">
        <v>0.17499999999999999</v>
      </c>
      <c r="H30" s="33">
        <v>4.4450000000000003</v>
      </c>
      <c r="I30" s="144">
        <f t="shared" ref="I30:I34" si="3">O29</f>
        <v>0.46500000000000002</v>
      </c>
      <c r="J30" s="153">
        <f t="shared" si="0"/>
        <v>0.24068322981366461</v>
      </c>
      <c r="K30" s="98">
        <f t="shared" si="2"/>
        <v>0.379</v>
      </c>
      <c r="L30" s="153">
        <f t="shared" si="1"/>
        <v>0.19616977225672877</v>
      </c>
      <c r="N30" s="97"/>
      <c r="O30" s="2">
        <v>0.497</v>
      </c>
      <c r="S30" s="2">
        <v>0.38600000000000001</v>
      </c>
    </row>
    <row r="31" spans="1:19" s="2" customFormat="1" ht="22.5" customHeight="1">
      <c r="A31" s="216" t="s">
        <v>56</v>
      </c>
      <c r="B31" s="217"/>
      <c r="C31" s="25" t="s">
        <v>46</v>
      </c>
      <c r="D31" s="53">
        <v>232.91</v>
      </c>
      <c r="E31" s="54">
        <v>874.58</v>
      </c>
      <c r="F31" s="41"/>
      <c r="G31" s="146">
        <v>0.2</v>
      </c>
      <c r="H31" s="45">
        <v>5.08</v>
      </c>
      <c r="I31" s="154">
        <f t="shared" si="3"/>
        <v>0.497</v>
      </c>
      <c r="J31" s="155">
        <f t="shared" si="0"/>
        <v>0.25724637681159418</v>
      </c>
      <c r="K31" s="158">
        <f t="shared" si="2"/>
        <v>0.38600000000000001</v>
      </c>
      <c r="L31" s="155">
        <f t="shared" si="1"/>
        <v>0.19979296066252589</v>
      </c>
      <c r="N31" s="97"/>
      <c r="O31" s="2">
        <v>0.57899999999999996</v>
      </c>
      <c r="S31" s="2">
        <v>0.40799999999999997</v>
      </c>
    </row>
    <row r="32" spans="1:19" s="2" customFormat="1" ht="22.5" customHeight="1">
      <c r="A32" s="216" t="s">
        <v>57</v>
      </c>
      <c r="B32" s="217"/>
      <c r="C32" s="25" t="s">
        <v>46</v>
      </c>
      <c r="D32" s="53">
        <v>181.66</v>
      </c>
      <c r="E32" s="54">
        <v>638.94000000000005</v>
      </c>
      <c r="F32" s="49"/>
      <c r="G32" s="145">
        <v>0.3</v>
      </c>
      <c r="H32" s="33">
        <v>7.62</v>
      </c>
      <c r="I32" s="144">
        <f t="shared" si="3"/>
        <v>0.57899999999999996</v>
      </c>
      <c r="J32" s="153">
        <f t="shared" si="0"/>
        <v>0.2996894409937888</v>
      </c>
      <c r="K32" s="98">
        <f t="shared" si="2"/>
        <v>0.40799999999999997</v>
      </c>
      <c r="L32" s="153">
        <f t="shared" si="1"/>
        <v>0.21118012422360247</v>
      </c>
      <c r="N32" s="97"/>
      <c r="O32" s="2">
        <v>0.63800000000000001</v>
      </c>
      <c r="S32" s="2">
        <v>0.432</v>
      </c>
    </row>
    <row r="33" spans="1:19" s="2" customFormat="1" ht="22.5" customHeight="1">
      <c r="A33" s="216" t="s">
        <v>58</v>
      </c>
      <c r="B33" s="217"/>
      <c r="C33" s="25" t="s">
        <v>46</v>
      </c>
      <c r="D33" s="53">
        <v>62.76</v>
      </c>
      <c r="E33" s="54">
        <v>100.64</v>
      </c>
      <c r="F33" s="49"/>
      <c r="G33" s="145">
        <v>0.4</v>
      </c>
      <c r="H33" s="33">
        <v>10.16</v>
      </c>
      <c r="I33" s="144">
        <f t="shared" si="3"/>
        <v>0.63800000000000001</v>
      </c>
      <c r="J33" s="153">
        <f t="shared" si="0"/>
        <v>0.33022774327122151</v>
      </c>
      <c r="K33" s="98">
        <f t="shared" si="2"/>
        <v>0.432</v>
      </c>
      <c r="L33" s="153">
        <f t="shared" si="1"/>
        <v>0.22360248447204967</v>
      </c>
      <c r="N33" s="97"/>
      <c r="O33" s="2">
        <v>0.69299999999999995</v>
      </c>
      <c r="S33" s="2">
        <v>0.45500000000000002</v>
      </c>
    </row>
    <row r="34" spans="1:19" s="2" customFormat="1" ht="22.5" customHeight="1" thickBot="1">
      <c r="A34" s="218" t="s">
        <v>59</v>
      </c>
      <c r="B34" s="219"/>
      <c r="C34" s="46" t="s">
        <v>60</v>
      </c>
      <c r="D34" s="47">
        <f>((D31-D32)/(D32-D33))*100</f>
        <v>43.103448275862064</v>
      </c>
      <c r="E34" s="48">
        <f>((E31-E32)/(E32-E33))*100</f>
        <v>43.774846739736198</v>
      </c>
      <c r="F34" s="49"/>
      <c r="G34" s="148">
        <v>0.5</v>
      </c>
      <c r="H34" s="149">
        <v>12.7</v>
      </c>
      <c r="I34" s="156">
        <f t="shared" si="3"/>
        <v>0.69299999999999995</v>
      </c>
      <c r="J34" s="157">
        <f t="shared" si="0"/>
        <v>0.35869565217391297</v>
      </c>
      <c r="K34" s="159">
        <f t="shared" si="2"/>
        <v>0.45500000000000002</v>
      </c>
      <c r="L34" s="157">
        <f t="shared" si="1"/>
        <v>0.23550724637681159</v>
      </c>
      <c r="N34" s="97"/>
    </row>
    <row r="35" spans="1:19" s="2" customFormat="1" ht="11.25" customHeight="1" thickBot="1">
      <c r="A35" s="55"/>
      <c r="B35" s="56"/>
      <c r="C35" s="57"/>
      <c r="D35" s="58"/>
      <c r="E35" s="58"/>
      <c r="F35" s="59"/>
      <c r="G35" s="58"/>
      <c r="H35" s="58"/>
      <c r="I35" s="58"/>
      <c r="J35" s="58"/>
      <c r="K35" s="58"/>
      <c r="L35" s="99"/>
      <c r="N35" s="97"/>
    </row>
    <row r="36" spans="1:19" s="2" customFormat="1" ht="22.5" customHeight="1" thickBot="1">
      <c r="A36" s="247" t="s">
        <v>61</v>
      </c>
      <c r="B36" s="248"/>
      <c r="C36" s="248"/>
      <c r="D36" s="248"/>
      <c r="E36" s="249"/>
      <c r="F36" s="60"/>
      <c r="G36" s="60"/>
      <c r="H36" s="207" t="s">
        <v>62</v>
      </c>
      <c r="I36" s="208"/>
      <c r="J36" s="208"/>
      <c r="K36" s="209"/>
      <c r="L36" s="100"/>
    </row>
    <row r="37" spans="1:19" s="2" customFormat="1" ht="22.5" customHeight="1" thickBot="1">
      <c r="A37" s="250" t="s">
        <v>63</v>
      </c>
      <c r="B37" s="251"/>
      <c r="C37" s="61" t="s">
        <v>64</v>
      </c>
      <c r="D37" s="277">
        <v>8.6999999999999994E-2</v>
      </c>
      <c r="E37" s="278"/>
      <c r="F37" s="62"/>
      <c r="G37" s="62"/>
      <c r="H37" s="63" t="s">
        <v>65</v>
      </c>
      <c r="I37" s="101" t="s">
        <v>86</v>
      </c>
      <c r="J37" s="63" t="s">
        <v>66</v>
      </c>
      <c r="K37" s="102" t="s">
        <v>67</v>
      </c>
      <c r="L37" s="99"/>
    </row>
    <row r="38" spans="1:19" s="2" customFormat="1" ht="22.5" customHeight="1" thickBot="1">
      <c r="A38" s="224" t="s">
        <v>68</v>
      </c>
      <c r="B38" s="225"/>
      <c r="C38" s="64" t="s">
        <v>64</v>
      </c>
      <c r="D38" s="279">
        <v>9.1499999999999998E-2</v>
      </c>
      <c r="E38" s="280"/>
      <c r="F38" s="62"/>
      <c r="G38" s="62"/>
      <c r="H38" s="256" t="s">
        <v>69</v>
      </c>
      <c r="I38" s="257"/>
      <c r="J38" s="256" t="s">
        <v>70</v>
      </c>
      <c r="K38" s="257"/>
      <c r="L38" s="99"/>
    </row>
    <row r="39" spans="1:19" s="2" customFormat="1" ht="22.5" customHeight="1" thickBot="1">
      <c r="A39" s="224" t="s">
        <v>71</v>
      </c>
      <c r="B39" s="225"/>
      <c r="C39" s="65" t="s">
        <v>39</v>
      </c>
      <c r="D39" s="226">
        <f>(D38-D37)*2.54</f>
        <v>1.143000000000001E-2</v>
      </c>
      <c r="E39" s="227"/>
      <c r="F39" s="31"/>
      <c r="G39" s="31"/>
      <c r="H39" s="163" t="s">
        <v>72</v>
      </c>
      <c r="I39" s="164">
        <v>4554</v>
      </c>
      <c r="J39" s="275">
        <v>4</v>
      </c>
      <c r="K39" s="229"/>
      <c r="L39" s="99"/>
    </row>
    <row r="40" spans="1:19" s="2" customFormat="1" ht="22.5" customHeight="1" thickBot="1">
      <c r="A40" s="230" t="s">
        <v>73</v>
      </c>
      <c r="B40" s="231"/>
      <c r="C40" s="67" t="s">
        <v>60</v>
      </c>
      <c r="D40" s="232">
        <f>IF(D39&lt;&gt;"",IF(D22&lt;&gt;"",D39/D22*100,""),"")</f>
        <v>7.7702243371855939E-2</v>
      </c>
      <c r="E40" s="233"/>
      <c r="F40" s="68"/>
      <c r="G40" s="68"/>
      <c r="H40" s="165" t="s">
        <v>33</v>
      </c>
      <c r="I40" s="166">
        <v>4554</v>
      </c>
      <c r="J40" s="276">
        <v>4</v>
      </c>
      <c r="K40" s="235"/>
      <c r="L40" s="99"/>
      <c r="P40" s="105"/>
      <c r="Q40" s="105"/>
      <c r="R40" s="134"/>
    </row>
    <row r="41" spans="1:19" s="2" customFormat="1" ht="33" customHeight="1" thickBot="1">
      <c r="A41" s="70"/>
      <c r="B41" s="58"/>
      <c r="C41" s="58"/>
      <c r="D41" s="58"/>
      <c r="E41" s="58"/>
      <c r="F41" s="71"/>
      <c r="G41" s="58"/>
      <c r="H41" s="70"/>
      <c r="I41" s="58"/>
      <c r="J41" s="107" t="str">
        <f>I19</f>
        <v>ANTES DE INMERSIÓN</v>
      </c>
      <c r="K41" s="107" t="str">
        <f>K19</f>
        <v xml:space="preserve">DESPUÉS DE INMERSIÓN </v>
      </c>
      <c r="L41" s="108"/>
      <c r="M41" s="20"/>
      <c r="P41" s="109"/>
      <c r="Q41" s="135"/>
      <c r="R41" s="136"/>
    </row>
    <row r="42" spans="1:19" s="2" customFormat="1" ht="22.5" customHeight="1">
      <c r="A42" s="70"/>
      <c r="B42" s="58"/>
      <c r="C42" s="58"/>
      <c r="D42" s="58"/>
      <c r="E42" s="58"/>
      <c r="F42" s="58"/>
      <c r="G42" s="58"/>
      <c r="H42" s="21" t="s">
        <v>74</v>
      </c>
      <c r="I42" s="110" t="s">
        <v>60</v>
      </c>
      <c r="J42" s="111">
        <f>(J27/6.9)*100</f>
        <v>2.7605244996549341</v>
      </c>
      <c r="K42" s="112">
        <f>(L27/6.9)*100</f>
        <v>2.5429831668016925</v>
      </c>
      <c r="L42" s="99"/>
      <c r="P42" s="113"/>
      <c r="Q42" s="137"/>
      <c r="R42" s="136"/>
    </row>
    <row r="43" spans="1:19" s="2" customFormat="1" ht="22.5" customHeight="1" thickBot="1">
      <c r="A43" s="70"/>
      <c r="B43" s="73"/>
      <c r="C43" s="58"/>
      <c r="D43" s="58"/>
      <c r="E43" s="58"/>
      <c r="F43" s="58"/>
      <c r="G43" s="58"/>
      <c r="H43" s="74" t="s">
        <v>75</v>
      </c>
      <c r="I43" s="114" t="s">
        <v>60</v>
      </c>
      <c r="J43" s="115">
        <f>(J31/10.3)*100</f>
        <v>2.4975376389475161</v>
      </c>
      <c r="K43" s="116">
        <f>(L31/10.3)*100</f>
        <v>1.9397374821604454</v>
      </c>
      <c r="L43" s="99"/>
      <c r="P43" s="117"/>
      <c r="Q43" s="138"/>
      <c r="R43" s="139"/>
    </row>
    <row r="44" spans="1:19" s="2" customFormat="1" ht="22.5" customHeight="1" thickBot="1">
      <c r="A44" s="70"/>
      <c r="B44" s="73"/>
      <c r="C44" s="73"/>
      <c r="D44" s="73"/>
      <c r="E44" s="58"/>
      <c r="F44" s="58"/>
      <c r="G44" s="58"/>
      <c r="H44" s="74" t="s">
        <v>76</v>
      </c>
      <c r="I44" s="114"/>
      <c r="J44" s="118">
        <f>IF(J42&lt;J43,J42,J43)</f>
        <v>2.4975376389475161</v>
      </c>
      <c r="K44" s="119">
        <f>IF(K42&lt;K43,K42,K43)</f>
        <v>1.9397374821604454</v>
      </c>
      <c r="L44" s="120"/>
      <c r="M44" s="121"/>
    </row>
    <row r="45" spans="1:19" s="2" customFormat="1" ht="22.5" customHeight="1">
      <c r="A45" s="70"/>
      <c r="B45" s="58"/>
      <c r="C45" s="58"/>
      <c r="D45" s="59"/>
      <c r="E45" s="59"/>
      <c r="F45" s="59"/>
      <c r="G45" s="58"/>
      <c r="H45" s="4"/>
      <c r="I45" s="122"/>
      <c r="J45" s="122"/>
      <c r="K45" s="122"/>
      <c r="L45" s="99"/>
    </row>
    <row r="46" spans="1:19" s="2" customFormat="1" ht="22.5" customHeight="1">
      <c r="A46" s="70"/>
      <c r="B46" s="58"/>
      <c r="C46" s="58"/>
      <c r="D46" s="59"/>
      <c r="E46" s="59"/>
      <c r="F46" s="59"/>
      <c r="G46" s="58"/>
      <c r="H46" s="222" t="s">
        <v>77</v>
      </c>
      <c r="I46" s="222"/>
      <c r="J46" s="222" t="s">
        <v>78</v>
      </c>
      <c r="K46" s="222"/>
      <c r="L46" s="223"/>
    </row>
    <row r="47" spans="1:19" s="2" customFormat="1" ht="22.5" customHeight="1">
      <c r="A47" s="70"/>
      <c r="B47" s="56"/>
      <c r="C47" s="75"/>
      <c r="D47" s="76"/>
      <c r="E47" s="59"/>
      <c r="F47" s="59"/>
      <c r="G47" s="59"/>
      <c r="H47" s="77"/>
      <c r="I47" s="123"/>
      <c r="J47" s="77"/>
      <c r="K47" s="123"/>
      <c r="L47" s="124"/>
    </row>
    <row r="48" spans="1:19" s="2" customFormat="1" ht="22.5" customHeight="1">
      <c r="A48" s="70"/>
      <c r="B48" s="56"/>
      <c r="C48" s="75"/>
      <c r="D48" s="76"/>
      <c r="E48" s="59"/>
      <c r="F48" s="59"/>
      <c r="G48" s="59"/>
      <c r="H48" s="77"/>
      <c r="I48" s="123"/>
      <c r="J48" s="77"/>
      <c r="K48" s="123"/>
      <c r="L48" s="124"/>
    </row>
    <row r="49" spans="1:15" s="2" customFormat="1" ht="22.5" customHeight="1">
      <c r="A49" s="70"/>
      <c r="B49" s="56"/>
      <c r="C49" s="75"/>
      <c r="D49" s="76"/>
      <c r="E49" s="59"/>
      <c r="F49" s="59"/>
      <c r="G49" s="59"/>
      <c r="H49" s="77"/>
      <c r="I49" s="123"/>
      <c r="J49" s="77"/>
      <c r="K49"/>
      <c r="L49" s="124"/>
    </row>
    <row r="50" spans="1:15" s="2" customFormat="1" ht="22.5" customHeight="1">
      <c r="A50" s="70"/>
      <c r="B50" s="56"/>
      <c r="C50" s="75"/>
      <c r="D50" s="76"/>
      <c r="E50" s="59"/>
      <c r="F50" s="59"/>
      <c r="G50" s="59"/>
      <c r="H50" s="78"/>
      <c r="I50" s="78"/>
      <c r="J50" s="77"/>
      <c r="K50" s="123"/>
      <c r="L50" s="124"/>
    </row>
    <row r="51" spans="1:15" s="2" customFormat="1" ht="22.5" customHeight="1">
      <c r="A51" s="70"/>
      <c r="B51" s="56"/>
      <c r="C51" s="75"/>
      <c r="D51" s="76"/>
      <c r="E51" s="59"/>
      <c r="F51" s="59"/>
      <c r="G51" s="59"/>
      <c r="H51" s="220" t="s">
        <v>79</v>
      </c>
      <c r="I51" s="220"/>
      <c r="J51" s="220" t="s">
        <v>87</v>
      </c>
      <c r="K51" s="220"/>
      <c r="L51" s="221"/>
    </row>
    <row r="52" spans="1:15" s="2" customFormat="1" ht="22.5" customHeight="1">
      <c r="A52" s="70"/>
      <c r="B52" s="56"/>
      <c r="C52" s="75"/>
      <c r="D52" s="76"/>
      <c r="E52" s="59"/>
      <c r="F52" s="59"/>
      <c r="G52" s="59"/>
      <c r="H52" s="222" t="s">
        <v>80</v>
      </c>
      <c r="I52" s="222"/>
      <c r="J52" s="222" t="s">
        <v>81</v>
      </c>
      <c r="K52" s="222"/>
      <c r="L52" s="223"/>
    </row>
    <row r="53" spans="1:15" s="2" customFormat="1" ht="22.5" customHeight="1">
      <c r="A53" s="70"/>
      <c r="B53" s="56"/>
      <c r="C53" s="75"/>
      <c r="D53" s="76"/>
      <c r="E53" s="59"/>
      <c r="F53" s="59"/>
      <c r="G53" s="59"/>
      <c r="H53" s="186"/>
      <c r="I53" s="186"/>
      <c r="J53" s="186"/>
      <c r="K53" s="186"/>
      <c r="L53" s="99"/>
    </row>
    <row r="54" spans="1:15" s="2" customFormat="1" ht="22.5" customHeight="1">
      <c r="A54" s="70"/>
      <c r="B54" s="56"/>
      <c r="C54" s="75"/>
      <c r="D54" s="76"/>
      <c r="E54" s="59"/>
      <c r="F54" s="59"/>
      <c r="G54" s="59"/>
      <c r="H54" s="58"/>
      <c r="I54" s="58"/>
      <c r="J54" s="125"/>
      <c r="K54" s="58"/>
      <c r="L54" s="99"/>
      <c r="M54" s="126"/>
      <c r="N54" s="3"/>
    </row>
    <row r="55" spans="1:15" s="2" customFormat="1" ht="22.5" customHeight="1">
      <c r="A55" s="70"/>
      <c r="B55" s="56"/>
      <c r="C55" s="75"/>
      <c r="D55" s="76"/>
      <c r="E55" s="59"/>
      <c r="F55" s="59"/>
      <c r="G55" s="59"/>
      <c r="H55" s="58"/>
      <c r="I55" s="58"/>
      <c r="J55" s="127"/>
      <c r="K55" s="125"/>
      <c r="L55" s="128"/>
      <c r="M55" s="129"/>
      <c r="N55" s="3"/>
    </row>
    <row r="56" spans="1:15" s="2" customFormat="1" ht="22.5" customHeight="1">
      <c r="A56" s="264" t="s">
        <v>82</v>
      </c>
      <c r="B56" s="265"/>
      <c r="C56" s="265"/>
      <c r="D56" s="265"/>
      <c r="E56" s="265"/>
      <c r="F56" s="265"/>
      <c r="G56" s="265"/>
      <c r="H56" s="265"/>
      <c r="I56" s="265"/>
      <c r="J56" s="265"/>
      <c r="K56" s="265"/>
      <c r="L56" s="266"/>
      <c r="M56" s="130"/>
      <c r="N56" s="3"/>
      <c r="O56" s="3"/>
    </row>
    <row r="57" spans="1:15" s="2" customFormat="1" ht="22.5" customHeight="1">
      <c r="A57" s="261" t="s">
        <v>83</v>
      </c>
      <c r="B57" s="262"/>
      <c r="C57" s="262"/>
      <c r="D57" s="262"/>
      <c r="E57" s="262"/>
      <c r="F57" s="262"/>
      <c r="G57" s="262"/>
      <c r="H57" s="262"/>
      <c r="I57" s="262"/>
      <c r="J57" s="262"/>
      <c r="K57" s="262"/>
      <c r="L57" s="263"/>
      <c r="M57" s="3"/>
      <c r="N57" s="3"/>
      <c r="O57" s="3"/>
    </row>
    <row r="58" spans="1:15" s="2" customFormat="1" ht="22.5" customHeight="1">
      <c r="A58" s="261"/>
      <c r="B58" s="262"/>
      <c r="C58" s="262"/>
      <c r="D58" s="262"/>
      <c r="E58" s="262"/>
      <c r="F58" s="262"/>
      <c r="G58" s="262"/>
      <c r="H58" s="262"/>
      <c r="I58" s="262"/>
      <c r="J58" s="262"/>
      <c r="K58" s="262"/>
      <c r="L58" s="263"/>
      <c r="M58" s="3"/>
      <c r="N58" s="3"/>
      <c r="O58" s="3"/>
    </row>
    <row r="59" spans="1:15" ht="15" thickBot="1">
      <c r="A59" s="267" t="s">
        <v>84</v>
      </c>
      <c r="B59" s="268"/>
      <c r="C59" s="268"/>
      <c r="D59" s="268"/>
      <c r="E59" s="268"/>
      <c r="F59" s="268"/>
      <c r="G59" s="268"/>
      <c r="H59" s="268"/>
      <c r="I59" s="268"/>
      <c r="J59" s="268"/>
      <c r="K59" s="268"/>
      <c r="L59" s="269"/>
    </row>
    <row r="63" spans="1:15">
      <c r="I63" s="79"/>
      <c r="J63" s="79"/>
      <c r="K63" s="79"/>
      <c r="L63" s="79"/>
      <c r="M63" s="79"/>
      <c r="N63" s="79"/>
    </row>
    <row r="64" spans="1:15" ht="15" customHeight="1">
      <c r="E64" s="79"/>
      <c r="F64" s="79"/>
      <c r="G64" s="79"/>
      <c r="H64" s="79"/>
      <c r="I64" s="131"/>
      <c r="J64" s="131"/>
      <c r="K64" s="131"/>
      <c r="L64" s="131"/>
      <c r="M64" s="131"/>
      <c r="N64" s="131"/>
    </row>
    <row r="65" spans="2:18" ht="15" customHeight="1">
      <c r="E65" s="131"/>
      <c r="F65" s="131"/>
      <c r="G65" s="131"/>
      <c r="H65" s="131"/>
      <c r="I65" s="131"/>
      <c r="J65" s="131"/>
      <c r="K65" s="131"/>
      <c r="L65" s="131"/>
      <c r="M65" s="131"/>
      <c r="N65" s="131"/>
    </row>
    <row r="66" spans="2:18" ht="15" customHeight="1">
      <c r="E66" s="131"/>
      <c r="F66" s="131"/>
      <c r="G66" s="131"/>
      <c r="H66" s="131"/>
      <c r="I66" s="131"/>
      <c r="J66" s="131"/>
      <c r="K66" s="131"/>
      <c r="L66" s="131"/>
      <c r="M66" s="131"/>
      <c r="N66" s="131"/>
    </row>
    <row r="67" spans="2:18" ht="30.75" customHeight="1">
      <c r="E67" s="131"/>
      <c r="F67" s="131"/>
      <c r="G67" s="131"/>
      <c r="H67" s="131"/>
      <c r="I67" s="140"/>
      <c r="J67" s="140"/>
      <c r="K67" s="140"/>
      <c r="L67" s="140"/>
      <c r="M67" s="140"/>
      <c r="N67" s="140"/>
    </row>
    <row r="68" spans="2:18" ht="15" customHeight="1">
      <c r="E68" s="140"/>
      <c r="F68" s="140"/>
      <c r="G68" s="140"/>
      <c r="H68" s="140"/>
      <c r="I68" s="140"/>
      <c r="J68" s="140"/>
      <c r="K68" s="140"/>
      <c r="L68" s="140"/>
      <c r="M68" s="140"/>
      <c r="N68" s="140"/>
    </row>
    <row r="69" spans="2:18" ht="15" customHeight="1">
      <c r="E69" s="140"/>
      <c r="F69" s="140"/>
      <c r="G69" s="140"/>
      <c r="H69" s="140"/>
    </row>
    <row r="70" spans="2:18" ht="31.5" customHeight="1">
      <c r="E70" s="270"/>
      <c r="F70" s="270"/>
      <c r="G70" s="270"/>
      <c r="H70" s="270"/>
      <c r="I70" s="270"/>
      <c r="J70" s="270"/>
      <c r="K70" s="270"/>
      <c r="L70" s="270"/>
      <c r="M70" s="270"/>
      <c r="N70" s="270"/>
      <c r="O70" s="270"/>
      <c r="P70" s="270"/>
    </row>
    <row r="71" spans="2:18" ht="24" customHeight="1">
      <c r="B71" s="141"/>
      <c r="C71" s="142"/>
      <c r="D71" s="142"/>
      <c r="E71" s="142"/>
      <c r="F71" s="142"/>
      <c r="G71" s="142"/>
      <c r="H71" s="142"/>
      <c r="I71" s="142"/>
      <c r="J71" s="142"/>
      <c r="K71" s="142"/>
      <c r="L71" s="142"/>
      <c r="M71" s="142"/>
      <c r="N71" s="142"/>
      <c r="O71" s="142"/>
      <c r="P71" s="142"/>
      <c r="Q71" s="142"/>
      <c r="R71" s="142"/>
    </row>
    <row r="72" spans="2:18" ht="15" customHeight="1">
      <c r="B72" s="142"/>
      <c r="C72" s="142"/>
      <c r="D72" s="260"/>
      <c r="E72" s="260"/>
      <c r="F72" s="260"/>
      <c r="G72" s="260"/>
      <c r="H72" s="260"/>
      <c r="I72" s="260"/>
      <c r="J72" s="260"/>
      <c r="K72" s="260"/>
      <c r="L72" s="260"/>
      <c r="M72" s="260"/>
      <c r="N72" s="260"/>
      <c r="O72" s="260"/>
      <c r="P72" s="142"/>
      <c r="Q72" s="142"/>
      <c r="R72" s="142"/>
    </row>
    <row r="73" spans="2:18">
      <c r="D73" s="260"/>
      <c r="E73" s="260"/>
      <c r="F73" s="260"/>
      <c r="G73" s="260"/>
      <c r="H73" s="260"/>
      <c r="I73" s="260"/>
      <c r="J73" s="260"/>
      <c r="K73" s="260"/>
      <c r="L73" s="260"/>
      <c r="M73" s="260"/>
      <c r="N73" s="260"/>
      <c r="O73" s="260"/>
    </row>
  </sheetData>
  <sheetProtection formatCells="0" formatColumns="0" insertColumns="0" insertRows="0" deleteColumns="0" deleteRows="0"/>
  <mergeCells count="74">
    <mergeCell ref="D72:O73"/>
    <mergeCell ref="H46:I46"/>
    <mergeCell ref="J46:L46"/>
    <mergeCell ref="H51:I51"/>
    <mergeCell ref="J51:L51"/>
    <mergeCell ref="H52:I52"/>
    <mergeCell ref="J52:L52"/>
    <mergeCell ref="H53:K53"/>
    <mergeCell ref="A56:L56"/>
    <mergeCell ref="A57:L58"/>
    <mergeCell ref="A59:L59"/>
    <mergeCell ref="E70:P70"/>
    <mergeCell ref="A39:B39"/>
    <mergeCell ref="D39:E39"/>
    <mergeCell ref="J39:K39"/>
    <mergeCell ref="A40:B40"/>
    <mergeCell ref="D40:E40"/>
    <mergeCell ref="J40:K40"/>
    <mergeCell ref="A38:B38"/>
    <mergeCell ref="D38:E38"/>
    <mergeCell ref="H38:I38"/>
    <mergeCell ref="J38:K38"/>
    <mergeCell ref="A28:B28"/>
    <mergeCell ref="A29:E29"/>
    <mergeCell ref="A30:B30"/>
    <mergeCell ref="A31:B31"/>
    <mergeCell ref="A32:B32"/>
    <mergeCell ref="A33:B33"/>
    <mergeCell ref="A34:B34"/>
    <mergeCell ref="A36:E36"/>
    <mergeCell ref="H36:K36"/>
    <mergeCell ref="A37:B37"/>
    <mergeCell ref="D37:E37"/>
    <mergeCell ref="A27:B27"/>
    <mergeCell ref="A19:C19"/>
    <mergeCell ref="G19:H20"/>
    <mergeCell ref="I19:J19"/>
    <mergeCell ref="K19:L19"/>
    <mergeCell ref="A20:B20"/>
    <mergeCell ref="A21:B21"/>
    <mergeCell ref="A22:B22"/>
    <mergeCell ref="A23:B23"/>
    <mergeCell ref="A24:B24"/>
    <mergeCell ref="A25:B25"/>
    <mergeCell ref="A26:B26"/>
    <mergeCell ref="A18:E18"/>
    <mergeCell ref="G18:L18"/>
    <mergeCell ref="C8:G8"/>
    <mergeCell ref="H8:I8"/>
    <mergeCell ref="J8:L8"/>
    <mergeCell ref="C9:G9"/>
    <mergeCell ref="H9:I9"/>
    <mergeCell ref="C10:G10"/>
    <mergeCell ref="H10:I10"/>
    <mergeCell ref="J10:L10"/>
    <mergeCell ref="B11:K11"/>
    <mergeCell ref="F12:G12"/>
    <mergeCell ref="H12:I12"/>
    <mergeCell ref="C13:L13"/>
    <mergeCell ref="A16:L16"/>
    <mergeCell ref="B5:K5"/>
    <mergeCell ref="C6:G6"/>
    <mergeCell ref="H6:I6"/>
    <mergeCell ref="J6:L6"/>
    <mergeCell ref="C7:G7"/>
    <mergeCell ref="H7:I7"/>
    <mergeCell ref="J7:L7"/>
    <mergeCell ref="A1:B4"/>
    <mergeCell ref="C1:J1"/>
    <mergeCell ref="K1:L1"/>
    <mergeCell ref="C2:J4"/>
    <mergeCell ref="K2:L2"/>
    <mergeCell ref="K3:L3"/>
    <mergeCell ref="K4:L4"/>
  </mergeCells>
  <conditionalFormatting sqref="C6:G10">
    <cfRule type="containsBlanks" dxfId="29" priority="10">
      <formula>LEN(TRIM(C6))=0</formula>
    </cfRule>
  </conditionalFormatting>
  <conditionalFormatting sqref="C13:L13">
    <cfRule type="containsBlanks" dxfId="28" priority="9">
      <formula>LEN(TRIM(C13))=0</formula>
    </cfRule>
  </conditionalFormatting>
  <conditionalFormatting sqref="D20:D24">
    <cfRule type="containsBlanks" dxfId="27" priority="4">
      <formula>LEN(TRIM(D20))=0</formula>
    </cfRule>
  </conditionalFormatting>
  <conditionalFormatting sqref="D37:D38">
    <cfRule type="containsBlanks" dxfId="26" priority="3">
      <formula>LEN(TRIM(D37))=0</formula>
    </cfRule>
  </conditionalFormatting>
  <conditionalFormatting sqref="D30:E33">
    <cfRule type="containsBlanks" dxfId="25" priority="1">
      <formula>LEN(TRIM(D30))=0</formula>
    </cfRule>
  </conditionalFormatting>
  <conditionalFormatting sqref="E23">
    <cfRule type="containsBlanks" dxfId="24" priority="5">
      <formula>LEN(TRIM(E23))=0</formula>
    </cfRule>
  </conditionalFormatting>
  <conditionalFormatting sqref="F12:G12">
    <cfRule type="containsBlanks" dxfId="23" priority="8">
      <formula>LEN(TRIM(F12))=0</formula>
    </cfRule>
  </conditionalFormatting>
  <conditionalFormatting sqref="I22:I34">
    <cfRule type="containsBlanks" dxfId="22" priority="7">
      <formula>LEN(TRIM(I22))=0</formula>
    </cfRule>
  </conditionalFormatting>
  <conditionalFormatting sqref="I37">
    <cfRule type="containsBlanks" dxfId="21" priority="2">
      <formula>LEN(TRIM(I37))=0</formula>
    </cfRule>
  </conditionalFormatting>
  <conditionalFormatting sqref="K22:K34">
    <cfRule type="containsBlanks" dxfId="20" priority="6">
      <formula>LEN(TRIM(K22))=0</formula>
    </cfRule>
  </conditionalFormatting>
  <dataValidations count="2">
    <dataValidation type="list" allowBlank="1" showInputMessage="1" showErrorMessage="1" sqref="C12" xr:uid="{33BD932D-5B49-4D47-95B1-7C497EA914E7}">
      <formula1>$T$6:$T$13</formula1>
    </dataValidation>
    <dataValidation type="list" allowBlank="1" showInputMessage="1" showErrorMessage="1" sqref="I37" xr:uid="{A8C63D3B-6EC6-40C3-8035-A6E37689D661}">
      <formula1>"5 kN, 50 kN"</formula1>
    </dataValidation>
  </dataValidations>
  <printOptions horizontalCentered="1" verticalCentered="1"/>
  <pageMargins left="0.31496062992126" right="0.31496062992126" top="0.15748031496063" bottom="0.55118110236220497" header="0" footer="0.118110236220472"/>
  <pageSetup scale="46" fitToWidth="0" fitToHeight="0" orientation="landscape" r:id="rId1"/>
  <headerFooter>
    <oddFooter>&amp;C&amp;"Arial,Normal"&amp;10GEODELTA S.A.S. Calle 68 B bis No 70 C 95, Móvil: 318 7902368 Bogotá DC - Colombia
e-mail: laboratoriogeodelta@gmail.com</oddFooter>
  </headerFooter>
  <drawing r:id="rId2"/>
  <legacyDrawing r:id="rId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6AD38-5E8F-4837-BE56-538E00AFFC64}">
  <sheetPr>
    <tabColor theme="9" tint="0.59999389629810485"/>
  </sheetPr>
  <dimension ref="A1:AB73"/>
  <sheetViews>
    <sheetView showGridLines="0" view="pageBreakPreview" topLeftCell="A15" zoomScale="96" zoomScaleNormal="50" zoomScaleSheetLayoutView="96" zoomScalePageLayoutView="50" workbookViewId="0">
      <selection activeCell="J15" sqref="J15"/>
    </sheetView>
  </sheetViews>
  <sheetFormatPr baseColWidth="10" defaultColWidth="11" defaultRowHeight="14.25"/>
  <cols>
    <col min="1" max="1" width="10.5703125" style="3" customWidth="1"/>
    <col min="2" max="2" width="35.42578125" style="3" customWidth="1"/>
    <col min="3" max="3" width="20.85546875" style="3" customWidth="1"/>
    <col min="4" max="5" width="26.7109375" style="3" customWidth="1"/>
    <col min="6" max="6" width="3.7109375" style="3" customWidth="1"/>
    <col min="7" max="7" width="29.140625" style="3" customWidth="1"/>
    <col min="8" max="8" width="27.140625" style="3" customWidth="1"/>
    <col min="9" max="10" width="24.28515625" style="3" customWidth="1"/>
    <col min="11" max="12" width="22.42578125" style="3" customWidth="1"/>
    <col min="13" max="13" width="1.85546875" style="3" customWidth="1"/>
    <col min="14" max="16" width="12.85546875" style="3" customWidth="1"/>
    <col min="17" max="17" width="6.5703125" style="3" customWidth="1"/>
    <col min="18" max="18" width="6.28515625" style="3" customWidth="1"/>
    <col min="19" max="184" width="11" style="3"/>
    <col min="185" max="185" width="0.7109375" style="3" customWidth="1"/>
    <col min="186" max="186" width="6.5703125" style="3" customWidth="1"/>
    <col min="187" max="187" width="13.5703125" style="3" customWidth="1"/>
    <col min="188" max="188" width="13.42578125" style="3" customWidth="1"/>
    <col min="189" max="190" width="12.5703125" style="3" customWidth="1"/>
    <col min="191" max="191" width="14.85546875" style="3" customWidth="1"/>
    <col min="192" max="192" width="20.7109375" style="3" customWidth="1"/>
    <col min="193" max="193" width="12.5703125" style="3" customWidth="1"/>
    <col min="194" max="194" width="13" style="3" customWidth="1"/>
    <col min="195" max="195" width="16" style="3" customWidth="1"/>
    <col min="196" max="196" width="6.42578125" style="3" customWidth="1"/>
    <col min="197" max="197" width="16" style="3" customWidth="1"/>
    <col min="198" max="198" width="2.85546875" style="3" customWidth="1"/>
    <col min="199" max="199" width="0.85546875" style="3" customWidth="1"/>
    <col min="200" max="200" width="11" style="3"/>
    <col min="201" max="201" width="15.42578125" style="3" customWidth="1"/>
    <col min="202" max="204" width="14.85546875" style="3" customWidth="1"/>
    <col min="205" max="205" width="0.7109375" style="3" customWidth="1"/>
    <col min="206" max="206" width="11" style="3"/>
    <col min="207" max="207" width="15.7109375" style="3" customWidth="1"/>
    <col min="208" max="209" width="14.85546875" style="3" customWidth="1"/>
    <col min="210" max="210" width="3.28515625" style="3" customWidth="1"/>
    <col min="211" max="211" width="20.140625" style="3" customWidth="1"/>
    <col min="212" max="212" width="3.28515625" style="3" customWidth="1"/>
    <col min="213" max="217" width="11" style="3"/>
    <col min="218" max="230" width="4.7109375" style="3" customWidth="1"/>
    <col min="231" max="440" width="11" style="3"/>
    <col min="441" max="441" width="0.7109375" style="3" customWidth="1"/>
    <col min="442" max="442" width="6.5703125" style="3" customWidth="1"/>
    <col min="443" max="443" width="13.5703125" style="3" customWidth="1"/>
    <col min="444" max="444" width="13.42578125" style="3" customWidth="1"/>
    <col min="445" max="446" width="12.5703125" style="3" customWidth="1"/>
    <col min="447" max="447" width="14.85546875" style="3" customWidth="1"/>
    <col min="448" max="448" width="20.7109375" style="3" customWidth="1"/>
    <col min="449" max="449" width="12.5703125" style="3" customWidth="1"/>
    <col min="450" max="450" width="13" style="3" customWidth="1"/>
    <col min="451" max="451" width="16" style="3" customWidth="1"/>
    <col min="452" max="452" width="6.42578125" style="3" customWidth="1"/>
    <col min="453" max="453" width="16" style="3" customWidth="1"/>
    <col min="454" max="454" width="2.85546875" style="3" customWidth="1"/>
    <col min="455" max="455" width="0.85546875" style="3" customWidth="1"/>
    <col min="456" max="456" width="11" style="3"/>
    <col min="457" max="457" width="15.42578125" style="3" customWidth="1"/>
    <col min="458" max="460" width="14.85546875" style="3" customWidth="1"/>
    <col min="461" max="461" width="0.7109375" style="3" customWidth="1"/>
    <col min="462" max="462" width="11" style="3"/>
    <col min="463" max="463" width="15.7109375" style="3" customWidth="1"/>
    <col min="464" max="465" width="14.85546875" style="3" customWidth="1"/>
    <col min="466" max="466" width="3.28515625" style="3" customWidth="1"/>
    <col min="467" max="467" width="20.140625" style="3" customWidth="1"/>
    <col min="468" max="468" width="3.28515625" style="3" customWidth="1"/>
    <col min="469" max="473" width="11" style="3"/>
    <col min="474" max="486" width="4.7109375" style="3" customWidth="1"/>
    <col min="487" max="696" width="11" style="3"/>
    <col min="697" max="697" width="0.7109375" style="3" customWidth="1"/>
    <col min="698" max="698" width="6.5703125" style="3" customWidth="1"/>
    <col min="699" max="699" width="13.5703125" style="3" customWidth="1"/>
    <col min="700" max="700" width="13.42578125" style="3" customWidth="1"/>
    <col min="701" max="702" width="12.5703125" style="3" customWidth="1"/>
    <col min="703" max="703" width="14.85546875" style="3" customWidth="1"/>
    <col min="704" max="704" width="20.7109375" style="3" customWidth="1"/>
    <col min="705" max="705" width="12.5703125" style="3" customWidth="1"/>
    <col min="706" max="706" width="13" style="3" customWidth="1"/>
    <col min="707" max="707" width="16" style="3" customWidth="1"/>
    <col min="708" max="708" width="6.42578125" style="3" customWidth="1"/>
    <col min="709" max="709" width="16" style="3" customWidth="1"/>
    <col min="710" max="710" width="2.85546875" style="3" customWidth="1"/>
    <col min="711" max="711" width="0.85546875" style="3" customWidth="1"/>
    <col min="712" max="712" width="11" style="3"/>
    <col min="713" max="713" width="15.42578125" style="3" customWidth="1"/>
    <col min="714" max="716" width="14.85546875" style="3" customWidth="1"/>
    <col min="717" max="717" width="0.7109375" style="3" customWidth="1"/>
    <col min="718" max="718" width="11" style="3"/>
    <col min="719" max="719" width="15.7109375" style="3" customWidth="1"/>
    <col min="720" max="721" width="14.85546875" style="3" customWidth="1"/>
    <col min="722" max="722" width="3.28515625" style="3" customWidth="1"/>
    <col min="723" max="723" width="20.140625" style="3" customWidth="1"/>
    <col min="724" max="724" width="3.28515625" style="3" customWidth="1"/>
    <col min="725" max="729" width="11" style="3"/>
    <col min="730" max="742" width="4.7109375" style="3" customWidth="1"/>
    <col min="743" max="952" width="11" style="3"/>
    <col min="953" max="953" width="0.7109375" style="3" customWidth="1"/>
    <col min="954" max="954" width="6.5703125" style="3" customWidth="1"/>
    <col min="955" max="955" width="13.5703125" style="3" customWidth="1"/>
    <col min="956" max="956" width="13.42578125" style="3" customWidth="1"/>
    <col min="957" max="958" width="12.5703125" style="3" customWidth="1"/>
    <col min="959" max="959" width="14.85546875" style="3" customWidth="1"/>
    <col min="960" max="960" width="20.7109375" style="3" customWidth="1"/>
    <col min="961" max="961" width="12.5703125" style="3" customWidth="1"/>
    <col min="962" max="962" width="13" style="3" customWidth="1"/>
    <col min="963" max="963" width="16" style="3" customWidth="1"/>
    <col min="964" max="964" width="6.42578125" style="3" customWidth="1"/>
    <col min="965" max="965" width="16" style="3" customWidth="1"/>
    <col min="966" max="966" width="2.85546875" style="3" customWidth="1"/>
    <col min="967" max="967" width="0.85546875" style="3" customWidth="1"/>
    <col min="968" max="968" width="11" style="3"/>
    <col min="969" max="969" width="15.42578125" style="3" customWidth="1"/>
    <col min="970" max="972" width="14.85546875" style="3" customWidth="1"/>
    <col min="973" max="973" width="0.7109375" style="3" customWidth="1"/>
    <col min="974" max="974" width="11" style="3"/>
    <col min="975" max="975" width="15.7109375" style="3" customWidth="1"/>
    <col min="976" max="977" width="14.85546875" style="3" customWidth="1"/>
    <col min="978" max="978" width="3.28515625" style="3" customWidth="1"/>
    <col min="979" max="979" width="20.140625" style="3" customWidth="1"/>
    <col min="980" max="980" width="3.28515625" style="3" customWidth="1"/>
    <col min="981" max="985" width="11" style="3"/>
    <col min="986" max="998" width="4.7109375" style="3" customWidth="1"/>
    <col min="999" max="1208" width="11" style="3"/>
    <col min="1209" max="1209" width="0.7109375" style="3" customWidth="1"/>
    <col min="1210" max="1210" width="6.5703125" style="3" customWidth="1"/>
    <col min="1211" max="1211" width="13.5703125" style="3" customWidth="1"/>
    <col min="1212" max="1212" width="13.42578125" style="3" customWidth="1"/>
    <col min="1213" max="1214" width="12.5703125" style="3" customWidth="1"/>
    <col min="1215" max="1215" width="14.85546875" style="3" customWidth="1"/>
    <col min="1216" max="1216" width="20.7109375" style="3" customWidth="1"/>
    <col min="1217" max="1217" width="12.5703125" style="3" customWidth="1"/>
    <col min="1218" max="1218" width="13" style="3" customWidth="1"/>
    <col min="1219" max="1219" width="16" style="3" customWidth="1"/>
    <col min="1220" max="1220" width="6.42578125" style="3" customWidth="1"/>
    <col min="1221" max="1221" width="16" style="3" customWidth="1"/>
    <col min="1222" max="1222" width="2.85546875" style="3" customWidth="1"/>
    <col min="1223" max="1223" width="0.85546875" style="3" customWidth="1"/>
    <col min="1224" max="1224" width="11" style="3"/>
    <col min="1225" max="1225" width="15.42578125" style="3" customWidth="1"/>
    <col min="1226" max="1228" width="14.85546875" style="3" customWidth="1"/>
    <col min="1229" max="1229" width="0.7109375" style="3" customWidth="1"/>
    <col min="1230" max="1230" width="11" style="3"/>
    <col min="1231" max="1231" width="15.7109375" style="3" customWidth="1"/>
    <col min="1232" max="1233" width="14.85546875" style="3" customWidth="1"/>
    <col min="1234" max="1234" width="3.28515625" style="3" customWidth="1"/>
    <col min="1235" max="1235" width="20.140625" style="3" customWidth="1"/>
    <col min="1236" max="1236" width="3.28515625" style="3" customWidth="1"/>
    <col min="1237" max="1241" width="11" style="3"/>
    <col min="1242" max="1254" width="4.7109375" style="3" customWidth="1"/>
    <col min="1255" max="1464" width="11" style="3"/>
    <col min="1465" max="1465" width="0.7109375" style="3" customWidth="1"/>
    <col min="1466" max="1466" width="6.5703125" style="3" customWidth="1"/>
    <col min="1467" max="1467" width="13.5703125" style="3" customWidth="1"/>
    <col min="1468" max="1468" width="13.42578125" style="3" customWidth="1"/>
    <col min="1469" max="1470" width="12.5703125" style="3" customWidth="1"/>
    <col min="1471" max="1471" width="14.85546875" style="3" customWidth="1"/>
    <col min="1472" max="1472" width="20.7109375" style="3" customWidth="1"/>
    <col min="1473" max="1473" width="12.5703125" style="3" customWidth="1"/>
    <col min="1474" max="1474" width="13" style="3" customWidth="1"/>
    <col min="1475" max="1475" width="16" style="3" customWidth="1"/>
    <col min="1476" max="1476" width="6.42578125" style="3" customWidth="1"/>
    <col min="1477" max="1477" width="16" style="3" customWidth="1"/>
    <col min="1478" max="1478" width="2.85546875" style="3" customWidth="1"/>
    <col min="1479" max="1479" width="0.85546875" style="3" customWidth="1"/>
    <col min="1480" max="1480" width="11" style="3"/>
    <col min="1481" max="1481" width="15.42578125" style="3" customWidth="1"/>
    <col min="1482" max="1484" width="14.85546875" style="3" customWidth="1"/>
    <col min="1485" max="1485" width="0.7109375" style="3" customWidth="1"/>
    <col min="1486" max="1486" width="11" style="3"/>
    <col min="1487" max="1487" width="15.7109375" style="3" customWidth="1"/>
    <col min="1488" max="1489" width="14.85546875" style="3" customWidth="1"/>
    <col min="1490" max="1490" width="3.28515625" style="3" customWidth="1"/>
    <col min="1491" max="1491" width="20.140625" style="3" customWidth="1"/>
    <col min="1492" max="1492" width="3.28515625" style="3" customWidth="1"/>
    <col min="1493" max="1497" width="11" style="3"/>
    <col min="1498" max="1510" width="4.7109375" style="3" customWidth="1"/>
    <col min="1511" max="1720" width="11" style="3"/>
    <col min="1721" max="1721" width="0.7109375" style="3" customWidth="1"/>
    <col min="1722" max="1722" width="6.5703125" style="3" customWidth="1"/>
    <col min="1723" max="1723" width="13.5703125" style="3" customWidth="1"/>
    <col min="1724" max="1724" width="13.42578125" style="3" customWidth="1"/>
    <col min="1725" max="1726" width="12.5703125" style="3" customWidth="1"/>
    <col min="1727" max="1727" width="14.85546875" style="3" customWidth="1"/>
    <col min="1728" max="1728" width="20.7109375" style="3" customWidth="1"/>
    <col min="1729" max="1729" width="12.5703125" style="3" customWidth="1"/>
    <col min="1730" max="1730" width="13" style="3" customWidth="1"/>
    <col min="1731" max="1731" width="16" style="3" customWidth="1"/>
    <col min="1732" max="1732" width="6.42578125" style="3" customWidth="1"/>
    <col min="1733" max="1733" width="16" style="3" customWidth="1"/>
    <col min="1734" max="1734" width="2.85546875" style="3" customWidth="1"/>
    <col min="1735" max="1735" width="0.85546875" style="3" customWidth="1"/>
    <col min="1736" max="1736" width="11" style="3"/>
    <col min="1737" max="1737" width="15.42578125" style="3" customWidth="1"/>
    <col min="1738" max="1740" width="14.85546875" style="3" customWidth="1"/>
    <col min="1741" max="1741" width="0.7109375" style="3" customWidth="1"/>
    <col min="1742" max="1742" width="11" style="3"/>
    <col min="1743" max="1743" width="15.7109375" style="3" customWidth="1"/>
    <col min="1744" max="1745" width="14.85546875" style="3" customWidth="1"/>
    <col min="1746" max="1746" width="3.28515625" style="3" customWidth="1"/>
    <col min="1747" max="1747" width="20.140625" style="3" customWidth="1"/>
    <col min="1748" max="1748" width="3.28515625" style="3" customWidth="1"/>
    <col min="1749" max="1753" width="11" style="3"/>
    <col min="1754" max="1766" width="4.7109375" style="3" customWidth="1"/>
    <col min="1767" max="1976" width="11" style="3"/>
    <col min="1977" max="1977" width="0.7109375" style="3" customWidth="1"/>
    <col min="1978" max="1978" width="6.5703125" style="3" customWidth="1"/>
    <col min="1979" max="1979" width="13.5703125" style="3" customWidth="1"/>
    <col min="1980" max="1980" width="13.42578125" style="3" customWidth="1"/>
    <col min="1981" max="1982" width="12.5703125" style="3" customWidth="1"/>
    <col min="1983" max="1983" width="14.85546875" style="3" customWidth="1"/>
    <col min="1984" max="1984" width="20.7109375" style="3" customWidth="1"/>
    <col min="1985" max="1985" width="12.5703125" style="3" customWidth="1"/>
    <col min="1986" max="1986" width="13" style="3" customWidth="1"/>
    <col min="1987" max="1987" width="16" style="3" customWidth="1"/>
    <col min="1988" max="1988" width="6.42578125" style="3" customWidth="1"/>
    <col min="1989" max="1989" width="16" style="3" customWidth="1"/>
    <col min="1990" max="1990" width="2.85546875" style="3" customWidth="1"/>
    <col min="1991" max="1991" width="0.85546875" style="3" customWidth="1"/>
    <col min="1992" max="1992" width="11" style="3"/>
    <col min="1993" max="1993" width="15.42578125" style="3" customWidth="1"/>
    <col min="1994" max="1996" width="14.85546875" style="3" customWidth="1"/>
    <col min="1997" max="1997" width="0.7109375" style="3" customWidth="1"/>
    <col min="1998" max="1998" width="11" style="3"/>
    <col min="1999" max="1999" width="15.7109375" style="3" customWidth="1"/>
    <col min="2000" max="2001" width="14.85546875" style="3" customWidth="1"/>
    <col min="2002" max="2002" width="3.28515625" style="3" customWidth="1"/>
    <col min="2003" max="2003" width="20.140625" style="3" customWidth="1"/>
    <col min="2004" max="2004" width="3.28515625" style="3" customWidth="1"/>
    <col min="2005" max="2009" width="11" style="3"/>
    <col min="2010" max="2022" width="4.7109375" style="3" customWidth="1"/>
    <col min="2023" max="2232" width="11" style="3"/>
    <col min="2233" max="2233" width="0.7109375" style="3" customWidth="1"/>
    <col min="2234" max="2234" width="6.5703125" style="3" customWidth="1"/>
    <col min="2235" max="2235" width="13.5703125" style="3" customWidth="1"/>
    <col min="2236" max="2236" width="13.42578125" style="3" customWidth="1"/>
    <col min="2237" max="2238" width="12.5703125" style="3" customWidth="1"/>
    <col min="2239" max="2239" width="14.85546875" style="3" customWidth="1"/>
    <col min="2240" max="2240" width="20.7109375" style="3" customWidth="1"/>
    <col min="2241" max="2241" width="12.5703125" style="3" customWidth="1"/>
    <col min="2242" max="2242" width="13" style="3" customWidth="1"/>
    <col min="2243" max="2243" width="16" style="3" customWidth="1"/>
    <col min="2244" max="2244" width="6.42578125" style="3" customWidth="1"/>
    <col min="2245" max="2245" width="16" style="3" customWidth="1"/>
    <col min="2246" max="2246" width="2.85546875" style="3" customWidth="1"/>
    <col min="2247" max="2247" width="0.85546875" style="3" customWidth="1"/>
    <col min="2248" max="2248" width="11" style="3"/>
    <col min="2249" max="2249" width="15.42578125" style="3" customWidth="1"/>
    <col min="2250" max="2252" width="14.85546875" style="3" customWidth="1"/>
    <col min="2253" max="2253" width="0.7109375" style="3" customWidth="1"/>
    <col min="2254" max="2254" width="11" style="3"/>
    <col min="2255" max="2255" width="15.7109375" style="3" customWidth="1"/>
    <col min="2256" max="2257" width="14.85546875" style="3" customWidth="1"/>
    <col min="2258" max="2258" width="3.28515625" style="3" customWidth="1"/>
    <col min="2259" max="2259" width="20.140625" style="3" customWidth="1"/>
    <col min="2260" max="2260" width="3.28515625" style="3" customWidth="1"/>
    <col min="2261" max="2265" width="11" style="3"/>
    <col min="2266" max="2278" width="4.7109375" style="3" customWidth="1"/>
    <col min="2279" max="2488" width="11" style="3"/>
    <col min="2489" max="2489" width="0.7109375" style="3" customWidth="1"/>
    <col min="2490" max="2490" width="6.5703125" style="3" customWidth="1"/>
    <col min="2491" max="2491" width="13.5703125" style="3" customWidth="1"/>
    <col min="2492" max="2492" width="13.42578125" style="3" customWidth="1"/>
    <col min="2493" max="2494" width="12.5703125" style="3" customWidth="1"/>
    <col min="2495" max="2495" width="14.85546875" style="3" customWidth="1"/>
    <col min="2496" max="2496" width="20.7109375" style="3" customWidth="1"/>
    <col min="2497" max="2497" width="12.5703125" style="3" customWidth="1"/>
    <col min="2498" max="2498" width="13" style="3" customWidth="1"/>
    <col min="2499" max="2499" width="16" style="3" customWidth="1"/>
    <col min="2500" max="2500" width="6.42578125" style="3" customWidth="1"/>
    <col min="2501" max="2501" width="16" style="3" customWidth="1"/>
    <col min="2502" max="2502" width="2.85546875" style="3" customWidth="1"/>
    <col min="2503" max="2503" width="0.85546875" style="3" customWidth="1"/>
    <col min="2504" max="2504" width="11" style="3"/>
    <col min="2505" max="2505" width="15.42578125" style="3" customWidth="1"/>
    <col min="2506" max="2508" width="14.85546875" style="3" customWidth="1"/>
    <col min="2509" max="2509" width="0.7109375" style="3" customWidth="1"/>
    <col min="2510" max="2510" width="11" style="3"/>
    <col min="2511" max="2511" width="15.7109375" style="3" customWidth="1"/>
    <col min="2512" max="2513" width="14.85546875" style="3" customWidth="1"/>
    <col min="2514" max="2514" width="3.28515625" style="3" customWidth="1"/>
    <col min="2515" max="2515" width="20.140625" style="3" customWidth="1"/>
    <col min="2516" max="2516" width="3.28515625" style="3" customWidth="1"/>
    <col min="2517" max="2521" width="11" style="3"/>
    <col min="2522" max="2534" width="4.7109375" style="3" customWidth="1"/>
    <col min="2535" max="2744" width="11" style="3"/>
    <col min="2745" max="2745" width="0.7109375" style="3" customWidth="1"/>
    <col min="2746" max="2746" width="6.5703125" style="3" customWidth="1"/>
    <col min="2747" max="2747" width="13.5703125" style="3" customWidth="1"/>
    <col min="2748" max="2748" width="13.42578125" style="3" customWidth="1"/>
    <col min="2749" max="2750" width="12.5703125" style="3" customWidth="1"/>
    <col min="2751" max="2751" width="14.85546875" style="3" customWidth="1"/>
    <col min="2752" max="2752" width="20.7109375" style="3" customWidth="1"/>
    <col min="2753" max="2753" width="12.5703125" style="3" customWidth="1"/>
    <col min="2754" max="2754" width="13" style="3" customWidth="1"/>
    <col min="2755" max="2755" width="16" style="3" customWidth="1"/>
    <col min="2756" max="2756" width="6.42578125" style="3" customWidth="1"/>
    <col min="2757" max="2757" width="16" style="3" customWidth="1"/>
    <col min="2758" max="2758" width="2.85546875" style="3" customWidth="1"/>
    <col min="2759" max="2759" width="0.85546875" style="3" customWidth="1"/>
    <col min="2760" max="2760" width="11" style="3"/>
    <col min="2761" max="2761" width="15.42578125" style="3" customWidth="1"/>
    <col min="2762" max="2764" width="14.85546875" style="3" customWidth="1"/>
    <col min="2765" max="2765" width="0.7109375" style="3" customWidth="1"/>
    <col min="2766" max="2766" width="11" style="3"/>
    <col min="2767" max="2767" width="15.7109375" style="3" customWidth="1"/>
    <col min="2768" max="2769" width="14.85546875" style="3" customWidth="1"/>
    <col min="2770" max="2770" width="3.28515625" style="3" customWidth="1"/>
    <col min="2771" max="2771" width="20.140625" style="3" customWidth="1"/>
    <col min="2772" max="2772" width="3.28515625" style="3" customWidth="1"/>
    <col min="2773" max="2777" width="11" style="3"/>
    <col min="2778" max="2790" width="4.7109375" style="3" customWidth="1"/>
    <col min="2791" max="3000" width="11" style="3"/>
    <col min="3001" max="3001" width="0.7109375" style="3" customWidth="1"/>
    <col min="3002" max="3002" width="6.5703125" style="3" customWidth="1"/>
    <col min="3003" max="3003" width="13.5703125" style="3" customWidth="1"/>
    <col min="3004" max="3004" width="13.42578125" style="3" customWidth="1"/>
    <col min="3005" max="3006" width="12.5703125" style="3" customWidth="1"/>
    <col min="3007" max="3007" width="14.85546875" style="3" customWidth="1"/>
    <col min="3008" max="3008" width="20.7109375" style="3" customWidth="1"/>
    <col min="3009" max="3009" width="12.5703125" style="3" customWidth="1"/>
    <col min="3010" max="3010" width="13" style="3" customWidth="1"/>
    <col min="3011" max="3011" width="16" style="3" customWidth="1"/>
    <col min="3012" max="3012" width="6.42578125" style="3" customWidth="1"/>
    <col min="3013" max="3013" width="16" style="3" customWidth="1"/>
    <col min="3014" max="3014" width="2.85546875" style="3" customWidth="1"/>
    <col min="3015" max="3015" width="0.85546875" style="3" customWidth="1"/>
    <col min="3016" max="3016" width="11" style="3"/>
    <col min="3017" max="3017" width="15.42578125" style="3" customWidth="1"/>
    <col min="3018" max="3020" width="14.85546875" style="3" customWidth="1"/>
    <col min="3021" max="3021" width="0.7109375" style="3" customWidth="1"/>
    <col min="3022" max="3022" width="11" style="3"/>
    <col min="3023" max="3023" width="15.7109375" style="3" customWidth="1"/>
    <col min="3024" max="3025" width="14.85546875" style="3" customWidth="1"/>
    <col min="3026" max="3026" width="3.28515625" style="3" customWidth="1"/>
    <col min="3027" max="3027" width="20.140625" style="3" customWidth="1"/>
    <col min="3028" max="3028" width="3.28515625" style="3" customWidth="1"/>
    <col min="3029" max="3033" width="11" style="3"/>
    <col min="3034" max="3046" width="4.7109375" style="3" customWidth="1"/>
    <col min="3047" max="3256" width="11" style="3"/>
    <col min="3257" max="3257" width="0.7109375" style="3" customWidth="1"/>
    <col min="3258" max="3258" width="6.5703125" style="3" customWidth="1"/>
    <col min="3259" max="3259" width="13.5703125" style="3" customWidth="1"/>
    <col min="3260" max="3260" width="13.42578125" style="3" customWidth="1"/>
    <col min="3261" max="3262" width="12.5703125" style="3" customWidth="1"/>
    <col min="3263" max="3263" width="14.85546875" style="3" customWidth="1"/>
    <col min="3264" max="3264" width="20.7109375" style="3" customWidth="1"/>
    <col min="3265" max="3265" width="12.5703125" style="3" customWidth="1"/>
    <col min="3266" max="3266" width="13" style="3" customWidth="1"/>
    <col min="3267" max="3267" width="16" style="3" customWidth="1"/>
    <col min="3268" max="3268" width="6.42578125" style="3" customWidth="1"/>
    <col min="3269" max="3269" width="16" style="3" customWidth="1"/>
    <col min="3270" max="3270" width="2.85546875" style="3" customWidth="1"/>
    <col min="3271" max="3271" width="0.85546875" style="3" customWidth="1"/>
    <col min="3272" max="3272" width="11" style="3"/>
    <col min="3273" max="3273" width="15.42578125" style="3" customWidth="1"/>
    <col min="3274" max="3276" width="14.85546875" style="3" customWidth="1"/>
    <col min="3277" max="3277" width="0.7109375" style="3" customWidth="1"/>
    <col min="3278" max="3278" width="11" style="3"/>
    <col min="3279" max="3279" width="15.7109375" style="3" customWidth="1"/>
    <col min="3280" max="3281" width="14.85546875" style="3" customWidth="1"/>
    <col min="3282" max="3282" width="3.28515625" style="3" customWidth="1"/>
    <col min="3283" max="3283" width="20.140625" style="3" customWidth="1"/>
    <col min="3284" max="3284" width="3.28515625" style="3" customWidth="1"/>
    <col min="3285" max="3289" width="11" style="3"/>
    <col min="3290" max="3302" width="4.7109375" style="3" customWidth="1"/>
    <col min="3303" max="3512" width="11" style="3"/>
    <col min="3513" max="3513" width="0.7109375" style="3" customWidth="1"/>
    <col min="3514" max="3514" width="6.5703125" style="3" customWidth="1"/>
    <col min="3515" max="3515" width="13.5703125" style="3" customWidth="1"/>
    <col min="3516" max="3516" width="13.42578125" style="3" customWidth="1"/>
    <col min="3517" max="3518" width="12.5703125" style="3" customWidth="1"/>
    <col min="3519" max="3519" width="14.85546875" style="3" customWidth="1"/>
    <col min="3520" max="3520" width="20.7109375" style="3" customWidth="1"/>
    <col min="3521" max="3521" width="12.5703125" style="3" customWidth="1"/>
    <col min="3522" max="3522" width="13" style="3" customWidth="1"/>
    <col min="3523" max="3523" width="16" style="3" customWidth="1"/>
    <col min="3524" max="3524" width="6.42578125" style="3" customWidth="1"/>
    <col min="3525" max="3525" width="16" style="3" customWidth="1"/>
    <col min="3526" max="3526" width="2.85546875" style="3" customWidth="1"/>
    <col min="3527" max="3527" width="0.85546875" style="3" customWidth="1"/>
    <col min="3528" max="3528" width="11" style="3"/>
    <col min="3529" max="3529" width="15.42578125" style="3" customWidth="1"/>
    <col min="3530" max="3532" width="14.85546875" style="3" customWidth="1"/>
    <col min="3533" max="3533" width="0.7109375" style="3" customWidth="1"/>
    <col min="3534" max="3534" width="11" style="3"/>
    <col min="3535" max="3535" width="15.7109375" style="3" customWidth="1"/>
    <col min="3536" max="3537" width="14.85546875" style="3" customWidth="1"/>
    <col min="3538" max="3538" width="3.28515625" style="3" customWidth="1"/>
    <col min="3539" max="3539" width="20.140625" style="3" customWidth="1"/>
    <col min="3540" max="3540" width="3.28515625" style="3" customWidth="1"/>
    <col min="3541" max="3545" width="11" style="3"/>
    <col min="3546" max="3558" width="4.7109375" style="3" customWidth="1"/>
    <col min="3559" max="3768" width="11" style="3"/>
    <col min="3769" max="3769" width="0.7109375" style="3" customWidth="1"/>
    <col min="3770" max="3770" width="6.5703125" style="3" customWidth="1"/>
    <col min="3771" max="3771" width="13.5703125" style="3" customWidth="1"/>
    <col min="3772" max="3772" width="13.42578125" style="3" customWidth="1"/>
    <col min="3773" max="3774" width="12.5703125" style="3" customWidth="1"/>
    <col min="3775" max="3775" width="14.85546875" style="3" customWidth="1"/>
    <col min="3776" max="3776" width="20.7109375" style="3" customWidth="1"/>
    <col min="3777" max="3777" width="12.5703125" style="3" customWidth="1"/>
    <col min="3778" max="3778" width="13" style="3" customWidth="1"/>
    <col min="3779" max="3779" width="16" style="3" customWidth="1"/>
    <col min="3780" max="3780" width="6.42578125" style="3" customWidth="1"/>
    <col min="3781" max="3781" width="16" style="3" customWidth="1"/>
    <col min="3782" max="3782" width="2.85546875" style="3" customWidth="1"/>
    <col min="3783" max="3783" width="0.85546875" style="3" customWidth="1"/>
    <col min="3784" max="3784" width="11" style="3"/>
    <col min="3785" max="3785" width="15.42578125" style="3" customWidth="1"/>
    <col min="3786" max="3788" width="14.85546875" style="3" customWidth="1"/>
    <col min="3789" max="3789" width="0.7109375" style="3" customWidth="1"/>
    <col min="3790" max="3790" width="11" style="3"/>
    <col min="3791" max="3791" width="15.7109375" style="3" customWidth="1"/>
    <col min="3792" max="3793" width="14.85546875" style="3" customWidth="1"/>
    <col min="3794" max="3794" width="3.28515625" style="3" customWidth="1"/>
    <col min="3795" max="3795" width="20.140625" style="3" customWidth="1"/>
    <col min="3796" max="3796" width="3.28515625" style="3" customWidth="1"/>
    <col min="3797" max="3801" width="11" style="3"/>
    <col min="3802" max="3814" width="4.7109375" style="3" customWidth="1"/>
    <col min="3815" max="4024" width="11" style="3"/>
    <col min="4025" max="4025" width="0.7109375" style="3" customWidth="1"/>
    <col min="4026" max="4026" width="6.5703125" style="3" customWidth="1"/>
    <col min="4027" max="4027" width="13.5703125" style="3" customWidth="1"/>
    <col min="4028" max="4028" width="13.42578125" style="3" customWidth="1"/>
    <col min="4029" max="4030" width="12.5703125" style="3" customWidth="1"/>
    <col min="4031" max="4031" width="14.85546875" style="3" customWidth="1"/>
    <col min="4032" max="4032" width="20.7109375" style="3" customWidth="1"/>
    <col min="4033" max="4033" width="12.5703125" style="3" customWidth="1"/>
    <col min="4034" max="4034" width="13" style="3" customWidth="1"/>
    <col min="4035" max="4035" width="16" style="3" customWidth="1"/>
    <col min="4036" max="4036" width="6.42578125" style="3" customWidth="1"/>
    <col min="4037" max="4037" width="16" style="3" customWidth="1"/>
    <col min="4038" max="4038" width="2.85546875" style="3" customWidth="1"/>
    <col min="4039" max="4039" width="0.85546875" style="3" customWidth="1"/>
    <col min="4040" max="4040" width="11" style="3"/>
    <col min="4041" max="4041" width="15.42578125" style="3" customWidth="1"/>
    <col min="4042" max="4044" width="14.85546875" style="3" customWidth="1"/>
    <col min="4045" max="4045" width="0.7109375" style="3" customWidth="1"/>
    <col min="4046" max="4046" width="11" style="3"/>
    <col min="4047" max="4047" width="15.7109375" style="3" customWidth="1"/>
    <col min="4048" max="4049" width="14.85546875" style="3" customWidth="1"/>
    <col min="4050" max="4050" width="3.28515625" style="3" customWidth="1"/>
    <col min="4051" max="4051" width="20.140625" style="3" customWidth="1"/>
    <col min="4052" max="4052" width="3.28515625" style="3" customWidth="1"/>
    <col min="4053" max="4057" width="11" style="3"/>
    <col min="4058" max="4070" width="4.7109375" style="3" customWidth="1"/>
    <col min="4071" max="4280" width="11" style="3"/>
    <col min="4281" max="4281" width="0.7109375" style="3" customWidth="1"/>
    <col min="4282" max="4282" width="6.5703125" style="3" customWidth="1"/>
    <col min="4283" max="4283" width="13.5703125" style="3" customWidth="1"/>
    <col min="4284" max="4284" width="13.42578125" style="3" customWidth="1"/>
    <col min="4285" max="4286" width="12.5703125" style="3" customWidth="1"/>
    <col min="4287" max="4287" width="14.85546875" style="3" customWidth="1"/>
    <col min="4288" max="4288" width="20.7109375" style="3" customWidth="1"/>
    <col min="4289" max="4289" width="12.5703125" style="3" customWidth="1"/>
    <col min="4290" max="4290" width="13" style="3" customWidth="1"/>
    <col min="4291" max="4291" width="16" style="3" customWidth="1"/>
    <col min="4292" max="4292" width="6.42578125" style="3" customWidth="1"/>
    <col min="4293" max="4293" width="16" style="3" customWidth="1"/>
    <col min="4294" max="4294" width="2.85546875" style="3" customWidth="1"/>
    <col min="4295" max="4295" width="0.85546875" style="3" customWidth="1"/>
    <col min="4296" max="4296" width="11" style="3"/>
    <col min="4297" max="4297" width="15.42578125" style="3" customWidth="1"/>
    <col min="4298" max="4300" width="14.85546875" style="3" customWidth="1"/>
    <col min="4301" max="4301" width="0.7109375" style="3" customWidth="1"/>
    <col min="4302" max="4302" width="11" style="3"/>
    <col min="4303" max="4303" width="15.7109375" style="3" customWidth="1"/>
    <col min="4304" max="4305" width="14.85546875" style="3" customWidth="1"/>
    <col min="4306" max="4306" width="3.28515625" style="3" customWidth="1"/>
    <col min="4307" max="4307" width="20.140625" style="3" customWidth="1"/>
    <col min="4308" max="4308" width="3.28515625" style="3" customWidth="1"/>
    <col min="4309" max="4313" width="11" style="3"/>
    <col min="4314" max="4326" width="4.7109375" style="3" customWidth="1"/>
    <col min="4327" max="4536" width="11" style="3"/>
    <col min="4537" max="4537" width="0.7109375" style="3" customWidth="1"/>
    <col min="4538" max="4538" width="6.5703125" style="3" customWidth="1"/>
    <col min="4539" max="4539" width="13.5703125" style="3" customWidth="1"/>
    <col min="4540" max="4540" width="13.42578125" style="3" customWidth="1"/>
    <col min="4541" max="4542" width="12.5703125" style="3" customWidth="1"/>
    <col min="4543" max="4543" width="14.85546875" style="3" customWidth="1"/>
    <col min="4544" max="4544" width="20.7109375" style="3" customWidth="1"/>
    <col min="4545" max="4545" width="12.5703125" style="3" customWidth="1"/>
    <col min="4546" max="4546" width="13" style="3" customWidth="1"/>
    <col min="4547" max="4547" width="16" style="3" customWidth="1"/>
    <col min="4548" max="4548" width="6.42578125" style="3" customWidth="1"/>
    <col min="4549" max="4549" width="16" style="3" customWidth="1"/>
    <col min="4550" max="4550" width="2.85546875" style="3" customWidth="1"/>
    <col min="4551" max="4551" width="0.85546875" style="3" customWidth="1"/>
    <col min="4552" max="4552" width="11" style="3"/>
    <col min="4553" max="4553" width="15.42578125" style="3" customWidth="1"/>
    <col min="4554" max="4556" width="14.85546875" style="3" customWidth="1"/>
    <col min="4557" max="4557" width="0.7109375" style="3" customWidth="1"/>
    <col min="4558" max="4558" width="11" style="3"/>
    <col min="4559" max="4559" width="15.7109375" style="3" customWidth="1"/>
    <col min="4560" max="4561" width="14.85546875" style="3" customWidth="1"/>
    <col min="4562" max="4562" width="3.28515625" style="3" customWidth="1"/>
    <col min="4563" max="4563" width="20.140625" style="3" customWidth="1"/>
    <col min="4564" max="4564" width="3.28515625" style="3" customWidth="1"/>
    <col min="4565" max="4569" width="11" style="3"/>
    <col min="4570" max="4582" width="4.7109375" style="3" customWidth="1"/>
    <col min="4583" max="4792" width="11" style="3"/>
    <col min="4793" max="4793" width="0.7109375" style="3" customWidth="1"/>
    <col min="4794" max="4794" width="6.5703125" style="3" customWidth="1"/>
    <col min="4795" max="4795" width="13.5703125" style="3" customWidth="1"/>
    <col min="4796" max="4796" width="13.42578125" style="3" customWidth="1"/>
    <col min="4797" max="4798" width="12.5703125" style="3" customWidth="1"/>
    <col min="4799" max="4799" width="14.85546875" style="3" customWidth="1"/>
    <col min="4800" max="4800" width="20.7109375" style="3" customWidth="1"/>
    <col min="4801" max="4801" width="12.5703125" style="3" customWidth="1"/>
    <col min="4802" max="4802" width="13" style="3" customWidth="1"/>
    <col min="4803" max="4803" width="16" style="3" customWidth="1"/>
    <col min="4804" max="4804" width="6.42578125" style="3" customWidth="1"/>
    <col min="4805" max="4805" width="16" style="3" customWidth="1"/>
    <col min="4806" max="4806" width="2.85546875" style="3" customWidth="1"/>
    <col min="4807" max="4807" width="0.85546875" style="3" customWidth="1"/>
    <col min="4808" max="4808" width="11" style="3"/>
    <col min="4809" max="4809" width="15.42578125" style="3" customWidth="1"/>
    <col min="4810" max="4812" width="14.85546875" style="3" customWidth="1"/>
    <col min="4813" max="4813" width="0.7109375" style="3" customWidth="1"/>
    <col min="4814" max="4814" width="11" style="3"/>
    <col min="4815" max="4815" width="15.7109375" style="3" customWidth="1"/>
    <col min="4816" max="4817" width="14.85546875" style="3" customWidth="1"/>
    <col min="4818" max="4818" width="3.28515625" style="3" customWidth="1"/>
    <col min="4819" max="4819" width="20.140625" style="3" customWidth="1"/>
    <col min="4820" max="4820" width="3.28515625" style="3" customWidth="1"/>
    <col min="4821" max="4825" width="11" style="3"/>
    <col min="4826" max="4838" width="4.7109375" style="3" customWidth="1"/>
    <col min="4839" max="5048" width="11" style="3"/>
    <col min="5049" max="5049" width="0.7109375" style="3" customWidth="1"/>
    <col min="5050" max="5050" width="6.5703125" style="3" customWidth="1"/>
    <col min="5051" max="5051" width="13.5703125" style="3" customWidth="1"/>
    <col min="5052" max="5052" width="13.42578125" style="3" customWidth="1"/>
    <col min="5053" max="5054" width="12.5703125" style="3" customWidth="1"/>
    <col min="5055" max="5055" width="14.85546875" style="3" customWidth="1"/>
    <col min="5056" max="5056" width="20.7109375" style="3" customWidth="1"/>
    <col min="5057" max="5057" width="12.5703125" style="3" customWidth="1"/>
    <col min="5058" max="5058" width="13" style="3" customWidth="1"/>
    <col min="5059" max="5059" width="16" style="3" customWidth="1"/>
    <col min="5060" max="5060" width="6.42578125" style="3" customWidth="1"/>
    <col min="5061" max="5061" width="16" style="3" customWidth="1"/>
    <col min="5062" max="5062" width="2.85546875" style="3" customWidth="1"/>
    <col min="5063" max="5063" width="0.85546875" style="3" customWidth="1"/>
    <col min="5064" max="5064" width="11" style="3"/>
    <col min="5065" max="5065" width="15.42578125" style="3" customWidth="1"/>
    <col min="5066" max="5068" width="14.85546875" style="3" customWidth="1"/>
    <col min="5069" max="5069" width="0.7109375" style="3" customWidth="1"/>
    <col min="5070" max="5070" width="11" style="3"/>
    <col min="5071" max="5071" width="15.7109375" style="3" customWidth="1"/>
    <col min="5072" max="5073" width="14.85546875" style="3" customWidth="1"/>
    <col min="5074" max="5074" width="3.28515625" style="3" customWidth="1"/>
    <col min="5075" max="5075" width="20.140625" style="3" customWidth="1"/>
    <col min="5076" max="5076" width="3.28515625" style="3" customWidth="1"/>
    <col min="5077" max="5081" width="11" style="3"/>
    <col min="5082" max="5094" width="4.7109375" style="3" customWidth="1"/>
    <col min="5095" max="5304" width="11" style="3"/>
    <col min="5305" max="5305" width="0.7109375" style="3" customWidth="1"/>
    <col min="5306" max="5306" width="6.5703125" style="3" customWidth="1"/>
    <col min="5307" max="5307" width="13.5703125" style="3" customWidth="1"/>
    <col min="5308" max="5308" width="13.42578125" style="3" customWidth="1"/>
    <col min="5309" max="5310" width="12.5703125" style="3" customWidth="1"/>
    <col min="5311" max="5311" width="14.85546875" style="3" customWidth="1"/>
    <col min="5312" max="5312" width="20.7109375" style="3" customWidth="1"/>
    <col min="5313" max="5313" width="12.5703125" style="3" customWidth="1"/>
    <col min="5314" max="5314" width="13" style="3" customWidth="1"/>
    <col min="5315" max="5315" width="16" style="3" customWidth="1"/>
    <col min="5316" max="5316" width="6.42578125" style="3" customWidth="1"/>
    <col min="5317" max="5317" width="16" style="3" customWidth="1"/>
    <col min="5318" max="5318" width="2.85546875" style="3" customWidth="1"/>
    <col min="5319" max="5319" width="0.85546875" style="3" customWidth="1"/>
    <col min="5320" max="5320" width="11" style="3"/>
    <col min="5321" max="5321" width="15.42578125" style="3" customWidth="1"/>
    <col min="5322" max="5324" width="14.85546875" style="3" customWidth="1"/>
    <col min="5325" max="5325" width="0.7109375" style="3" customWidth="1"/>
    <col min="5326" max="5326" width="11" style="3"/>
    <col min="5327" max="5327" width="15.7109375" style="3" customWidth="1"/>
    <col min="5328" max="5329" width="14.85546875" style="3" customWidth="1"/>
    <col min="5330" max="5330" width="3.28515625" style="3" customWidth="1"/>
    <col min="5331" max="5331" width="20.140625" style="3" customWidth="1"/>
    <col min="5332" max="5332" width="3.28515625" style="3" customWidth="1"/>
    <col min="5333" max="5337" width="11" style="3"/>
    <col min="5338" max="5350" width="4.7109375" style="3" customWidth="1"/>
    <col min="5351" max="5560" width="11" style="3"/>
    <col min="5561" max="5561" width="0.7109375" style="3" customWidth="1"/>
    <col min="5562" max="5562" width="6.5703125" style="3" customWidth="1"/>
    <col min="5563" max="5563" width="13.5703125" style="3" customWidth="1"/>
    <col min="5564" max="5564" width="13.42578125" style="3" customWidth="1"/>
    <col min="5565" max="5566" width="12.5703125" style="3" customWidth="1"/>
    <col min="5567" max="5567" width="14.85546875" style="3" customWidth="1"/>
    <col min="5568" max="5568" width="20.7109375" style="3" customWidth="1"/>
    <col min="5569" max="5569" width="12.5703125" style="3" customWidth="1"/>
    <col min="5570" max="5570" width="13" style="3" customWidth="1"/>
    <col min="5571" max="5571" width="16" style="3" customWidth="1"/>
    <col min="5572" max="5572" width="6.42578125" style="3" customWidth="1"/>
    <col min="5573" max="5573" width="16" style="3" customWidth="1"/>
    <col min="5574" max="5574" width="2.85546875" style="3" customWidth="1"/>
    <col min="5575" max="5575" width="0.85546875" style="3" customWidth="1"/>
    <col min="5576" max="5576" width="11" style="3"/>
    <col min="5577" max="5577" width="15.42578125" style="3" customWidth="1"/>
    <col min="5578" max="5580" width="14.85546875" style="3" customWidth="1"/>
    <col min="5581" max="5581" width="0.7109375" style="3" customWidth="1"/>
    <col min="5582" max="5582" width="11" style="3"/>
    <col min="5583" max="5583" width="15.7109375" style="3" customWidth="1"/>
    <col min="5584" max="5585" width="14.85546875" style="3" customWidth="1"/>
    <col min="5586" max="5586" width="3.28515625" style="3" customWidth="1"/>
    <col min="5587" max="5587" width="20.140625" style="3" customWidth="1"/>
    <col min="5588" max="5588" width="3.28515625" style="3" customWidth="1"/>
    <col min="5589" max="5593" width="11" style="3"/>
    <col min="5594" max="5606" width="4.7109375" style="3" customWidth="1"/>
    <col min="5607" max="5816" width="11" style="3"/>
    <col min="5817" max="5817" width="0.7109375" style="3" customWidth="1"/>
    <col min="5818" max="5818" width="6.5703125" style="3" customWidth="1"/>
    <col min="5819" max="5819" width="13.5703125" style="3" customWidth="1"/>
    <col min="5820" max="5820" width="13.42578125" style="3" customWidth="1"/>
    <col min="5821" max="5822" width="12.5703125" style="3" customWidth="1"/>
    <col min="5823" max="5823" width="14.85546875" style="3" customWidth="1"/>
    <col min="5824" max="5824" width="20.7109375" style="3" customWidth="1"/>
    <col min="5825" max="5825" width="12.5703125" style="3" customWidth="1"/>
    <col min="5826" max="5826" width="13" style="3" customWidth="1"/>
    <col min="5827" max="5827" width="16" style="3" customWidth="1"/>
    <col min="5828" max="5828" width="6.42578125" style="3" customWidth="1"/>
    <col min="5829" max="5829" width="16" style="3" customWidth="1"/>
    <col min="5830" max="5830" width="2.85546875" style="3" customWidth="1"/>
    <col min="5831" max="5831" width="0.85546875" style="3" customWidth="1"/>
    <col min="5832" max="5832" width="11" style="3"/>
    <col min="5833" max="5833" width="15.42578125" style="3" customWidth="1"/>
    <col min="5834" max="5836" width="14.85546875" style="3" customWidth="1"/>
    <col min="5837" max="5837" width="0.7109375" style="3" customWidth="1"/>
    <col min="5838" max="5838" width="11" style="3"/>
    <col min="5839" max="5839" width="15.7109375" style="3" customWidth="1"/>
    <col min="5840" max="5841" width="14.85546875" style="3" customWidth="1"/>
    <col min="5842" max="5842" width="3.28515625" style="3" customWidth="1"/>
    <col min="5843" max="5843" width="20.140625" style="3" customWidth="1"/>
    <col min="5844" max="5844" width="3.28515625" style="3" customWidth="1"/>
    <col min="5845" max="5849" width="11" style="3"/>
    <col min="5850" max="5862" width="4.7109375" style="3" customWidth="1"/>
    <col min="5863" max="6072" width="11" style="3"/>
    <col min="6073" max="6073" width="0.7109375" style="3" customWidth="1"/>
    <col min="6074" max="6074" width="6.5703125" style="3" customWidth="1"/>
    <col min="6075" max="6075" width="13.5703125" style="3" customWidth="1"/>
    <col min="6076" max="6076" width="13.42578125" style="3" customWidth="1"/>
    <col min="6077" max="6078" width="12.5703125" style="3" customWidth="1"/>
    <col min="6079" max="6079" width="14.85546875" style="3" customWidth="1"/>
    <col min="6080" max="6080" width="20.7109375" style="3" customWidth="1"/>
    <col min="6081" max="6081" width="12.5703125" style="3" customWidth="1"/>
    <col min="6082" max="6082" width="13" style="3" customWidth="1"/>
    <col min="6083" max="6083" width="16" style="3" customWidth="1"/>
    <col min="6084" max="6084" width="6.42578125" style="3" customWidth="1"/>
    <col min="6085" max="6085" width="16" style="3" customWidth="1"/>
    <col min="6086" max="6086" width="2.85546875" style="3" customWidth="1"/>
    <col min="6087" max="6087" width="0.85546875" style="3" customWidth="1"/>
    <col min="6088" max="6088" width="11" style="3"/>
    <col min="6089" max="6089" width="15.42578125" style="3" customWidth="1"/>
    <col min="6090" max="6092" width="14.85546875" style="3" customWidth="1"/>
    <col min="6093" max="6093" width="0.7109375" style="3" customWidth="1"/>
    <col min="6094" max="6094" width="11" style="3"/>
    <col min="6095" max="6095" width="15.7109375" style="3" customWidth="1"/>
    <col min="6096" max="6097" width="14.85546875" style="3" customWidth="1"/>
    <col min="6098" max="6098" width="3.28515625" style="3" customWidth="1"/>
    <col min="6099" max="6099" width="20.140625" style="3" customWidth="1"/>
    <col min="6100" max="6100" width="3.28515625" style="3" customWidth="1"/>
    <col min="6101" max="6105" width="11" style="3"/>
    <col min="6106" max="6118" width="4.7109375" style="3" customWidth="1"/>
    <col min="6119" max="6328" width="11" style="3"/>
    <col min="6329" max="6329" width="0.7109375" style="3" customWidth="1"/>
    <col min="6330" max="6330" width="6.5703125" style="3" customWidth="1"/>
    <col min="6331" max="6331" width="13.5703125" style="3" customWidth="1"/>
    <col min="6332" max="6332" width="13.42578125" style="3" customWidth="1"/>
    <col min="6333" max="6334" width="12.5703125" style="3" customWidth="1"/>
    <col min="6335" max="6335" width="14.85546875" style="3" customWidth="1"/>
    <col min="6336" max="6336" width="20.7109375" style="3" customWidth="1"/>
    <col min="6337" max="6337" width="12.5703125" style="3" customWidth="1"/>
    <col min="6338" max="6338" width="13" style="3" customWidth="1"/>
    <col min="6339" max="6339" width="16" style="3" customWidth="1"/>
    <col min="6340" max="6340" width="6.42578125" style="3" customWidth="1"/>
    <col min="6341" max="6341" width="16" style="3" customWidth="1"/>
    <col min="6342" max="6342" width="2.85546875" style="3" customWidth="1"/>
    <col min="6343" max="6343" width="0.85546875" style="3" customWidth="1"/>
    <col min="6344" max="6344" width="11" style="3"/>
    <col min="6345" max="6345" width="15.42578125" style="3" customWidth="1"/>
    <col min="6346" max="6348" width="14.85546875" style="3" customWidth="1"/>
    <col min="6349" max="6349" width="0.7109375" style="3" customWidth="1"/>
    <col min="6350" max="6350" width="11" style="3"/>
    <col min="6351" max="6351" width="15.7109375" style="3" customWidth="1"/>
    <col min="6352" max="6353" width="14.85546875" style="3" customWidth="1"/>
    <col min="6354" max="6354" width="3.28515625" style="3" customWidth="1"/>
    <col min="6355" max="6355" width="20.140625" style="3" customWidth="1"/>
    <col min="6356" max="6356" width="3.28515625" style="3" customWidth="1"/>
    <col min="6357" max="6361" width="11" style="3"/>
    <col min="6362" max="6374" width="4.7109375" style="3" customWidth="1"/>
    <col min="6375" max="6584" width="11" style="3"/>
    <col min="6585" max="6585" width="0.7109375" style="3" customWidth="1"/>
    <col min="6586" max="6586" width="6.5703125" style="3" customWidth="1"/>
    <col min="6587" max="6587" width="13.5703125" style="3" customWidth="1"/>
    <col min="6588" max="6588" width="13.42578125" style="3" customWidth="1"/>
    <col min="6589" max="6590" width="12.5703125" style="3" customWidth="1"/>
    <col min="6591" max="6591" width="14.85546875" style="3" customWidth="1"/>
    <col min="6592" max="6592" width="20.7109375" style="3" customWidth="1"/>
    <col min="6593" max="6593" width="12.5703125" style="3" customWidth="1"/>
    <col min="6594" max="6594" width="13" style="3" customWidth="1"/>
    <col min="6595" max="6595" width="16" style="3" customWidth="1"/>
    <col min="6596" max="6596" width="6.42578125" style="3" customWidth="1"/>
    <col min="6597" max="6597" width="16" style="3" customWidth="1"/>
    <col min="6598" max="6598" width="2.85546875" style="3" customWidth="1"/>
    <col min="6599" max="6599" width="0.85546875" style="3" customWidth="1"/>
    <col min="6600" max="6600" width="11" style="3"/>
    <col min="6601" max="6601" width="15.42578125" style="3" customWidth="1"/>
    <col min="6602" max="6604" width="14.85546875" style="3" customWidth="1"/>
    <col min="6605" max="6605" width="0.7109375" style="3" customWidth="1"/>
    <col min="6606" max="6606" width="11" style="3"/>
    <col min="6607" max="6607" width="15.7109375" style="3" customWidth="1"/>
    <col min="6608" max="6609" width="14.85546875" style="3" customWidth="1"/>
    <col min="6610" max="6610" width="3.28515625" style="3" customWidth="1"/>
    <col min="6611" max="6611" width="20.140625" style="3" customWidth="1"/>
    <col min="6612" max="6612" width="3.28515625" style="3" customWidth="1"/>
    <col min="6613" max="6617" width="11" style="3"/>
    <col min="6618" max="6630" width="4.7109375" style="3" customWidth="1"/>
    <col min="6631" max="6840" width="11" style="3"/>
    <col min="6841" max="6841" width="0.7109375" style="3" customWidth="1"/>
    <col min="6842" max="6842" width="6.5703125" style="3" customWidth="1"/>
    <col min="6843" max="6843" width="13.5703125" style="3" customWidth="1"/>
    <col min="6844" max="6844" width="13.42578125" style="3" customWidth="1"/>
    <col min="6845" max="6846" width="12.5703125" style="3" customWidth="1"/>
    <col min="6847" max="6847" width="14.85546875" style="3" customWidth="1"/>
    <col min="6848" max="6848" width="20.7109375" style="3" customWidth="1"/>
    <col min="6849" max="6849" width="12.5703125" style="3" customWidth="1"/>
    <col min="6850" max="6850" width="13" style="3" customWidth="1"/>
    <col min="6851" max="6851" width="16" style="3" customWidth="1"/>
    <col min="6852" max="6852" width="6.42578125" style="3" customWidth="1"/>
    <col min="6853" max="6853" width="16" style="3" customWidth="1"/>
    <col min="6854" max="6854" width="2.85546875" style="3" customWidth="1"/>
    <col min="6855" max="6855" width="0.85546875" style="3" customWidth="1"/>
    <col min="6856" max="6856" width="11" style="3"/>
    <col min="6857" max="6857" width="15.42578125" style="3" customWidth="1"/>
    <col min="6858" max="6860" width="14.85546875" style="3" customWidth="1"/>
    <col min="6861" max="6861" width="0.7109375" style="3" customWidth="1"/>
    <col min="6862" max="6862" width="11" style="3"/>
    <col min="6863" max="6863" width="15.7109375" style="3" customWidth="1"/>
    <col min="6864" max="6865" width="14.85546875" style="3" customWidth="1"/>
    <col min="6866" max="6866" width="3.28515625" style="3" customWidth="1"/>
    <col min="6867" max="6867" width="20.140625" style="3" customWidth="1"/>
    <col min="6868" max="6868" width="3.28515625" style="3" customWidth="1"/>
    <col min="6869" max="6873" width="11" style="3"/>
    <col min="6874" max="6886" width="4.7109375" style="3" customWidth="1"/>
    <col min="6887" max="7096" width="11" style="3"/>
    <col min="7097" max="7097" width="0.7109375" style="3" customWidth="1"/>
    <col min="7098" max="7098" width="6.5703125" style="3" customWidth="1"/>
    <col min="7099" max="7099" width="13.5703125" style="3" customWidth="1"/>
    <col min="7100" max="7100" width="13.42578125" style="3" customWidth="1"/>
    <col min="7101" max="7102" width="12.5703125" style="3" customWidth="1"/>
    <col min="7103" max="7103" width="14.85546875" style="3" customWidth="1"/>
    <col min="7104" max="7104" width="20.7109375" style="3" customWidth="1"/>
    <col min="7105" max="7105" width="12.5703125" style="3" customWidth="1"/>
    <col min="7106" max="7106" width="13" style="3" customWidth="1"/>
    <col min="7107" max="7107" width="16" style="3" customWidth="1"/>
    <col min="7108" max="7108" width="6.42578125" style="3" customWidth="1"/>
    <col min="7109" max="7109" width="16" style="3" customWidth="1"/>
    <col min="7110" max="7110" width="2.85546875" style="3" customWidth="1"/>
    <col min="7111" max="7111" width="0.85546875" style="3" customWidth="1"/>
    <col min="7112" max="7112" width="11" style="3"/>
    <col min="7113" max="7113" width="15.42578125" style="3" customWidth="1"/>
    <col min="7114" max="7116" width="14.85546875" style="3" customWidth="1"/>
    <col min="7117" max="7117" width="0.7109375" style="3" customWidth="1"/>
    <col min="7118" max="7118" width="11" style="3"/>
    <col min="7119" max="7119" width="15.7109375" style="3" customWidth="1"/>
    <col min="7120" max="7121" width="14.85546875" style="3" customWidth="1"/>
    <col min="7122" max="7122" width="3.28515625" style="3" customWidth="1"/>
    <col min="7123" max="7123" width="20.140625" style="3" customWidth="1"/>
    <col min="7124" max="7124" width="3.28515625" style="3" customWidth="1"/>
    <col min="7125" max="7129" width="11" style="3"/>
    <col min="7130" max="7142" width="4.7109375" style="3" customWidth="1"/>
    <col min="7143" max="7352" width="11" style="3"/>
    <col min="7353" max="7353" width="0.7109375" style="3" customWidth="1"/>
    <col min="7354" max="7354" width="6.5703125" style="3" customWidth="1"/>
    <col min="7355" max="7355" width="13.5703125" style="3" customWidth="1"/>
    <col min="7356" max="7356" width="13.42578125" style="3" customWidth="1"/>
    <col min="7357" max="7358" width="12.5703125" style="3" customWidth="1"/>
    <col min="7359" max="7359" width="14.85546875" style="3" customWidth="1"/>
    <col min="7360" max="7360" width="20.7109375" style="3" customWidth="1"/>
    <col min="7361" max="7361" width="12.5703125" style="3" customWidth="1"/>
    <col min="7362" max="7362" width="13" style="3" customWidth="1"/>
    <col min="7363" max="7363" width="16" style="3" customWidth="1"/>
    <col min="7364" max="7364" width="6.42578125" style="3" customWidth="1"/>
    <col min="7365" max="7365" width="16" style="3" customWidth="1"/>
    <col min="7366" max="7366" width="2.85546875" style="3" customWidth="1"/>
    <col min="7367" max="7367" width="0.85546875" style="3" customWidth="1"/>
    <col min="7368" max="7368" width="11" style="3"/>
    <col min="7369" max="7369" width="15.42578125" style="3" customWidth="1"/>
    <col min="7370" max="7372" width="14.85546875" style="3" customWidth="1"/>
    <col min="7373" max="7373" width="0.7109375" style="3" customWidth="1"/>
    <col min="7374" max="7374" width="11" style="3"/>
    <col min="7375" max="7375" width="15.7109375" style="3" customWidth="1"/>
    <col min="7376" max="7377" width="14.85546875" style="3" customWidth="1"/>
    <col min="7378" max="7378" width="3.28515625" style="3" customWidth="1"/>
    <col min="7379" max="7379" width="20.140625" style="3" customWidth="1"/>
    <col min="7380" max="7380" width="3.28515625" style="3" customWidth="1"/>
    <col min="7381" max="7385" width="11" style="3"/>
    <col min="7386" max="7398" width="4.7109375" style="3" customWidth="1"/>
    <col min="7399" max="7608" width="11" style="3"/>
    <col min="7609" max="7609" width="0.7109375" style="3" customWidth="1"/>
    <col min="7610" max="7610" width="6.5703125" style="3" customWidth="1"/>
    <col min="7611" max="7611" width="13.5703125" style="3" customWidth="1"/>
    <col min="7612" max="7612" width="13.42578125" style="3" customWidth="1"/>
    <col min="7613" max="7614" width="12.5703125" style="3" customWidth="1"/>
    <col min="7615" max="7615" width="14.85546875" style="3" customWidth="1"/>
    <col min="7616" max="7616" width="20.7109375" style="3" customWidth="1"/>
    <col min="7617" max="7617" width="12.5703125" style="3" customWidth="1"/>
    <col min="7618" max="7618" width="13" style="3" customWidth="1"/>
    <col min="7619" max="7619" width="16" style="3" customWidth="1"/>
    <col min="7620" max="7620" width="6.42578125" style="3" customWidth="1"/>
    <col min="7621" max="7621" width="16" style="3" customWidth="1"/>
    <col min="7622" max="7622" width="2.85546875" style="3" customWidth="1"/>
    <col min="7623" max="7623" width="0.85546875" style="3" customWidth="1"/>
    <col min="7624" max="7624" width="11" style="3"/>
    <col min="7625" max="7625" width="15.42578125" style="3" customWidth="1"/>
    <col min="7626" max="7628" width="14.85546875" style="3" customWidth="1"/>
    <col min="7629" max="7629" width="0.7109375" style="3" customWidth="1"/>
    <col min="7630" max="7630" width="11" style="3"/>
    <col min="7631" max="7631" width="15.7109375" style="3" customWidth="1"/>
    <col min="7632" max="7633" width="14.85546875" style="3" customWidth="1"/>
    <col min="7634" max="7634" width="3.28515625" style="3" customWidth="1"/>
    <col min="7635" max="7635" width="20.140625" style="3" customWidth="1"/>
    <col min="7636" max="7636" width="3.28515625" style="3" customWidth="1"/>
    <col min="7637" max="7641" width="11" style="3"/>
    <col min="7642" max="7654" width="4.7109375" style="3" customWidth="1"/>
    <col min="7655" max="7864" width="11" style="3"/>
    <col min="7865" max="7865" width="0.7109375" style="3" customWidth="1"/>
    <col min="7866" max="7866" width="6.5703125" style="3" customWidth="1"/>
    <col min="7867" max="7867" width="13.5703125" style="3" customWidth="1"/>
    <col min="7868" max="7868" width="13.42578125" style="3" customWidth="1"/>
    <col min="7869" max="7870" width="12.5703125" style="3" customWidth="1"/>
    <col min="7871" max="7871" width="14.85546875" style="3" customWidth="1"/>
    <col min="7872" max="7872" width="20.7109375" style="3" customWidth="1"/>
    <col min="7873" max="7873" width="12.5703125" style="3" customWidth="1"/>
    <col min="7874" max="7874" width="13" style="3" customWidth="1"/>
    <col min="7875" max="7875" width="16" style="3" customWidth="1"/>
    <col min="7876" max="7876" width="6.42578125" style="3" customWidth="1"/>
    <col min="7877" max="7877" width="16" style="3" customWidth="1"/>
    <col min="7878" max="7878" width="2.85546875" style="3" customWidth="1"/>
    <col min="7879" max="7879" width="0.85546875" style="3" customWidth="1"/>
    <col min="7880" max="7880" width="11" style="3"/>
    <col min="7881" max="7881" width="15.42578125" style="3" customWidth="1"/>
    <col min="7882" max="7884" width="14.85546875" style="3" customWidth="1"/>
    <col min="7885" max="7885" width="0.7109375" style="3" customWidth="1"/>
    <col min="7886" max="7886" width="11" style="3"/>
    <col min="7887" max="7887" width="15.7109375" style="3" customWidth="1"/>
    <col min="7888" max="7889" width="14.85546875" style="3" customWidth="1"/>
    <col min="7890" max="7890" width="3.28515625" style="3" customWidth="1"/>
    <col min="7891" max="7891" width="20.140625" style="3" customWidth="1"/>
    <col min="7892" max="7892" width="3.28515625" style="3" customWidth="1"/>
    <col min="7893" max="7897" width="11" style="3"/>
    <col min="7898" max="7910" width="4.7109375" style="3" customWidth="1"/>
    <col min="7911" max="8120" width="11" style="3"/>
    <col min="8121" max="8121" width="0.7109375" style="3" customWidth="1"/>
    <col min="8122" max="8122" width="6.5703125" style="3" customWidth="1"/>
    <col min="8123" max="8123" width="13.5703125" style="3" customWidth="1"/>
    <col min="8124" max="8124" width="13.42578125" style="3" customWidth="1"/>
    <col min="8125" max="8126" width="12.5703125" style="3" customWidth="1"/>
    <col min="8127" max="8127" width="14.85546875" style="3" customWidth="1"/>
    <col min="8128" max="8128" width="20.7109375" style="3" customWidth="1"/>
    <col min="8129" max="8129" width="12.5703125" style="3" customWidth="1"/>
    <col min="8130" max="8130" width="13" style="3" customWidth="1"/>
    <col min="8131" max="8131" width="16" style="3" customWidth="1"/>
    <col min="8132" max="8132" width="6.42578125" style="3" customWidth="1"/>
    <col min="8133" max="8133" width="16" style="3" customWidth="1"/>
    <col min="8134" max="8134" width="2.85546875" style="3" customWidth="1"/>
    <col min="8135" max="8135" width="0.85546875" style="3" customWidth="1"/>
    <col min="8136" max="8136" width="11" style="3"/>
    <col min="8137" max="8137" width="15.42578125" style="3" customWidth="1"/>
    <col min="8138" max="8140" width="14.85546875" style="3" customWidth="1"/>
    <col min="8141" max="8141" width="0.7109375" style="3" customWidth="1"/>
    <col min="8142" max="8142" width="11" style="3"/>
    <col min="8143" max="8143" width="15.7109375" style="3" customWidth="1"/>
    <col min="8144" max="8145" width="14.85546875" style="3" customWidth="1"/>
    <col min="8146" max="8146" width="3.28515625" style="3" customWidth="1"/>
    <col min="8147" max="8147" width="20.140625" style="3" customWidth="1"/>
    <col min="8148" max="8148" width="3.28515625" style="3" customWidth="1"/>
    <col min="8149" max="8153" width="11" style="3"/>
    <col min="8154" max="8166" width="4.7109375" style="3" customWidth="1"/>
    <col min="8167" max="8376" width="11" style="3"/>
    <col min="8377" max="8377" width="0.7109375" style="3" customWidth="1"/>
    <col min="8378" max="8378" width="6.5703125" style="3" customWidth="1"/>
    <col min="8379" max="8379" width="13.5703125" style="3" customWidth="1"/>
    <col min="8380" max="8380" width="13.42578125" style="3" customWidth="1"/>
    <col min="8381" max="8382" width="12.5703125" style="3" customWidth="1"/>
    <col min="8383" max="8383" width="14.85546875" style="3" customWidth="1"/>
    <col min="8384" max="8384" width="20.7109375" style="3" customWidth="1"/>
    <col min="8385" max="8385" width="12.5703125" style="3" customWidth="1"/>
    <col min="8386" max="8386" width="13" style="3" customWidth="1"/>
    <col min="8387" max="8387" width="16" style="3" customWidth="1"/>
    <col min="8388" max="8388" width="6.42578125" style="3" customWidth="1"/>
    <col min="8389" max="8389" width="16" style="3" customWidth="1"/>
    <col min="8390" max="8390" width="2.85546875" style="3" customWidth="1"/>
    <col min="8391" max="8391" width="0.85546875" style="3" customWidth="1"/>
    <col min="8392" max="8392" width="11" style="3"/>
    <col min="8393" max="8393" width="15.42578125" style="3" customWidth="1"/>
    <col min="8394" max="8396" width="14.85546875" style="3" customWidth="1"/>
    <col min="8397" max="8397" width="0.7109375" style="3" customWidth="1"/>
    <col min="8398" max="8398" width="11" style="3"/>
    <col min="8399" max="8399" width="15.7109375" style="3" customWidth="1"/>
    <col min="8400" max="8401" width="14.85546875" style="3" customWidth="1"/>
    <col min="8402" max="8402" width="3.28515625" style="3" customWidth="1"/>
    <col min="8403" max="8403" width="20.140625" style="3" customWidth="1"/>
    <col min="8404" max="8404" width="3.28515625" style="3" customWidth="1"/>
    <col min="8405" max="8409" width="11" style="3"/>
    <col min="8410" max="8422" width="4.7109375" style="3" customWidth="1"/>
    <col min="8423" max="8632" width="11" style="3"/>
    <col min="8633" max="8633" width="0.7109375" style="3" customWidth="1"/>
    <col min="8634" max="8634" width="6.5703125" style="3" customWidth="1"/>
    <col min="8635" max="8635" width="13.5703125" style="3" customWidth="1"/>
    <col min="8636" max="8636" width="13.42578125" style="3" customWidth="1"/>
    <col min="8637" max="8638" width="12.5703125" style="3" customWidth="1"/>
    <col min="8639" max="8639" width="14.85546875" style="3" customWidth="1"/>
    <col min="8640" max="8640" width="20.7109375" style="3" customWidth="1"/>
    <col min="8641" max="8641" width="12.5703125" style="3" customWidth="1"/>
    <col min="8642" max="8642" width="13" style="3" customWidth="1"/>
    <col min="8643" max="8643" width="16" style="3" customWidth="1"/>
    <col min="8644" max="8644" width="6.42578125" style="3" customWidth="1"/>
    <col min="8645" max="8645" width="16" style="3" customWidth="1"/>
    <col min="8646" max="8646" width="2.85546875" style="3" customWidth="1"/>
    <col min="8647" max="8647" width="0.85546875" style="3" customWidth="1"/>
    <col min="8648" max="8648" width="11" style="3"/>
    <col min="8649" max="8649" width="15.42578125" style="3" customWidth="1"/>
    <col min="8650" max="8652" width="14.85546875" style="3" customWidth="1"/>
    <col min="8653" max="8653" width="0.7109375" style="3" customWidth="1"/>
    <col min="8654" max="8654" width="11" style="3"/>
    <col min="8655" max="8655" width="15.7109375" style="3" customWidth="1"/>
    <col min="8656" max="8657" width="14.85546875" style="3" customWidth="1"/>
    <col min="8658" max="8658" width="3.28515625" style="3" customWidth="1"/>
    <col min="8659" max="8659" width="20.140625" style="3" customWidth="1"/>
    <col min="8660" max="8660" width="3.28515625" style="3" customWidth="1"/>
    <col min="8661" max="8665" width="11" style="3"/>
    <col min="8666" max="8678" width="4.7109375" style="3" customWidth="1"/>
    <col min="8679" max="8888" width="11" style="3"/>
    <col min="8889" max="8889" width="0.7109375" style="3" customWidth="1"/>
    <col min="8890" max="8890" width="6.5703125" style="3" customWidth="1"/>
    <col min="8891" max="8891" width="13.5703125" style="3" customWidth="1"/>
    <col min="8892" max="8892" width="13.42578125" style="3" customWidth="1"/>
    <col min="8893" max="8894" width="12.5703125" style="3" customWidth="1"/>
    <col min="8895" max="8895" width="14.85546875" style="3" customWidth="1"/>
    <col min="8896" max="8896" width="20.7109375" style="3" customWidth="1"/>
    <col min="8897" max="8897" width="12.5703125" style="3" customWidth="1"/>
    <col min="8898" max="8898" width="13" style="3" customWidth="1"/>
    <col min="8899" max="8899" width="16" style="3" customWidth="1"/>
    <col min="8900" max="8900" width="6.42578125" style="3" customWidth="1"/>
    <col min="8901" max="8901" width="16" style="3" customWidth="1"/>
    <col min="8902" max="8902" width="2.85546875" style="3" customWidth="1"/>
    <col min="8903" max="8903" width="0.85546875" style="3" customWidth="1"/>
    <col min="8904" max="8904" width="11" style="3"/>
    <col min="8905" max="8905" width="15.42578125" style="3" customWidth="1"/>
    <col min="8906" max="8908" width="14.85546875" style="3" customWidth="1"/>
    <col min="8909" max="8909" width="0.7109375" style="3" customWidth="1"/>
    <col min="8910" max="8910" width="11" style="3"/>
    <col min="8911" max="8911" width="15.7109375" style="3" customWidth="1"/>
    <col min="8912" max="8913" width="14.85546875" style="3" customWidth="1"/>
    <col min="8914" max="8914" width="3.28515625" style="3" customWidth="1"/>
    <col min="8915" max="8915" width="20.140625" style="3" customWidth="1"/>
    <col min="8916" max="8916" width="3.28515625" style="3" customWidth="1"/>
    <col min="8917" max="8921" width="11" style="3"/>
    <col min="8922" max="8934" width="4.7109375" style="3" customWidth="1"/>
    <col min="8935" max="9144" width="11" style="3"/>
    <col min="9145" max="9145" width="0.7109375" style="3" customWidth="1"/>
    <col min="9146" max="9146" width="6.5703125" style="3" customWidth="1"/>
    <col min="9147" max="9147" width="13.5703125" style="3" customWidth="1"/>
    <col min="9148" max="9148" width="13.42578125" style="3" customWidth="1"/>
    <col min="9149" max="9150" width="12.5703125" style="3" customWidth="1"/>
    <col min="9151" max="9151" width="14.85546875" style="3" customWidth="1"/>
    <col min="9152" max="9152" width="20.7109375" style="3" customWidth="1"/>
    <col min="9153" max="9153" width="12.5703125" style="3" customWidth="1"/>
    <col min="9154" max="9154" width="13" style="3" customWidth="1"/>
    <col min="9155" max="9155" width="16" style="3" customWidth="1"/>
    <col min="9156" max="9156" width="6.42578125" style="3" customWidth="1"/>
    <col min="9157" max="9157" width="16" style="3" customWidth="1"/>
    <col min="9158" max="9158" width="2.85546875" style="3" customWidth="1"/>
    <col min="9159" max="9159" width="0.85546875" style="3" customWidth="1"/>
    <col min="9160" max="9160" width="11" style="3"/>
    <col min="9161" max="9161" width="15.42578125" style="3" customWidth="1"/>
    <col min="9162" max="9164" width="14.85546875" style="3" customWidth="1"/>
    <col min="9165" max="9165" width="0.7109375" style="3" customWidth="1"/>
    <col min="9166" max="9166" width="11" style="3"/>
    <col min="9167" max="9167" width="15.7109375" style="3" customWidth="1"/>
    <col min="9168" max="9169" width="14.85546875" style="3" customWidth="1"/>
    <col min="9170" max="9170" width="3.28515625" style="3" customWidth="1"/>
    <col min="9171" max="9171" width="20.140625" style="3" customWidth="1"/>
    <col min="9172" max="9172" width="3.28515625" style="3" customWidth="1"/>
    <col min="9173" max="9177" width="11" style="3"/>
    <col min="9178" max="9190" width="4.7109375" style="3" customWidth="1"/>
    <col min="9191" max="9400" width="11" style="3"/>
    <col min="9401" max="9401" width="0.7109375" style="3" customWidth="1"/>
    <col min="9402" max="9402" width="6.5703125" style="3" customWidth="1"/>
    <col min="9403" max="9403" width="13.5703125" style="3" customWidth="1"/>
    <col min="9404" max="9404" width="13.42578125" style="3" customWidth="1"/>
    <col min="9405" max="9406" width="12.5703125" style="3" customWidth="1"/>
    <col min="9407" max="9407" width="14.85546875" style="3" customWidth="1"/>
    <col min="9408" max="9408" width="20.7109375" style="3" customWidth="1"/>
    <col min="9409" max="9409" width="12.5703125" style="3" customWidth="1"/>
    <col min="9410" max="9410" width="13" style="3" customWidth="1"/>
    <col min="9411" max="9411" width="16" style="3" customWidth="1"/>
    <col min="9412" max="9412" width="6.42578125" style="3" customWidth="1"/>
    <col min="9413" max="9413" width="16" style="3" customWidth="1"/>
    <col min="9414" max="9414" width="2.85546875" style="3" customWidth="1"/>
    <col min="9415" max="9415" width="0.85546875" style="3" customWidth="1"/>
    <col min="9416" max="9416" width="11" style="3"/>
    <col min="9417" max="9417" width="15.42578125" style="3" customWidth="1"/>
    <col min="9418" max="9420" width="14.85546875" style="3" customWidth="1"/>
    <col min="9421" max="9421" width="0.7109375" style="3" customWidth="1"/>
    <col min="9422" max="9422" width="11" style="3"/>
    <col min="9423" max="9423" width="15.7109375" style="3" customWidth="1"/>
    <col min="9424" max="9425" width="14.85546875" style="3" customWidth="1"/>
    <col min="9426" max="9426" width="3.28515625" style="3" customWidth="1"/>
    <col min="9427" max="9427" width="20.140625" style="3" customWidth="1"/>
    <col min="9428" max="9428" width="3.28515625" style="3" customWidth="1"/>
    <col min="9429" max="9433" width="11" style="3"/>
    <col min="9434" max="9446" width="4.7109375" style="3" customWidth="1"/>
    <col min="9447" max="9656" width="11" style="3"/>
    <col min="9657" max="9657" width="0.7109375" style="3" customWidth="1"/>
    <col min="9658" max="9658" width="6.5703125" style="3" customWidth="1"/>
    <col min="9659" max="9659" width="13.5703125" style="3" customWidth="1"/>
    <col min="9660" max="9660" width="13.42578125" style="3" customWidth="1"/>
    <col min="9661" max="9662" width="12.5703125" style="3" customWidth="1"/>
    <col min="9663" max="9663" width="14.85546875" style="3" customWidth="1"/>
    <col min="9664" max="9664" width="20.7109375" style="3" customWidth="1"/>
    <col min="9665" max="9665" width="12.5703125" style="3" customWidth="1"/>
    <col min="9666" max="9666" width="13" style="3" customWidth="1"/>
    <col min="9667" max="9667" width="16" style="3" customWidth="1"/>
    <col min="9668" max="9668" width="6.42578125" style="3" customWidth="1"/>
    <col min="9669" max="9669" width="16" style="3" customWidth="1"/>
    <col min="9670" max="9670" width="2.85546875" style="3" customWidth="1"/>
    <col min="9671" max="9671" width="0.85546875" style="3" customWidth="1"/>
    <col min="9672" max="9672" width="11" style="3"/>
    <col min="9673" max="9673" width="15.42578125" style="3" customWidth="1"/>
    <col min="9674" max="9676" width="14.85546875" style="3" customWidth="1"/>
    <col min="9677" max="9677" width="0.7109375" style="3" customWidth="1"/>
    <col min="9678" max="9678" width="11" style="3"/>
    <col min="9679" max="9679" width="15.7109375" style="3" customWidth="1"/>
    <col min="9680" max="9681" width="14.85546875" style="3" customWidth="1"/>
    <col min="9682" max="9682" width="3.28515625" style="3" customWidth="1"/>
    <col min="9683" max="9683" width="20.140625" style="3" customWidth="1"/>
    <col min="9684" max="9684" width="3.28515625" style="3" customWidth="1"/>
    <col min="9685" max="9689" width="11" style="3"/>
    <col min="9690" max="9702" width="4.7109375" style="3" customWidth="1"/>
    <col min="9703" max="9912" width="11" style="3"/>
    <col min="9913" max="9913" width="0.7109375" style="3" customWidth="1"/>
    <col min="9914" max="9914" width="6.5703125" style="3" customWidth="1"/>
    <col min="9915" max="9915" width="13.5703125" style="3" customWidth="1"/>
    <col min="9916" max="9916" width="13.42578125" style="3" customWidth="1"/>
    <col min="9917" max="9918" width="12.5703125" style="3" customWidth="1"/>
    <col min="9919" max="9919" width="14.85546875" style="3" customWidth="1"/>
    <col min="9920" max="9920" width="20.7109375" style="3" customWidth="1"/>
    <col min="9921" max="9921" width="12.5703125" style="3" customWidth="1"/>
    <col min="9922" max="9922" width="13" style="3" customWidth="1"/>
    <col min="9923" max="9923" width="16" style="3" customWidth="1"/>
    <col min="9924" max="9924" width="6.42578125" style="3" customWidth="1"/>
    <col min="9925" max="9925" width="16" style="3" customWidth="1"/>
    <col min="9926" max="9926" width="2.85546875" style="3" customWidth="1"/>
    <col min="9927" max="9927" width="0.85546875" style="3" customWidth="1"/>
    <col min="9928" max="9928" width="11" style="3"/>
    <col min="9929" max="9929" width="15.42578125" style="3" customWidth="1"/>
    <col min="9930" max="9932" width="14.85546875" style="3" customWidth="1"/>
    <col min="9933" max="9933" width="0.7109375" style="3" customWidth="1"/>
    <col min="9934" max="9934" width="11" style="3"/>
    <col min="9935" max="9935" width="15.7109375" style="3" customWidth="1"/>
    <col min="9936" max="9937" width="14.85546875" style="3" customWidth="1"/>
    <col min="9938" max="9938" width="3.28515625" style="3" customWidth="1"/>
    <col min="9939" max="9939" width="20.140625" style="3" customWidth="1"/>
    <col min="9940" max="9940" width="3.28515625" style="3" customWidth="1"/>
    <col min="9941" max="9945" width="11" style="3"/>
    <col min="9946" max="9958" width="4.7109375" style="3" customWidth="1"/>
    <col min="9959" max="10168" width="11" style="3"/>
    <col min="10169" max="10169" width="0.7109375" style="3" customWidth="1"/>
    <col min="10170" max="10170" width="6.5703125" style="3" customWidth="1"/>
    <col min="10171" max="10171" width="13.5703125" style="3" customWidth="1"/>
    <col min="10172" max="10172" width="13.42578125" style="3" customWidth="1"/>
    <col min="10173" max="10174" width="12.5703125" style="3" customWidth="1"/>
    <col min="10175" max="10175" width="14.85546875" style="3" customWidth="1"/>
    <col min="10176" max="10176" width="20.7109375" style="3" customWidth="1"/>
    <col min="10177" max="10177" width="12.5703125" style="3" customWidth="1"/>
    <col min="10178" max="10178" width="13" style="3" customWidth="1"/>
    <col min="10179" max="10179" width="16" style="3" customWidth="1"/>
    <col min="10180" max="10180" width="6.42578125" style="3" customWidth="1"/>
    <col min="10181" max="10181" width="16" style="3" customWidth="1"/>
    <col min="10182" max="10182" width="2.85546875" style="3" customWidth="1"/>
    <col min="10183" max="10183" width="0.85546875" style="3" customWidth="1"/>
    <col min="10184" max="10184" width="11" style="3"/>
    <col min="10185" max="10185" width="15.42578125" style="3" customWidth="1"/>
    <col min="10186" max="10188" width="14.85546875" style="3" customWidth="1"/>
    <col min="10189" max="10189" width="0.7109375" style="3" customWidth="1"/>
    <col min="10190" max="10190" width="11" style="3"/>
    <col min="10191" max="10191" width="15.7109375" style="3" customWidth="1"/>
    <col min="10192" max="10193" width="14.85546875" style="3" customWidth="1"/>
    <col min="10194" max="10194" width="3.28515625" style="3" customWidth="1"/>
    <col min="10195" max="10195" width="20.140625" style="3" customWidth="1"/>
    <col min="10196" max="10196" width="3.28515625" style="3" customWidth="1"/>
    <col min="10197" max="10201" width="11" style="3"/>
    <col min="10202" max="10214" width="4.7109375" style="3" customWidth="1"/>
    <col min="10215" max="10424" width="11" style="3"/>
    <col min="10425" max="10425" width="0.7109375" style="3" customWidth="1"/>
    <col min="10426" max="10426" width="6.5703125" style="3" customWidth="1"/>
    <col min="10427" max="10427" width="13.5703125" style="3" customWidth="1"/>
    <col min="10428" max="10428" width="13.42578125" style="3" customWidth="1"/>
    <col min="10429" max="10430" width="12.5703125" style="3" customWidth="1"/>
    <col min="10431" max="10431" width="14.85546875" style="3" customWidth="1"/>
    <col min="10432" max="10432" width="20.7109375" style="3" customWidth="1"/>
    <col min="10433" max="10433" width="12.5703125" style="3" customWidth="1"/>
    <col min="10434" max="10434" width="13" style="3" customWidth="1"/>
    <col min="10435" max="10435" width="16" style="3" customWidth="1"/>
    <col min="10436" max="10436" width="6.42578125" style="3" customWidth="1"/>
    <col min="10437" max="10437" width="16" style="3" customWidth="1"/>
    <col min="10438" max="10438" width="2.85546875" style="3" customWidth="1"/>
    <col min="10439" max="10439" width="0.85546875" style="3" customWidth="1"/>
    <col min="10440" max="10440" width="11" style="3"/>
    <col min="10441" max="10441" width="15.42578125" style="3" customWidth="1"/>
    <col min="10442" max="10444" width="14.85546875" style="3" customWidth="1"/>
    <col min="10445" max="10445" width="0.7109375" style="3" customWidth="1"/>
    <col min="10446" max="10446" width="11" style="3"/>
    <col min="10447" max="10447" width="15.7109375" style="3" customWidth="1"/>
    <col min="10448" max="10449" width="14.85546875" style="3" customWidth="1"/>
    <col min="10450" max="10450" width="3.28515625" style="3" customWidth="1"/>
    <col min="10451" max="10451" width="20.140625" style="3" customWidth="1"/>
    <col min="10452" max="10452" width="3.28515625" style="3" customWidth="1"/>
    <col min="10453" max="10457" width="11" style="3"/>
    <col min="10458" max="10470" width="4.7109375" style="3" customWidth="1"/>
    <col min="10471" max="10680" width="11" style="3"/>
    <col min="10681" max="10681" width="0.7109375" style="3" customWidth="1"/>
    <col min="10682" max="10682" width="6.5703125" style="3" customWidth="1"/>
    <col min="10683" max="10683" width="13.5703125" style="3" customWidth="1"/>
    <col min="10684" max="10684" width="13.42578125" style="3" customWidth="1"/>
    <col min="10685" max="10686" width="12.5703125" style="3" customWidth="1"/>
    <col min="10687" max="10687" width="14.85546875" style="3" customWidth="1"/>
    <col min="10688" max="10688" width="20.7109375" style="3" customWidth="1"/>
    <col min="10689" max="10689" width="12.5703125" style="3" customWidth="1"/>
    <col min="10690" max="10690" width="13" style="3" customWidth="1"/>
    <col min="10691" max="10691" width="16" style="3" customWidth="1"/>
    <col min="10692" max="10692" width="6.42578125" style="3" customWidth="1"/>
    <col min="10693" max="10693" width="16" style="3" customWidth="1"/>
    <col min="10694" max="10694" width="2.85546875" style="3" customWidth="1"/>
    <col min="10695" max="10695" width="0.85546875" style="3" customWidth="1"/>
    <col min="10696" max="10696" width="11" style="3"/>
    <col min="10697" max="10697" width="15.42578125" style="3" customWidth="1"/>
    <col min="10698" max="10700" width="14.85546875" style="3" customWidth="1"/>
    <col min="10701" max="10701" width="0.7109375" style="3" customWidth="1"/>
    <col min="10702" max="10702" width="11" style="3"/>
    <col min="10703" max="10703" width="15.7109375" style="3" customWidth="1"/>
    <col min="10704" max="10705" width="14.85546875" style="3" customWidth="1"/>
    <col min="10706" max="10706" width="3.28515625" style="3" customWidth="1"/>
    <col min="10707" max="10707" width="20.140625" style="3" customWidth="1"/>
    <col min="10708" max="10708" width="3.28515625" style="3" customWidth="1"/>
    <col min="10709" max="10713" width="11" style="3"/>
    <col min="10714" max="10726" width="4.7109375" style="3" customWidth="1"/>
    <col min="10727" max="10936" width="11" style="3"/>
    <col min="10937" max="10937" width="0.7109375" style="3" customWidth="1"/>
    <col min="10938" max="10938" width="6.5703125" style="3" customWidth="1"/>
    <col min="10939" max="10939" width="13.5703125" style="3" customWidth="1"/>
    <col min="10940" max="10940" width="13.42578125" style="3" customWidth="1"/>
    <col min="10941" max="10942" width="12.5703125" style="3" customWidth="1"/>
    <col min="10943" max="10943" width="14.85546875" style="3" customWidth="1"/>
    <col min="10944" max="10944" width="20.7109375" style="3" customWidth="1"/>
    <col min="10945" max="10945" width="12.5703125" style="3" customWidth="1"/>
    <col min="10946" max="10946" width="13" style="3" customWidth="1"/>
    <col min="10947" max="10947" width="16" style="3" customWidth="1"/>
    <col min="10948" max="10948" width="6.42578125" style="3" customWidth="1"/>
    <col min="10949" max="10949" width="16" style="3" customWidth="1"/>
    <col min="10950" max="10950" width="2.85546875" style="3" customWidth="1"/>
    <col min="10951" max="10951" width="0.85546875" style="3" customWidth="1"/>
    <col min="10952" max="10952" width="11" style="3"/>
    <col min="10953" max="10953" width="15.42578125" style="3" customWidth="1"/>
    <col min="10954" max="10956" width="14.85546875" style="3" customWidth="1"/>
    <col min="10957" max="10957" width="0.7109375" style="3" customWidth="1"/>
    <col min="10958" max="10958" width="11" style="3"/>
    <col min="10959" max="10959" width="15.7109375" style="3" customWidth="1"/>
    <col min="10960" max="10961" width="14.85546875" style="3" customWidth="1"/>
    <col min="10962" max="10962" width="3.28515625" style="3" customWidth="1"/>
    <col min="10963" max="10963" width="20.140625" style="3" customWidth="1"/>
    <col min="10964" max="10964" width="3.28515625" style="3" customWidth="1"/>
    <col min="10965" max="10969" width="11" style="3"/>
    <col min="10970" max="10982" width="4.7109375" style="3" customWidth="1"/>
    <col min="10983" max="11192" width="11" style="3"/>
    <col min="11193" max="11193" width="0.7109375" style="3" customWidth="1"/>
    <col min="11194" max="11194" width="6.5703125" style="3" customWidth="1"/>
    <col min="11195" max="11195" width="13.5703125" style="3" customWidth="1"/>
    <col min="11196" max="11196" width="13.42578125" style="3" customWidth="1"/>
    <col min="11197" max="11198" width="12.5703125" style="3" customWidth="1"/>
    <col min="11199" max="11199" width="14.85546875" style="3" customWidth="1"/>
    <col min="11200" max="11200" width="20.7109375" style="3" customWidth="1"/>
    <col min="11201" max="11201" width="12.5703125" style="3" customWidth="1"/>
    <col min="11202" max="11202" width="13" style="3" customWidth="1"/>
    <col min="11203" max="11203" width="16" style="3" customWidth="1"/>
    <col min="11204" max="11204" width="6.42578125" style="3" customWidth="1"/>
    <col min="11205" max="11205" width="16" style="3" customWidth="1"/>
    <col min="11206" max="11206" width="2.85546875" style="3" customWidth="1"/>
    <col min="11207" max="11207" width="0.85546875" style="3" customWidth="1"/>
    <col min="11208" max="11208" width="11" style="3"/>
    <col min="11209" max="11209" width="15.42578125" style="3" customWidth="1"/>
    <col min="11210" max="11212" width="14.85546875" style="3" customWidth="1"/>
    <col min="11213" max="11213" width="0.7109375" style="3" customWidth="1"/>
    <col min="11214" max="11214" width="11" style="3"/>
    <col min="11215" max="11215" width="15.7109375" style="3" customWidth="1"/>
    <col min="11216" max="11217" width="14.85546875" style="3" customWidth="1"/>
    <col min="11218" max="11218" width="3.28515625" style="3" customWidth="1"/>
    <col min="11219" max="11219" width="20.140625" style="3" customWidth="1"/>
    <col min="11220" max="11220" width="3.28515625" style="3" customWidth="1"/>
    <col min="11221" max="11225" width="11" style="3"/>
    <col min="11226" max="11238" width="4.7109375" style="3" customWidth="1"/>
    <col min="11239" max="11448" width="11" style="3"/>
    <col min="11449" max="11449" width="0.7109375" style="3" customWidth="1"/>
    <col min="11450" max="11450" width="6.5703125" style="3" customWidth="1"/>
    <col min="11451" max="11451" width="13.5703125" style="3" customWidth="1"/>
    <col min="11452" max="11452" width="13.42578125" style="3" customWidth="1"/>
    <col min="11453" max="11454" width="12.5703125" style="3" customWidth="1"/>
    <col min="11455" max="11455" width="14.85546875" style="3" customWidth="1"/>
    <col min="11456" max="11456" width="20.7109375" style="3" customWidth="1"/>
    <col min="11457" max="11457" width="12.5703125" style="3" customWidth="1"/>
    <col min="11458" max="11458" width="13" style="3" customWidth="1"/>
    <col min="11459" max="11459" width="16" style="3" customWidth="1"/>
    <col min="11460" max="11460" width="6.42578125" style="3" customWidth="1"/>
    <col min="11461" max="11461" width="16" style="3" customWidth="1"/>
    <col min="11462" max="11462" width="2.85546875" style="3" customWidth="1"/>
    <col min="11463" max="11463" width="0.85546875" style="3" customWidth="1"/>
    <col min="11464" max="11464" width="11" style="3"/>
    <col min="11465" max="11465" width="15.42578125" style="3" customWidth="1"/>
    <col min="11466" max="11468" width="14.85546875" style="3" customWidth="1"/>
    <col min="11469" max="11469" width="0.7109375" style="3" customWidth="1"/>
    <col min="11470" max="11470" width="11" style="3"/>
    <col min="11471" max="11471" width="15.7109375" style="3" customWidth="1"/>
    <col min="11472" max="11473" width="14.85546875" style="3" customWidth="1"/>
    <col min="11474" max="11474" width="3.28515625" style="3" customWidth="1"/>
    <col min="11475" max="11475" width="20.140625" style="3" customWidth="1"/>
    <col min="11476" max="11476" width="3.28515625" style="3" customWidth="1"/>
    <col min="11477" max="11481" width="11" style="3"/>
    <col min="11482" max="11494" width="4.7109375" style="3" customWidth="1"/>
    <col min="11495" max="11704" width="11" style="3"/>
    <col min="11705" max="11705" width="0.7109375" style="3" customWidth="1"/>
    <col min="11706" max="11706" width="6.5703125" style="3" customWidth="1"/>
    <col min="11707" max="11707" width="13.5703125" style="3" customWidth="1"/>
    <col min="11708" max="11708" width="13.42578125" style="3" customWidth="1"/>
    <col min="11709" max="11710" width="12.5703125" style="3" customWidth="1"/>
    <col min="11711" max="11711" width="14.85546875" style="3" customWidth="1"/>
    <col min="11712" max="11712" width="20.7109375" style="3" customWidth="1"/>
    <col min="11713" max="11713" width="12.5703125" style="3" customWidth="1"/>
    <col min="11714" max="11714" width="13" style="3" customWidth="1"/>
    <col min="11715" max="11715" width="16" style="3" customWidth="1"/>
    <col min="11716" max="11716" width="6.42578125" style="3" customWidth="1"/>
    <col min="11717" max="11717" width="16" style="3" customWidth="1"/>
    <col min="11718" max="11718" width="2.85546875" style="3" customWidth="1"/>
    <col min="11719" max="11719" width="0.85546875" style="3" customWidth="1"/>
    <col min="11720" max="11720" width="11" style="3"/>
    <col min="11721" max="11721" width="15.42578125" style="3" customWidth="1"/>
    <col min="11722" max="11724" width="14.85546875" style="3" customWidth="1"/>
    <col min="11725" max="11725" width="0.7109375" style="3" customWidth="1"/>
    <col min="11726" max="11726" width="11" style="3"/>
    <col min="11727" max="11727" width="15.7109375" style="3" customWidth="1"/>
    <col min="11728" max="11729" width="14.85546875" style="3" customWidth="1"/>
    <col min="11730" max="11730" width="3.28515625" style="3" customWidth="1"/>
    <col min="11731" max="11731" width="20.140625" style="3" customWidth="1"/>
    <col min="11732" max="11732" width="3.28515625" style="3" customWidth="1"/>
    <col min="11733" max="11737" width="11" style="3"/>
    <col min="11738" max="11750" width="4.7109375" style="3" customWidth="1"/>
    <col min="11751" max="11960" width="11" style="3"/>
    <col min="11961" max="11961" width="0.7109375" style="3" customWidth="1"/>
    <col min="11962" max="11962" width="6.5703125" style="3" customWidth="1"/>
    <col min="11963" max="11963" width="13.5703125" style="3" customWidth="1"/>
    <col min="11964" max="11964" width="13.42578125" style="3" customWidth="1"/>
    <col min="11965" max="11966" width="12.5703125" style="3" customWidth="1"/>
    <col min="11967" max="11967" width="14.85546875" style="3" customWidth="1"/>
    <col min="11968" max="11968" width="20.7109375" style="3" customWidth="1"/>
    <col min="11969" max="11969" width="12.5703125" style="3" customWidth="1"/>
    <col min="11970" max="11970" width="13" style="3" customWidth="1"/>
    <col min="11971" max="11971" width="16" style="3" customWidth="1"/>
    <col min="11972" max="11972" width="6.42578125" style="3" customWidth="1"/>
    <col min="11973" max="11973" width="16" style="3" customWidth="1"/>
    <col min="11974" max="11974" width="2.85546875" style="3" customWidth="1"/>
    <col min="11975" max="11975" width="0.85546875" style="3" customWidth="1"/>
    <col min="11976" max="11976" width="11" style="3"/>
    <col min="11977" max="11977" width="15.42578125" style="3" customWidth="1"/>
    <col min="11978" max="11980" width="14.85546875" style="3" customWidth="1"/>
    <col min="11981" max="11981" width="0.7109375" style="3" customWidth="1"/>
    <col min="11982" max="11982" width="11" style="3"/>
    <col min="11983" max="11983" width="15.7109375" style="3" customWidth="1"/>
    <col min="11984" max="11985" width="14.85546875" style="3" customWidth="1"/>
    <col min="11986" max="11986" width="3.28515625" style="3" customWidth="1"/>
    <col min="11987" max="11987" width="20.140625" style="3" customWidth="1"/>
    <col min="11988" max="11988" width="3.28515625" style="3" customWidth="1"/>
    <col min="11989" max="11993" width="11" style="3"/>
    <col min="11994" max="12006" width="4.7109375" style="3" customWidth="1"/>
    <col min="12007" max="12216" width="11" style="3"/>
    <col min="12217" max="12217" width="0.7109375" style="3" customWidth="1"/>
    <col min="12218" max="12218" width="6.5703125" style="3" customWidth="1"/>
    <col min="12219" max="12219" width="13.5703125" style="3" customWidth="1"/>
    <col min="12220" max="12220" width="13.42578125" style="3" customWidth="1"/>
    <col min="12221" max="12222" width="12.5703125" style="3" customWidth="1"/>
    <col min="12223" max="12223" width="14.85546875" style="3" customWidth="1"/>
    <col min="12224" max="12224" width="20.7109375" style="3" customWidth="1"/>
    <col min="12225" max="12225" width="12.5703125" style="3" customWidth="1"/>
    <col min="12226" max="12226" width="13" style="3" customWidth="1"/>
    <col min="12227" max="12227" width="16" style="3" customWidth="1"/>
    <col min="12228" max="12228" width="6.42578125" style="3" customWidth="1"/>
    <col min="12229" max="12229" width="16" style="3" customWidth="1"/>
    <col min="12230" max="12230" width="2.85546875" style="3" customWidth="1"/>
    <col min="12231" max="12231" width="0.85546875" style="3" customWidth="1"/>
    <col min="12232" max="12232" width="11" style="3"/>
    <col min="12233" max="12233" width="15.42578125" style="3" customWidth="1"/>
    <col min="12234" max="12236" width="14.85546875" style="3" customWidth="1"/>
    <col min="12237" max="12237" width="0.7109375" style="3" customWidth="1"/>
    <col min="12238" max="12238" width="11" style="3"/>
    <col min="12239" max="12239" width="15.7109375" style="3" customWidth="1"/>
    <col min="12240" max="12241" width="14.85546875" style="3" customWidth="1"/>
    <col min="12242" max="12242" width="3.28515625" style="3" customWidth="1"/>
    <col min="12243" max="12243" width="20.140625" style="3" customWidth="1"/>
    <col min="12244" max="12244" width="3.28515625" style="3" customWidth="1"/>
    <col min="12245" max="12249" width="11" style="3"/>
    <col min="12250" max="12262" width="4.7109375" style="3" customWidth="1"/>
    <col min="12263" max="12472" width="11" style="3"/>
    <col min="12473" max="12473" width="0.7109375" style="3" customWidth="1"/>
    <col min="12474" max="12474" width="6.5703125" style="3" customWidth="1"/>
    <col min="12475" max="12475" width="13.5703125" style="3" customWidth="1"/>
    <col min="12476" max="12476" width="13.42578125" style="3" customWidth="1"/>
    <col min="12477" max="12478" width="12.5703125" style="3" customWidth="1"/>
    <col min="12479" max="12479" width="14.85546875" style="3" customWidth="1"/>
    <col min="12480" max="12480" width="20.7109375" style="3" customWidth="1"/>
    <col min="12481" max="12481" width="12.5703125" style="3" customWidth="1"/>
    <col min="12482" max="12482" width="13" style="3" customWidth="1"/>
    <col min="12483" max="12483" width="16" style="3" customWidth="1"/>
    <col min="12484" max="12484" width="6.42578125" style="3" customWidth="1"/>
    <col min="12485" max="12485" width="16" style="3" customWidth="1"/>
    <col min="12486" max="12486" width="2.85546875" style="3" customWidth="1"/>
    <col min="12487" max="12487" width="0.85546875" style="3" customWidth="1"/>
    <col min="12488" max="12488" width="11" style="3"/>
    <col min="12489" max="12489" width="15.42578125" style="3" customWidth="1"/>
    <col min="12490" max="12492" width="14.85546875" style="3" customWidth="1"/>
    <col min="12493" max="12493" width="0.7109375" style="3" customWidth="1"/>
    <col min="12494" max="12494" width="11" style="3"/>
    <col min="12495" max="12495" width="15.7109375" style="3" customWidth="1"/>
    <col min="12496" max="12497" width="14.85546875" style="3" customWidth="1"/>
    <col min="12498" max="12498" width="3.28515625" style="3" customWidth="1"/>
    <col min="12499" max="12499" width="20.140625" style="3" customWidth="1"/>
    <col min="12500" max="12500" width="3.28515625" style="3" customWidth="1"/>
    <col min="12501" max="12505" width="11" style="3"/>
    <col min="12506" max="12518" width="4.7109375" style="3" customWidth="1"/>
    <col min="12519" max="12728" width="11" style="3"/>
    <col min="12729" max="12729" width="0.7109375" style="3" customWidth="1"/>
    <col min="12730" max="12730" width="6.5703125" style="3" customWidth="1"/>
    <col min="12731" max="12731" width="13.5703125" style="3" customWidth="1"/>
    <col min="12732" max="12732" width="13.42578125" style="3" customWidth="1"/>
    <col min="12733" max="12734" width="12.5703125" style="3" customWidth="1"/>
    <col min="12735" max="12735" width="14.85546875" style="3" customWidth="1"/>
    <col min="12736" max="12736" width="20.7109375" style="3" customWidth="1"/>
    <col min="12737" max="12737" width="12.5703125" style="3" customWidth="1"/>
    <col min="12738" max="12738" width="13" style="3" customWidth="1"/>
    <col min="12739" max="12739" width="16" style="3" customWidth="1"/>
    <col min="12740" max="12740" width="6.42578125" style="3" customWidth="1"/>
    <col min="12741" max="12741" width="16" style="3" customWidth="1"/>
    <col min="12742" max="12742" width="2.85546875" style="3" customWidth="1"/>
    <col min="12743" max="12743" width="0.85546875" style="3" customWidth="1"/>
    <col min="12744" max="12744" width="11" style="3"/>
    <col min="12745" max="12745" width="15.42578125" style="3" customWidth="1"/>
    <col min="12746" max="12748" width="14.85546875" style="3" customWidth="1"/>
    <col min="12749" max="12749" width="0.7109375" style="3" customWidth="1"/>
    <col min="12750" max="12750" width="11" style="3"/>
    <col min="12751" max="12751" width="15.7109375" style="3" customWidth="1"/>
    <col min="12752" max="12753" width="14.85546875" style="3" customWidth="1"/>
    <col min="12754" max="12754" width="3.28515625" style="3" customWidth="1"/>
    <col min="12755" max="12755" width="20.140625" style="3" customWidth="1"/>
    <col min="12756" max="12756" width="3.28515625" style="3" customWidth="1"/>
    <col min="12757" max="12761" width="11" style="3"/>
    <col min="12762" max="12774" width="4.7109375" style="3" customWidth="1"/>
    <col min="12775" max="12984" width="11" style="3"/>
    <col min="12985" max="12985" width="0.7109375" style="3" customWidth="1"/>
    <col min="12986" max="12986" width="6.5703125" style="3" customWidth="1"/>
    <col min="12987" max="12987" width="13.5703125" style="3" customWidth="1"/>
    <col min="12988" max="12988" width="13.42578125" style="3" customWidth="1"/>
    <col min="12989" max="12990" width="12.5703125" style="3" customWidth="1"/>
    <col min="12991" max="12991" width="14.85546875" style="3" customWidth="1"/>
    <col min="12992" max="12992" width="20.7109375" style="3" customWidth="1"/>
    <col min="12993" max="12993" width="12.5703125" style="3" customWidth="1"/>
    <col min="12994" max="12994" width="13" style="3" customWidth="1"/>
    <col min="12995" max="12995" width="16" style="3" customWidth="1"/>
    <col min="12996" max="12996" width="6.42578125" style="3" customWidth="1"/>
    <col min="12997" max="12997" width="16" style="3" customWidth="1"/>
    <col min="12998" max="12998" width="2.85546875" style="3" customWidth="1"/>
    <col min="12999" max="12999" width="0.85546875" style="3" customWidth="1"/>
    <col min="13000" max="13000" width="11" style="3"/>
    <col min="13001" max="13001" width="15.42578125" style="3" customWidth="1"/>
    <col min="13002" max="13004" width="14.85546875" style="3" customWidth="1"/>
    <col min="13005" max="13005" width="0.7109375" style="3" customWidth="1"/>
    <col min="13006" max="13006" width="11" style="3"/>
    <col min="13007" max="13007" width="15.7109375" style="3" customWidth="1"/>
    <col min="13008" max="13009" width="14.85546875" style="3" customWidth="1"/>
    <col min="13010" max="13010" width="3.28515625" style="3" customWidth="1"/>
    <col min="13011" max="13011" width="20.140625" style="3" customWidth="1"/>
    <col min="13012" max="13012" width="3.28515625" style="3" customWidth="1"/>
    <col min="13013" max="13017" width="11" style="3"/>
    <col min="13018" max="13030" width="4.7109375" style="3" customWidth="1"/>
    <col min="13031" max="13240" width="11" style="3"/>
    <col min="13241" max="13241" width="0.7109375" style="3" customWidth="1"/>
    <col min="13242" max="13242" width="6.5703125" style="3" customWidth="1"/>
    <col min="13243" max="13243" width="13.5703125" style="3" customWidth="1"/>
    <col min="13244" max="13244" width="13.42578125" style="3" customWidth="1"/>
    <col min="13245" max="13246" width="12.5703125" style="3" customWidth="1"/>
    <col min="13247" max="13247" width="14.85546875" style="3" customWidth="1"/>
    <col min="13248" max="13248" width="20.7109375" style="3" customWidth="1"/>
    <col min="13249" max="13249" width="12.5703125" style="3" customWidth="1"/>
    <col min="13250" max="13250" width="13" style="3" customWidth="1"/>
    <col min="13251" max="13251" width="16" style="3" customWidth="1"/>
    <col min="13252" max="13252" width="6.42578125" style="3" customWidth="1"/>
    <col min="13253" max="13253" width="16" style="3" customWidth="1"/>
    <col min="13254" max="13254" width="2.85546875" style="3" customWidth="1"/>
    <col min="13255" max="13255" width="0.85546875" style="3" customWidth="1"/>
    <col min="13256" max="13256" width="11" style="3"/>
    <col min="13257" max="13257" width="15.42578125" style="3" customWidth="1"/>
    <col min="13258" max="13260" width="14.85546875" style="3" customWidth="1"/>
    <col min="13261" max="13261" width="0.7109375" style="3" customWidth="1"/>
    <col min="13262" max="13262" width="11" style="3"/>
    <col min="13263" max="13263" width="15.7109375" style="3" customWidth="1"/>
    <col min="13264" max="13265" width="14.85546875" style="3" customWidth="1"/>
    <col min="13266" max="13266" width="3.28515625" style="3" customWidth="1"/>
    <col min="13267" max="13267" width="20.140625" style="3" customWidth="1"/>
    <col min="13268" max="13268" width="3.28515625" style="3" customWidth="1"/>
    <col min="13269" max="13273" width="11" style="3"/>
    <col min="13274" max="13286" width="4.7109375" style="3" customWidth="1"/>
    <col min="13287" max="13496" width="11" style="3"/>
    <col min="13497" max="13497" width="0.7109375" style="3" customWidth="1"/>
    <col min="13498" max="13498" width="6.5703125" style="3" customWidth="1"/>
    <col min="13499" max="13499" width="13.5703125" style="3" customWidth="1"/>
    <col min="13500" max="13500" width="13.42578125" style="3" customWidth="1"/>
    <col min="13501" max="13502" width="12.5703125" style="3" customWidth="1"/>
    <col min="13503" max="13503" width="14.85546875" style="3" customWidth="1"/>
    <col min="13504" max="13504" width="20.7109375" style="3" customWidth="1"/>
    <col min="13505" max="13505" width="12.5703125" style="3" customWidth="1"/>
    <col min="13506" max="13506" width="13" style="3" customWidth="1"/>
    <col min="13507" max="13507" width="16" style="3" customWidth="1"/>
    <col min="13508" max="13508" width="6.42578125" style="3" customWidth="1"/>
    <col min="13509" max="13509" width="16" style="3" customWidth="1"/>
    <col min="13510" max="13510" width="2.85546875" style="3" customWidth="1"/>
    <col min="13511" max="13511" width="0.85546875" style="3" customWidth="1"/>
    <col min="13512" max="13512" width="11" style="3"/>
    <col min="13513" max="13513" width="15.42578125" style="3" customWidth="1"/>
    <col min="13514" max="13516" width="14.85546875" style="3" customWidth="1"/>
    <col min="13517" max="13517" width="0.7109375" style="3" customWidth="1"/>
    <col min="13518" max="13518" width="11" style="3"/>
    <col min="13519" max="13519" width="15.7109375" style="3" customWidth="1"/>
    <col min="13520" max="13521" width="14.85546875" style="3" customWidth="1"/>
    <col min="13522" max="13522" width="3.28515625" style="3" customWidth="1"/>
    <col min="13523" max="13523" width="20.140625" style="3" customWidth="1"/>
    <col min="13524" max="13524" width="3.28515625" style="3" customWidth="1"/>
    <col min="13525" max="13529" width="11" style="3"/>
    <col min="13530" max="13542" width="4.7109375" style="3" customWidth="1"/>
    <col min="13543" max="13752" width="11" style="3"/>
    <col min="13753" max="13753" width="0.7109375" style="3" customWidth="1"/>
    <col min="13754" max="13754" width="6.5703125" style="3" customWidth="1"/>
    <col min="13755" max="13755" width="13.5703125" style="3" customWidth="1"/>
    <col min="13756" max="13756" width="13.42578125" style="3" customWidth="1"/>
    <col min="13757" max="13758" width="12.5703125" style="3" customWidth="1"/>
    <col min="13759" max="13759" width="14.85546875" style="3" customWidth="1"/>
    <col min="13760" max="13760" width="20.7109375" style="3" customWidth="1"/>
    <col min="13761" max="13761" width="12.5703125" style="3" customWidth="1"/>
    <col min="13762" max="13762" width="13" style="3" customWidth="1"/>
    <col min="13763" max="13763" width="16" style="3" customWidth="1"/>
    <col min="13764" max="13764" width="6.42578125" style="3" customWidth="1"/>
    <col min="13765" max="13765" width="16" style="3" customWidth="1"/>
    <col min="13766" max="13766" width="2.85546875" style="3" customWidth="1"/>
    <col min="13767" max="13767" width="0.85546875" style="3" customWidth="1"/>
    <col min="13768" max="13768" width="11" style="3"/>
    <col min="13769" max="13769" width="15.42578125" style="3" customWidth="1"/>
    <col min="13770" max="13772" width="14.85546875" style="3" customWidth="1"/>
    <col min="13773" max="13773" width="0.7109375" style="3" customWidth="1"/>
    <col min="13774" max="13774" width="11" style="3"/>
    <col min="13775" max="13775" width="15.7109375" style="3" customWidth="1"/>
    <col min="13776" max="13777" width="14.85546875" style="3" customWidth="1"/>
    <col min="13778" max="13778" width="3.28515625" style="3" customWidth="1"/>
    <col min="13779" max="13779" width="20.140625" style="3" customWidth="1"/>
    <col min="13780" max="13780" width="3.28515625" style="3" customWidth="1"/>
    <col min="13781" max="13785" width="11" style="3"/>
    <col min="13786" max="13798" width="4.7109375" style="3" customWidth="1"/>
    <col min="13799" max="14008" width="11" style="3"/>
    <col min="14009" max="14009" width="0.7109375" style="3" customWidth="1"/>
    <col min="14010" max="14010" width="6.5703125" style="3" customWidth="1"/>
    <col min="14011" max="14011" width="13.5703125" style="3" customWidth="1"/>
    <col min="14012" max="14012" width="13.42578125" style="3" customWidth="1"/>
    <col min="14013" max="14014" width="12.5703125" style="3" customWidth="1"/>
    <col min="14015" max="14015" width="14.85546875" style="3" customWidth="1"/>
    <col min="14016" max="14016" width="20.7109375" style="3" customWidth="1"/>
    <col min="14017" max="14017" width="12.5703125" style="3" customWidth="1"/>
    <col min="14018" max="14018" width="13" style="3" customWidth="1"/>
    <col min="14019" max="14019" width="16" style="3" customWidth="1"/>
    <col min="14020" max="14020" width="6.42578125" style="3" customWidth="1"/>
    <col min="14021" max="14021" width="16" style="3" customWidth="1"/>
    <col min="14022" max="14022" width="2.85546875" style="3" customWidth="1"/>
    <col min="14023" max="14023" width="0.85546875" style="3" customWidth="1"/>
    <col min="14024" max="14024" width="11" style="3"/>
    <col min="14025" max="14025" width="15.42578125" style="3" customWidth="1"/>
    <col min="14026" max="14028" width="14.85546875" style="3" customWidth="1"/>
    <col min="14029" max="14029" width="0.7109375" style="3" customWidth="1"/>
    <col min="14030" max="14030" width="11" style="3"/>
    <col min="14031" max="14031" width="15.7109375" style="3" customWidth="1"/>
    <col min="14032" max="14033" width="14.85546875" style="3" customWidth="1"/>
    <col min="14034" max="14034" width="3.28515625" style="3" customWidth="1"/>
    <col min="14035" max="14035" width="20.140625" style="3" customWidth="1"/>
    <col min="14036" max="14036" width="3.28515625" style="3" customWidth="1"/>
    <col min="14037" max="14041" width="11" style="3"/>
    <col min="14042" max="14054" width="4.7109375" style="3" customWidth="1"/>
    <col min="14055" max="14264" width="11" style="3"/>
    <col min="14265" max="14265" width="0.7109375" style="3" customWidth="1"/>
    <col min="14266" max="14266" width="6.5703125" style="3" customWidth="1"/>
    <col min="14267" max="14267" width="13.5703125" style="3" customWidth="1"/>
    <col min="14268" max="14268" width="13.42578125" style="3" customWidth="1"/>
    <col min="14269" max="14270" width="12.5703125" style="3" customWidth="1"/>
    <col min="14271" max="14271" width="14.85546875" style="3" customWidth="1"/>
    <col min="14272" max="14272" width="20.7109375" style="3" customWidth="1"/>
    <col min="14273" max="14273" width="12.5703125" style="3" customWidth="1"/>
    <col min="14274" max="14274" width="13" style="3" customWidth="1"/>
    <col min="14275" max="14275" width="16" style="3" customWidth="1"/>
    <col min="14276" max="14276" width="6.42578125" style="3" customWidth="1"/>
    <col min="14277" max="14277" width="16" style="3" customWidth="1"/>
    <col min="14278" max="14278" width="2.85546875" style="3" customWidth="1"/>
    <col min="14279" max="14279" width="0.85546875" style="3" customWidth="1"/>
    <col min="14280" max="14280" width="11" style="3"/>
    <col min="14281" max="14281" width="15.42578125" style="3" customWidth="1"/>
    <col min="14282" max="14284" width="14.85546875" style="3" customWidth="1"/>
    <col min="14285" max="14285" width="0.7109375" style="3" customWidth="1"/>
    <col min="14286" max="14286" width="11" style="3"/>
    <col min="14287" max="14287" width="15.7109375" style="3" customWidth="1"/>
    <col min="14288" max="14289" width="14.85546875" style="3" customWidth="1"/>
    <col min="14290" max="14290" width="3.28515625" style="3" customWidth="1"/>
    <col min="14291" max="14291" width="20.140625" style="3" customWidth="1"/>
    <col min="14292" max="14292" width="3.28515625" style="3" customWidth="1"/>
    <col min="14293" max="14297" width="11" style="3"/>
    <col min="14298" max="14310" width="4.7109375" style="3" customWidth="1"/>
    <col min="14311" max="14520" width="11" style="3"/>
    <col min="14521" max="14521" width="0.7109375" style="3" customWidth="1"/>
    <col min="14522" max="14522" width="6.5703125" style="3" customWidth="1"/>
    <col min="14523" max="14523" width="13.5703125" style="3" customWidth="1"/>
    <col min="14524" max="14524" width="13.42578125" style="3" customWidth="1"/>
    <col min="14525" max="14526" width="12.5703125" style="3" customWidth="1"/>
    <col min="14527" max="14527" width="14.85546875" style="3" customWidth="1"/>
    <col min="14528" max="14528" width="20.7109375" style="3" customWidth="1"/>
    <col min="14529" max="14529" width="12.5703125" style="3" customWidth="1"/>
    <col min="14530" max="14530" width="13" style="3" customWidth="1"/>
    <col min="14531" max="14531" width="16" style="3" customWidth="1"/>
    <col min="14532" max="14532" width="6.42578125" style="3" customWidth="1"/>
    <col min="14533" max="14533" width="16" style="3" customWidth="1"/>
    <col min="14534" max="14534" width="2.85546875" style="3" customWidth="1"/>
    <col min="14535" max="14535" width="0.85546875" style="3" customWidth="1"/>
    <col min="14536" max="14536" width="11" style="3"/>
    <col min="14537" max="14537" width="15.42578125" style="3" customWidth="1"/>
    <col min="14538" max="14540" width="14.85546875" style="3" customWidth="1"/>
    <col min="14541" max="14541" width="0.7109375" style="3" customWidth="1"/>
    <col min="14542" max="14542" width="11" style="3"/>
    <col min="14543" max="14543" width="15.7109375" style="3" customWidth="1"/>
    <col min="14544" max="14545" width="14.85546875" style="3" customWidth="1"/>
    <col min="14546" max="14546" width="3.28515625" style="3" customWidth="1"/>
    <col min="14547" max="14547" width="20.140625" style="3" customWidth="1"/>
    <col min="14548" max="14548" width="3.28515625" style="3" customWidth="1"/>
    <col min="14549" max="14553" width="11" style="3"/>
    <col min="14554" max="14566" width="4.7109375" style="3" customWidth="1"/>
    <col min="14567" max="14776" width="11" style="3"/>
    <col min="14777" max="14777" width="0.7109375" style="3" customWidth="1"/>
    <col min="14778" max="14778" width="6.5703125" style="3" customWidth="1"/>
    <col min="14779" max="14779" width="13.5703125" style="3" customWidth="1"/>
    <col min="14780" max="14780" width="13.42578125" style="3" customWidth="1"/>
    <col min="14781" max="14782" width="12.5703125" style="3" customWidth="1"/>
    <col min="14783" max="14783" width="14.85546875" style="3" customWidth="1"/>
    <col min="14784" max="14784" width="20.7109375" style="3" customWidth="1"/>
    <col min="14785" max="14785" width="12.5703125" style="3" customWidth="1"/>
    <col min="14786" max="14786" width="13" style="3" customWidth="1"/>
    <col min="14787" max="14787" width="16" style="3" customWidth="1"/>
    <col min="14788" max="14788" width="6.42578125" style="3" customWidth="1"/>
    <col min="14789" max="14789" width="16" style="3" customWidth="1"/>
    <col min="14790" max="14790" width="2.85546875" style="3" customWidth="1"/>
    <col min="14791" max="14791" width="0.85546875" style="3" customWidth="1"/>
    <col min="14792" max="14792" width="11" style="3"/>
    <col min="14793" max="14793" width="15.42578125" style="3" customWidth="1"/>
    <col min="14794" max="14796" width="14.85546875" style="3" customWidth="1"/>
    <col min="14797" max="14797" width="0.7109375" style="3" customWidth="1"/>
    <col min="14798" max="14798" width="11" style="3"/>
    <col min="14799" max="14799" width="15.7109375" style="3" customWidth="1"/>
    <col min="14800" max="14801" width="14.85546875" style="3" customWidth="1"/>
    <col min="14802" max="14802" width="3.28515625" style="3" customWidth="1"/>
    <col min="14803" max="14803" width="20.140625" style="3" customWidth="1"/>
    <col min="14804" max="14804" width="3.28515625" style="3" customWidth="1"/>
    <col min="14805" max="14809" width="11" style="3"/>
    <col min="14810" max="14822" width="4.7109375" style="3" customWidth="1"/>
    <col min="14823" max="15032" width="11" style="3"/>
    <col min="15033" max="15033" width="0.7109375" style="3" customWidth="1"/>
    <col min="15034" max="15034" width="6.5703125" style="3" customWidth="1"/>
    <col min="15035" max="15035" width="13.5703125" style="3" customWidth="1"/>
    <col min="15036" max="15036" width="13.42578125" style="3" customWidth="1"/>
    <col min="15037" max="15038" width="12.5703125" style="3" customWidth="1"/>
    <col min="15039" max="15039" width="14.85546875" style="3" customWidth="1"/>
    <col min="15040" max="15040" width="20.7109375" style="3" customWidth="1"/>
    <col min="15041" max="15041" width="12.5703125" style="3" customWidth="1"/>
    <col min="15042" max="15042" width="13" style="3" customWidth="1"/>
    <col min="15043" max="15043" width="16" style="3" customWidth="1"/>
    <col min="15044" max="15044" width="6.42578125" style="3" customWidth="1"/>
    <col min="15045" max="15045" width="16" style="3" customWidth="1"/>
    <col min="15046" max="15046" width="2.85546875" style="3" customWidth="1"/>
    <col min="15047" max="15047" width="0.85546875" style="3" customWidth="1"/>
    <col min="15048" max="15048" width="11" style="3"/>
    <col min="15049" max="15049" width="15.42578125" style="3" customWidth="1"/>
    <col min="15050" max="15052" width="14.85546875" style="3" customWidth="1"/>
    <col min="15053" max="15053" width="0.7109375" style="3" customWidth="1"/>
    <col min="15054" max="15054" width="11" style="3"/>
    <col min="15055" max="15055" width="15.7109375" style="3" customWidth="1"/>
    <col min="15056" max="15057" width="14.85546875" style="3" customWidth="1"/>
    <col min="15058" max="15058" width="3.28515625" style="3" customWidth="1"/>
    <col min="15059" max="15059" width="20.140625" style="3" customWidth="1"/>
    <col min="15060" max="15060" width="3.28515625" style="3" customWidth="1"/>
    <col min="15061" max="15065" width="11" style="3"/>
    <col min="15066" max="15078" width="4.7109375" style="3" customWidth="1"/>
    <col min="15079" max="15288" width="11" style="3"/>
    <col min="15289" max="15289" width="0.7109375" style="3" customWidth="1"/>
    <col min="15290" max="15290" width="6.5703125" style="3" customWidth="1"/>
    <col min="15291" max="15291" width="13.5703125" style="3" customWidth="1"/>
    <col min="15292" max="15292" width="13.42578125" style="3" customWidth="1"/>
    <col min="15293" max="15294" width="12.5703125" style="3" customWidth="1"/>
    <col min="15295" max="15295" width="14.85546875" style="3" customWidth="1"/>
    <col min="15296" max="15296" width="20.7109375" style="3" customWidth="1"/>
    <col min="15297" max="15297" width="12.5703125" style="3" customWidth="1"/>
    <col min="15298" max="15298" width="13" style="3" customWidth="1"/>
    <col min="15299" max="15299" width="16" style="3" customWidth="1"/>
    <col min="15300" max="15300" width="6.42578125" style="3" customWidth="1"/>
    <col min="15301" max="15301" width="16" style="3" customWidth="1"/>
    <col min="15302" max="15302" width="2.85546875" style="3" customWidth="1"/>
    <col min="15303" max="15303" width="0.85546875" style="3" customWidth="1"/>
    <col min="15304" max="15304" width="11" style="3"/>
    <col min="15305" max="15305" width="15.42578125" style="3" customWidth="1"/>
    <col min="15306" max="15308" width="14.85546875" style="3" customWidth="1"/>
    <col min="15309" max="15309" width="0.7109375" style="3" customWidth="1"/>
    <col min="15310" max="15310" width="11" style="3"/>
    <col min="15311" max="15311" width="15.7109375" style="3" customWidth="1"/>
    <col min="15312" max="15313" width="14.85546875" style="3" customWidth="1"/>
    <col min="15314" max="15314" width="3.28515625" style="3" customWidth="1"/>
    <col min="15315" max="15315" width="20.140625" style="3" customWidth="1"/>
    <col min="15316" max="15316" width="3.28515625" style="3" customWidth="1"/>
    <col min="15317" max="15321" width="11" style="3"/>
    <col min="15322" max="15334" width="4.7109375" style="3" customWidth="1"/>
    <col min="15335" max="15544" width="11" style="3"/>
    <col min="15545" max="15545" width="0.7109375" style="3" customWidth="1"/>
    <col min="15546" max="15546" width="6.5703125" style="3" customWidth="1"/>
    <col min="15547" max="15547" width="13.5703125" style="3" customWidth="1"/>
    <col min="15548" max="15548" width="13.42578125" style="3" customWidth="1"/>
    <col min="15549" max="15550" width="12.5703125" style="3" customWidth="1"/>
    <col min="15551" max="15551" width="14.85546875" style="3" customWidth="1"/>
    <col min="15552" max="15552" width="20.7109375" style="3" customWidth="1"/>
    <col min="15553" max="15553" width="12.5703125" style="3" customWidth="1"/>
    <col min="15554" max="15554" width="13" style="3" customWidth="1"/>
    <col min="15555" max="15555" width="16" style="3" customWidth="1"/>
    <col min="15556" max="15556" width="6.42578125" style="3" customWidth="1"/>
    <col min="15557" max="15557" width="16" style="3" customWidth="1"/>
    <col min="15558" max="15558" width="2.85546875" style="3" customWidth="1"/>
    <col min="15559" max="15559" width="0.85546875" style="3" customWidth="1"/>
    <col min="15560" max="15560" width="11" style="3"/>
    <col min="15561" max="15561" width="15.42578125" style="3" customWidth="1"/>
    <col min="15562" max="15564" width="14.85546875" style="3" customWidth="1"/>
    <col min="15565" max="15565" width="0.7109375" style="3" customWidth="1"/>
    <col min="15566" max="15566" width="11" style="3"/>
    <col min="15567" max="15567" width="15.7109375" style="3" customWidth="1"/>
    <col min="15568" max="15569" width="14.85546875" style="3" customWidth="1"/>
    <col min="15570" max="15570" width="3.28515625" style="3" customWidth="1"/>
    <col min="15571" max="15571" width="20.140625" style="3" customWidth="1"/>
    <col min="15572" max="15572" width="3.28515625" style="3" customWidth="1"/>
    <col min="15573" max="15577" width="11" style="3"/>
    <col min="15578" max="15590" width="4.7109375" style="3" customWidth="1"/>
    <col min="15591" max="15800" width="11" style="3"/>
    <col min="15801" max="15801" width="0.7109375" style="3" customWidth="1"/>
    <col min="15802" max="15802" width="6.5703125" style="3" customWidth="1"/>
    <col min="15803" max="15803" width="13.5703125" style="3" customWidth="1"/>
    <col min="15804" max="15804" width="13.42578125" style="3" customWidth="1"/>
    <col min="15805" max="15806" width="12.5703125" style="3" customWidth="1"/>
    <col min="15807" max="15807" width="14.85546875" style="3" customWidth="1"/>
    <col min="15808" max="15808" width="20.7109375" style="3" customWidth="1"/>
    <col min="15809" max="15809" width="12.5703125" style="3" customWidth="1"/>
    <col min="15810" max="15810" width="13" style="3" customWidth="1"/>
    <col min="15811" max="15811" width="16" style="3" customWidth="1"/>
    <col min="15812" max="15812" width="6.42578125" style="3" customWidth="1"/>
    <col min="15813" max="15813" width="16" style="3" customWidth="1"/>
    <col min="15814" max="15814" width="2.85546875" style="3" customWidth="1"/>
    <col min="15815" max="15815" width="0.85546875" style="3" customWidth="1"/>
    <col min="15816" max="15816" width="11" style="3"/>
    <col min="15817" max="15817" width="15.42578125" style="3" customWidth="1"/>
    <col min="15818" max="15820" width="14.85546875" style="3" customWidth="1"/>
    <col min="15821" max="15821" width="0.7109375" style="3" customWidth="1"/>
    <col min="15822" max="15822" width="11" style="3"/>
    <col min="15823" max="15823" width="15.7109375" style="3" customWidth="1"/>
    <col min="15824" max="15825" width="14.85546875" style="3" customWidth="1"/>
    <col min="15826" max="15826" width="3.28515625" style="3" customWidth="1"/>
    <col min="15827" max="15827" width="20.140625" style="3" customWidth="1"/>
    <col min="15828" max="15828" width="3.28515625" style="3" customWidth="1"/>
    <col min="15829" max="15833" width="11" style="3"/>
    <col min="15834" max="15846" width="4.7109375" style="3" customWidth="1"/>
    <col min="15847" max="16056" width="11" style="3"/>
    <col min="16057" max="16057" width="0.7109375" style="3" customWidth="1"/>
    <col min="16058" max="16058" width="6.5703125" style="3" customWidth="1"/>
    <col min="16059" max="16059" width="13.5703125" style="3" customWidth="1"/>
    <col min="16060" max="16060" width="13.42578125" style="3" customWidth="1"/>
    <col min="16061" max="16062" width="12.5703125" style="3" customWidth="1"/>
    <col min="16063" max="16063" width="14.85546875" style="3" customWidth="1"/>
    <col min="16064" max="16064" width="20.7109375" style="3" customWidth="1"/>
    <col min="16065" max="16065" width="12.5703125" style="3" customWidth="1"/>
    <col min="16066" max="16066" width="13" style="3" customWidth="1"/>
    <col min="16067" max="16067" width="16" style="3" customWidth="1"/>
    <col min="16068" max="16068" width="6.42578125" style="3" customWidth="1"/>
    <col min="16069" max="16069" width="16" style="3" customWidth="1"/>
    <col min="16070" max="16070" width="2.85546875" style="3" customWidth="1"/>
    <col min="16071" max="16071" width="0.85546875" style="3" customWidth="1"/>
    <col min="16072" max="16072" width="11" style="3"/>
    <col min="16073" max="16073" width="15.42578125" style="3" customWidth="1"/>
    <col min="16074" max="16076" width="14.85546875" style="3" customWidth="1"/>
    <col min="16077" max="16077" width="0.7109375" style="3" customWidth="1"/>
    <col min="16078" max="16078" width="11" style="3"/>
    <col min="16079" max="16079" width="15.7109375" style="3" customWidth="1"/>
    <col min="16080" max="16081" width="14.85546875" style="3" customWidth="1"/>
    <col min="16082" max="16082" width="3.28515625" style="3" customWidth="1"/>
    <col min="16083" max="16083" width="20.140625" style="3" customWidth="1"/>
    <col min="16084" max="16084" width="3.28515625" style="3" customWidth="1"/>
    <col min="16085" max="16089" width="11" style="3"/>
    <col min="16090" max="16102" width="4.7109375" style="3" customWidth="1"/>
    <col min="16103" max="16384" width="11" style="3"/>
  </cols>
  <sheetData>
    <row r="1" spans="1:28" s="1" customFormat="1" ht="19.5" customHeight="1">
      <c r="A1" s="236"/>
      <c r="B1" s="237"/>
      <c r="C1" s="179" t="s">
        <v>0</v>
      </c>
      <c r="D1" s="179"/>
      <c r="E1" s="179"/>
      <c r="F1" s="179"/>
      <c r="G1" s="179"/>
      <c r="H1" s="179"/>
      <c r="I1" s="179"/>
      <c r="J1" s="179"/>
      <c r="K1" s="180" t="s">
        <v>1</v>
      </c>
      <c r="L1" s="181"/>
      <c r="O1" s="80"/>
      <c r="P1" s="80"/>
      <c r="Q1" s="80"/>
      <c r="R1" s="80"/>
      <c r="S1" s="80"/>
      <c r="T1" s="80"/>
      <c r="U1" s="80"/>
      <c r="V1" s="80"/>
      <c r="W1" s="80"/>
      <c r="X1" s="80"/>
      <c r="Y1" s="80"/>
      <c r="Z1" s="80"/>
      <c r="AA1" s="80"/>
    </row>
    <row r="2" spans="1:28" s="1" customFormat="1" ht="19.5" customHeight="1">
      <c r="A2" s="238"/>
      <c r="B2" s="186"/>
      <c r="C2" s="241" t="s">
        <v>2</v>
      </c>
      <c r="D2" s="241"/>
      <c r="E2" s="241"/>
      <c r="F2" s="241"/>
      <c r="G2" s="241"/>
      <c r="H2" s="241"/>
      <c r="I2" s="241"/>
      <c r="J2" s="241"/>
      <c r="K2" s="182" t="s">
        <v>89</v>
      </c>
      <c r="L2" s="183"/>
      <c r="O2" s="80"/>
      <c r="P2" s="80"/>
      <c r="Q2" s="80"/>
      <c r="R2" s="80"/>
      <c r="S2" s="80"/>
      <c r="T2" s="80"/>
      <c r="U2" s="80"/>
      <c r="V2" s="80"/>
      <c r="W2" s="80"/>
      <c r="X2" s="80"/>
      <c r="Y2" s="80"/>
      <c r="Z2" s="80"/>
      <c r="AA2" s="80"/>
    </row>
    <row r="3" spans="1:28" s="1" customFormat="1" ht="19.5" customHeight="1">
      <c r="A3" s="238"/>
      <c r="B3" s="186"/>
      <c r="C3" s="241"/>
      <c r="D3" s="241"/>
      <c r="E3" s="241"/>
      <c r="F3" s="241"/>
      <c r="G3" s="241"/>
      <c r="H3" s="241"/>
      <c r="I3" s="241"/>
      <c r="J3" s="241"/>
      <c r="K3" s="182" t="s">
        <v>3</v>
      </c>
      <c r="L3" s="183"/>
      <c r="Q3" s="132"/>
      <c r="R3" s="80"/>
      <c r="T3" s="132" t="s">
        <v>4</v>
      </c>
      <c r="U3" s="132"/>
      <c r="V3" s="80"/>
      <c r="W3" s="80"/>
      <c r="X3" s="80"/>
      <c r="Y3" s="80"/>
      <c r="Z3" s="80"/>
      <c r="AA3" s="80"/>
    </row>
    <row r="4" spans="1:28" s="1" customFormat="1" ht="19.5" customHeight="1" thickBot="1">
      <c r="A4" s="239"/>
      <c r="B4" s="240"/>
      <c r="C4" s="242"/>
      <c r="D4" s="242"/>
      <c r="E4" s="242"/>
      <c r="F4" s="242"/>
      <c r="G4" s="242"/>
      <c r="H4" s="242"/>
      <c r="I4" s="242"/>
      <c r="J4" s="242"/>
      <c r="K4" s="184" t="s">
        <v>88</v>
      </c>
      <c r="L4" s="185"/>
      <c r="Q4" s="132"/>
      <c r="R4" s="80"/>
      <c r="S4" s="132"/>
      <c r="T4" s="132"/>
      <c r="U4" s="132"/>
      <c r="V4" s="80"/>
      <c r="W4" s="80"/>
      <c r="X4" s="80"/>
      <c r="Y4" s="80"/>
      <c r="Z4" s="80"/>
      <c r="AA4" s="80"/>
    </row>
    <row r="5" spans="1:28" s="1" customFormat="1" ht="3.95" customHeight="1" thickBot="1">
      <c r="A5" s="5"/>
      <c r="B5" s="186"/>
      <c r="C5" s="186"/>
      <c r="D5" s="186"/>
      <c r="E5" s="186"/>
      <c r="F5" s="186"/>
      <c r="G5" s="186"/>
      <c r="H5" s="186"/>
      <c r="I5" s="186"/>
      <c r="J5" s="186"/>
      <c r="K5" s="186"/>
      <c r="L5" s="81"/>
      <c r="Q5" s="132"/>
      <c r="R5" s="132"/>
      <c r="T5" s="132"/>
      <c r="U5" s="132"/>
      <c r="V5" s="80"/>
      <c r="W5" s="80"/>
      <c r="X5" s="80"/>
      <c r="Y5" s="80"/>
      <c r="Z5" s="80"/>
      <c r="AA5" s="80"/>
      <c r="AB5" s="80"/>
    </row>
    <row r="6" spans="1:28" s="1" customFormat="1" ht="22.5" customHeight="1">
      <c r="A6" s="6"/>
      <c r="B6" s="7" t="s">
        <v>5</v>
      </c>
      <c r="C6" s="273" t="s">
        <v>91</v>
      </c>
      <c r="D6" s="273"/>
      <c r="E6" s="273"/>
      <c r="F6" s="273"/>
      <c r="G6" s="273"/>
      <c r="H6" s="188" t="s">
        <v>6</v>
      </c>
      <c r="I6" s="188"/>
      <c r="J6" s="189">
        <v>45884</v>
      </c>
      <c r="K6" s="189"/>
      <c r="L6" s="190"/>
      <c r="Q6" s="80"/>
      <c r="R6" s="80"/>
      <c r="T6" s="133" t="s">
        <v>7</v>
      </c>
      <c r="U6" s="80"/>
      <c r="V6" s="80"/>
      <c r="W6" s="80"/>
      <c r="X6" s="80"/>
      <c r="Y6" s="80"/>
      <c r="Z6" s="80"/>
      <c r="AA6" s="80"/>
      <c r="AB6" s="80"/>
    </row>
    <row r="7" spans="1:28" s="1" customFormat="1" ht="24.75" customHeight="1">
      <c r="A7" s="5"/>
      <c r="B7" s="9" t="s">
        <v>8</v>
      </c>
      <c r="C7" s="274" t="s">
        <v>92</v>
      </c>
      <c r="D7" s="274"/>
      <c r="E7" s="274"/>
      <c r="F7" s="274"/>
      <c r="G7" s="274"/>
      <c r="H7" s="192" t="s">
        <v>9</v>
      </c>
      <c r="I7" s="192"/>
      <c r="J7" s="193">
        <v>45937</v>
      </c>
      <c r="K7" s="193"/>
      <c r="L7" s="194"/>
      <c r="Q7" s="80"/>
      <c r="R7" s="80"/>
      <c r="T7" s="133" t="s">
        <v>10</v>
      </c>
      <c r="U7" s="80"/>
      <c r="V7" s="80"/>
      <c r="W7" s="80"/>
      <c r="X7" s="80"/>
      <c r="Y7" s="80"/>
      <c r="Z7" s="80"/>
      <c r="AA7" s="80"/>
      <c r="AB7" s="80"/>
    </row>
    <row r="8" spans="1:28" s="1" customFormat="1" ht="22.5" customHeight="1">
      <c r="A8" s="5"/>
      <c r="B8" s="9" t="s">
        <v>11</v>
      </c>
      <c r="C8" s="271" t="s">
        <v>12</v>
      </c>
      <c r="D8" s="272"/>
      <c r="E8" s="272"/>
      <c r="F8" s="272"/>
      <c r="G8" s="272"/>
      <c r="H8" s="192" t="s">
        <v>13</v>
      </c>
      <c r="I8" s="192"/>
      <c r="J8" s="193">
        <v>45968</v>
      </c>
      <c r="K8" s="193"/>
      <c r="L8" s="194"/>
      <c r="Q8" s="80"/>
      <c r="R8" s="80"/>
      <c r="S8" s="1">
        <f>17-2.57</f>
        <v>14.43</v>
      </c>
      <c r="T8" s="133" t="s">
        <v>14</v>
      </c>
      <c r="U8" s="80"/>
      <c r="V8" s="80"/>
      <c r="W8" s="80"/>
      <c r="X8" s="80"/>
      <c r="Y8" s="80"/>
      <c r="Z8" s="80"/>
      <c r="AA8" s="80"/>
      <c r="AB8" s="80"/>
    </row>
    <row r="9" spans="1:28" s="1" customFormat="1" ht="22.5" customHeight="1">
      <c r="A9" s="5"/>
      <c r="B9" s="9" t="s">
        <v>15</v>
      </c>
      <c r="C9" s="202" t="s">
        <v>93</v>
      </c>
      <c r="D9" s="202"/>
      <c r="E9" s="202"/>
      <c r="F9" s="202"/>
      <c r="G9" s="202"/>
      <c r="H9" s="192" t="s">
        <v>16</v>
      </c>
      <c r="I9" s="192"/>
      <c r="J9" s="82" t="s">
        <v>17</v>
      </c>
      <c r="K9" s="83" t="s">
        <v>90</v>
      </c>
      <c r="L9" s="84" t="s">
        <v>85</v>
      </c>
      <c r="Q9" s="80"/>
      <c r="R9" s="80"/>
      <c r="T9" s="133" t="s">
        <v>18</v>
      </c>
      <c r="U9" s="80"/>
      <c r="V9" s="80"/>
      <c r="W9" s="80"/>
      <c r="X9" s="80"/>
      <c r="Y9" s="80"/>
      <c r="Z9" s="80"/>
      <c r="AA9" s="80"/>
      <c r="AB9" s="80"/>
    </row>
    <row r="10" spans="1:28" s="1" customFormat="1" ht="22.5" customHeight="1">
      <c r="A10" s="5"/>
      <c r="B10" s="10" t="s">
        <v>19</v>
      </c>
      <c r="C10" s="202" t="s">
        <v>20</v>
      </c>
      <c r="D10" s="202"/>
      <c r="E10" s="202"/>
      <c r="F10" s="202"/>
      <c r="G10" s="202"/>
      <c r="H10" s="196" t="s">
        <v>21</v>
      </c>
      <c r="I10" s="196"/>
      <c r="J10" s="197" t="str">
        <f>CONCATENATE(K9,," ",L9,"-",D12,"-",F12)</f>
        <v>056 25-UNIVALLE AP3-3</v>
      </c>
      <c r="K10" s="197"/>
      <c r="L10" s="198"/>
      <c r="Q10" s="80"/>
      <c r="R10" s="80"/>
      <c r="T10" s="133" t="s">
        <v>22</v>
      </c>
      <c r="U10" s="80"/>
      <c r="V10" s="80"/>
      <c r="W10" s="80"/>
      <c r="X10" s="80"/>
      <c r="Y10" s="80"/>
      <c r="Z10" s="80"/>
      <c r="AA10" s="80"/>
      <c r="AB10" s="80"/>
    </row>
    <row r="11" spans="1:28" s="1" customFormat="1" ht="3.95" customHeight="1" thickBot="1">
      <c r="A11" s="11"/>
      <c r="B11" s="199"/>
      <c r="C11" s="199"/>
      <c r="D11" s="199"/>
      <c r="E11" s="199"/>
      <c r="F11" s="199"/>
      <c r="G11" s="199"/>
      <c r="H11" s="199"/>
      <c r="I11" s="199"/>
      <c r="J11" s="199"/>
      <c r="K11" s="199"/>
      <c r="L11" s="85"/>
      <c r="Q11" s="80"/>
      <c r="R11" s="80"/>
      <c r="T11" s="133"/>
      <c r="U11" s="80"/>
      <c r="V11" s="80"/>
      <c r="W11" s="80"/>
      <c r="X11" s="80"/>
      <c r="Y11" s="80"/>
      <c r="Z11" s="80"/>
      <c r="AA11" s="80"/>
      <c r="AB11" s="80"/>
    </row>
    <row r="12" spans="1:28" s="1" customFormat="1" ht="22.5" customHeight="1">
      <c r="A12" s="6"/>
      <c r="B12" s="7" t="s">
        <v>23</v>
      </c>
      <c r="C12" s="12" t="s">
        <v>10</v>
      </c>
      <c r="D12" s="13" t="s">
        <v>128</v>
      </c>
      <c r="E12" s="14" t="s">
        <v>24</v>
      </c>
      <c r="F12" s="200">
        <v>3</v>
      </c>
      <c r="G12" s="200"/>
      <c r="H12" s="201" t="s">
        <v>25</v>
      </c>
      <c r="I12" s="201"/>
      <c r="J12" s="86">
        <v>1.2</v>
      </c>
      <c r="K12" s="87" t="s">
        <v>26</v>
      </c>
      <c r="L12" s="88">
        <v>1.5</v>
      </c>
      <c r="Q12" s="80"/>
      <c r="R12" s="80"/>
      <c r="T12" s="133"/>
      <c r="U12" s="80"/>
      <c r="V12" s="80"/>
      <c r="W12" s="80"/>
      <c r="X12" s="80"/>
      <c r="Y12" s="80"/>
      <c r="Z12" s="80"/>
      <c r="AA12" s="80"/>
      <c r="AB12" s="80"/>
    </row>
    <row r="13" spans="1:28" s="1" customFormat="1" ht="22.5" customHeight="1">
      <c r="A13" s="5"/>
      <c r="B13" s="9" t="s">
        <v>27</v>
      </c>
      <c r="C13" s="202" t="s">
        <v>131</v>
      </c>
      <c r="D13" s="202"/>
      <c r="E13" s="202"/>
      <c r="F13" s="202"/>
      <c r="G13" s="202"/>
      <c r="H13" s="202"/>
      <c r="I13" s="202"/>
      <c r="J13" s="202"/>
      <c r="K13" s="202"/>
      <c r="L13" s="203"/>
      <c r="O13" s="1">
        <f>-MOD1</f>
        <v>0</v>
      </c>
      <c r="Q13" s="80"/>
      <c r="R13" s="80"/>
      <c r="T13" s="133"/>
      <c r="U13" s="80"/>
      <c r="V13" s="80"/>
      <c r="W13" s="80"/>
      <c r="X13" s="80"/>
      <c r="Y13" s="80"/>
      <c r="Z13" s="80"/>
      <c r="AA13" s="80"/>
      <c r="AB13" s="80"/>
    </row>
    <row r="14" spans="1:28" s="1" customFormat="1" ht="6.95" customHeight="1" thickBot="1">
      <c r="A14" s="11"/>
      <c r="B14" s="15"/>
      <c r="C14" s="16"/>
      <c r="D14" s="16"/>
      <c r="E14" s="16"/>
      <c r="F14" s="16"/>
      <c r="G14" s="16"/>
      <c r="H14" s="16"/>
      <c r="I14" s="16"/>
      <c r="J14" s="16"/>
      <c r="K14" s="16"/>
      <c r="L14" s="89"/>
      <c r="P14" s="80"/>
      <c r="Q14" s="80"/>
      <c r="R14" s="80"/>
      <c r="S14" s="80"/>
      <c r="T14" s="80"/>
      <c r="U14" s="80"/>
      <c r="V14" s="80"/>
      <c r="W14" s="80"/>
      <c r="X14" s="80"/>
      <c r="Y14" s="80"/>
      <c r="Z14" s="80"/>
      <c r="AA14" s="80"/>
      <c r="AB14" s="80"/>
    </row>
    <row r="15" spans="1:28" ht="14.25" customHeight="1" thickBot="1">
      <c r="A15" s="17"/>
      <c r="B15" s="18"/>
      <c r="C15" s="18"/>
      <c r="D15" s="18"/>
      <c r="E15" s="18"/>
      <c r="F15" s="18"/>
      <c r="G15" s="18"/>
      <c r="H15" s="18"/>
      <c r="I15" s="18"/>
      <c r="J15" s="18"/>
      <c r="K15" s="18"/>
      <c r="L15" s="90"/>
    </row>
    <row r="16" spans="1:28" ht="22.5" customHeight="1" thickBot="1">
      <c r="A16" s="204"/>
      <c r="B16" s="205"/>
      <c r="C16" s="205"/>
      <c r="D16" s="205"/>
      <c r="E16" s="205"/>
      <c r="F16" s="205"/>
      <c r="G16" s="205"/>
      <c r="H16" s="205"/>
      <c r="I16" s="205"/>
      <c r="J16" s="205"/>
      <c r="K16" s="205"/>
      <c r="L16" s="206"/>
    </row>
    <row r="17" spans="1:19" ht="22.5" customHeight="1" thickBot="1">
      <c r="A17" s="17"/>
      <c r="B17" s="18"/>
      <c r="C17" s="18"/>
      <c r="D17" s="18"/>
      <c r="E17" s="18"/>
      <c r="F17" s="18"/>
      <c r="G17" s="19"/>
      <c r="H17" s="19"/>
      <c r="I17" s="19"/>
      <c r="J17" s="19"/>
      <c r="K17" s="19"/>
      <c r="L17" s="91"/>
    </row>
    <row r="18" spans="1:19" s="2" customFormat="1" ht="22.5" customHeight="1" thickBot="1">
      <c r="A18" s="207" t="s">
        <v>28</v>
      </c>
      <c r="B18" s="208"/>
      <c r="C18" s="208"/>
      <c r="D18" s="208"/>
      <c r="E18" s="209"/>
      <c r="F18" s="20"/>
      <c r="G18" s="207" t="s">
        <v>28</v>
      </c>
      <c r="H18" s="208"/>
      <c r="I18" s="208"/>
      <c r="J18" s="208"/>
      <c r="K18" s="208"/>
      <c r="L18" s="209"/>
      <c r="O18" s="92"/>
    </row>
    <row r="19" spans="1:19" s="2" customFormat="1" ht="27.75" customHeight="1" thickBot="1">
      <c r="A19" s="210"/>
      <c r="B19" s="211"/>
      <c r="C19" s="211"/>
      <c r="D19" s="22" t="s">
        <v>29</v>
      </c>
      <c r="E19" s="23" t="s">
        <v>30</v>
      </c>
      <c r="F19" s="24"/>
      <c r="G19" s="243" t="s">
        <v>31</v>
      </c>
      <c r="H19" s="244"/>
      <c r="I19" s="212" t="s">
        <v>32</v>
      </c>
      <c r="J19" s="213"/>
      <c r="K19" s="214" t="s">
        <v>33</v>
      </c>
      <c r="L19" s="215"/>
    </row>
    <row r="20" spans="1:19" s="2" customFormat="1" ht="22.5" customHeight="1">
      <c r="A20" s="216" t="s">
        <v>34</v>
      </c>
      <c r="B20" s="217"/>
      <c r="C20" s="25"/>
      <c r="D20" s="26">
        <v>701</v>
      </c>
      <c r="E20" s="27">
        <f>D20</f>
        <v>701</v>
      </c>
      <c r="F20" s="28"/>
      <c r="G20" s="245"/>
      <c r="H20" s="246"/>
      <c r="I20" s="93" t="s">
        <v>35</v>
      </c>
      <c r="J20" s="168" t="s">
        <v>36</v>
      </c>
      <c r="K20" s="95" t="s">
        <v>37</v>
      </c>
      <c r="L20" s="150" t="s">
        <v>36</v>
      </c>
      <c r="N20" s="92"/>
    </row>
    <row r="21" spans="1:19" s="2" customFormat="1" ht="22.5" customHeight="1">
      <c r="A21" s="216" t="s">
        <v>38</v>
      </c>
      <c r="B21" s="217"/>
      <c r="C21" s="25" t="s">
        <v>39</v>
      </c>
      <c r="D21" s="160">
        <v>15.1</v>
      </c>
      <c r="E21" s="161">
        <f>D21</f>
        <v>15.1</v>
      </c>
      <c r="F21" s="31"/>
      <c r="G21" s="96" t="s">
        <v>40</v>
      </c>
      <c r="H21" s="32" t="s">
        <v>41</v>
      </c>
      <c r="I21" s="96" t="s">
        <v>42</v>
      </c>
      <c r="J21" s="151" t="s">
        <v>43</v>
      </c>
      <c r="K21" s="96" t="s">
        <v>42</v>
      </c>
      <c r="L21" s="151" t="s">
        <v>43</v>
      </c>
      <c r="N21" s="97"/>
    </row>
    <row r="22" spans="1:19" s="2" customFormat="1" ht="22.5" customHeight="1">
      <c r="A22" s="216" t="s">
        <v>44</v>
      </c>
      <c r="B22" s="217"/>
      <c r="C22" s="25" t="s">
        <v>39</v>
      </c>
      <c r="D22" s="160">
        <v>15.2</v>
      </c>
      <c r="E22" s="161">
        <f>D22+E39</f>
        <v>15.2</v>
      </c>
      <c r="F22" s="31"/>
      <c r="G22" s="145">
        <v>0</v>
      </c>
      <c r="H22" s="33">
        <v>0</v>
      </c>
      <c r="I22" s="144">
        <v>0</v>
      </c>
      <c r="J22" s="152">
        <v>0</v>
      </c>
      <c r="K22" s="144">
        <v>0</v>
      </c>
      <c r="L22" s="152">
        <v>0</v>
      </c>
      <c r="N22" s="97"/>
      <c r="O22" s="2">
        <v>0.34499999999999997</v>
      </c>
      <c r="S22" s="2">
        <v>0.11600000000000001</v>
      </c>
    </row>
    <row r="23" spans="1:19" s="2" customFormat="1" ht="22.5" customHeight="1">
      <c r="A23" s="216" t="s">
        <v>45</v>
      </c>
      <c r="B23" s="217"/>
      <c r="C23" s="34" t="s">
        <v>46</v>
      </c>
      <c r="D23" s="35">
        <v>8196</v>
      </c>
      <c r="E23" s="36">
        <v>8318</v>
      </c>
      <c r="F23" s="31"/>
      <c r="G23" s="145">
        <v>5.0000000000000001E-3</v>
      </c>
      <c r="H23" s="33">
        <v>0.127</v>
      </c>
      <c r="I23" s="144">
        <f>O22</f>
        <v>0.34499999999999997</v>
      </c>
      <c r="J23" s="153">
        <f t="shared" ref="J23:J34" si="0">((I23/19.32)*10)</f>
        <v>0.17857142857142855</v>
      </c>
      <c r="K23" s="98">
        <f>S22</f>
        <v>0.11600000000000001</v>
      </c>
      <c r="L23" s="153">
        <f t="shared" ref="L23:L34" si="1">((K23/19.32)*10)</f>
        <v>6.0041407867494824E-2</v>
      </c>
      <c r="N23" s="97"/>
      <c r="O23" s="2">
        <v>0.71099999999999997</v>
      </c>
      <c r="S23" s="2">
        <v>0.44800000000000001</v>
      </c>
    </row>
    <row r="24" spans="1:19" s="2" customFormat="1" ht="22.5" customHeight="1">
      <c r="A24" s="216" t="s">
        <v>47</v>
      </c>
      <c r="B24" s="217"/>
      <c r="C24" s="34" t="s">
        <v>46</v>
      </c>
      <c r="D24" s="167">
        <v>3823</v>
      </c>
      <c r="E24" s="37">
        <f>D24</f>
        <v>3823</v>
      </c>
      <c r="F24" s="38"/>
      <c r="G24" s="145">
        <v>2.5000000000000001E-2</v>
      </c>
      <c r="H24" s="33">
        <v>0.63500000000000001</v>
      </c>
      <c r="I24" s="144">
        <f t="shared" ref="I24:I34" si="2">O23</f>
        <v>0.71099999999999997</v>
      </c>
      <c r="J24" s="153">
        <f t="shared" si="0"/>
        <v>0.36801242236024845</v>
      </c>
      <c r="K24" s="98">
        <f t="shared" ref="K24" si="3">S23</f>
        <v>0.44800000000000001</v>
      </c>
      <c r="L24" s="153">
        <f t="shared" si="1"/>
        <v>0.2318840579710145</v>
      </c>
      <c r="N24" s="97"/>
      <c r="O24" s="2">
        <v>1.0920000000000001</v>
      </c>
      <c r="S24" s="2">
        <v>0.91700000000000004</v>
      </c>
    </row>
    <row r="25" spans="1:19" s="2" customFormat="1" ht="22.5" customHeight="1">
      <c r="A25" s="216" t="s">
        <v>48</v>
      </c>
      <c r="B25" s="217"/>
      <c r="C25" s="34" t="s">
        <v>46</v>
      </c>
      <c r="D25" s="39">
        <f>+D23-D24</f>
        <v>4373</v>
      </c>
      <c r="E25" s="40">
        <f>E23-E24</f>
        <v>4495</v>
      </c>
      <c r="F25" s="41"/>
      <c r="G25" s="145">
        <v>0.05</v>
      </c>
      <c r="H25" s="33">
        <v>1.27</v>
      </c>
      <c r="I25" s="144">
        <f t="shared" si="2"/>
        <v>1.0920000000000001</v>
      </c>
      <c r="J25" s="153">
        <f t="shared" si="0"/>
        <v>0.56521739130434789</v>
      </c>
      <c r="K25" s="98">
        <v>0.82199999999999995</v>
      </c>
      <c r="L25" s="153">
        <f t="shared" si="1"/>
        <v>0.42546583850931674</v>
      </c>
      <c r="N25" s="97"/>
      <c r="O25" s="2">
        <v>1.3959999999999999</v>
      </c>
      <c r="S25" s="2">
        <v>1.31</v>
      </c>
    </row>
    <row r="26" spans="1:19" s="2" customFormat="1" ht="22.5" customHeight="1">
      <c r="A26" s="216" t="s">
        <v>49</v>
      </c>
      <c r="B26" s="217"/>
      <c r="C26" s="34" t="s">
        <v>50</v>
      </c>
      <c r="D26" s="39">
        <f>((PI()*(D21*D21))/4)*D22</f>
        <v>2721.9952555910331</v>
      </c>
      <c r="E26" s="174">
        <f>((PI()*(E21*E21))/4)*E22</f>
        <v>2721.9952555910331</v>
      </c>
      <c r="F26" s="41"/>
      <c r="G26" s="145">
        <v>7.4999999999999997E-2</v>
      </c>
      <c r="H26" s="33">
        <v>1.905</v>
      </c>
      <c r="I26" s="144">
        <f t="shared" si="2"/>
        <v>1.3959999999999999</v>
      </c>
      <c r="J26" s="153">
        <f t="shared" si="0"/>
        <v>0.72256728778467905</v>
      </c>
      <c r="K26" s="98">
        <v>1</v>
      </c>
      <c r="L26" s="153">
        <f t="shared" si="1"/>
        <v>0.51759834368530022</v>
      </c>
      <c r="N26" s="97"/>
      <c r="O26" s="2">
        <v>1.6220000000000001</v>
      </c>
      <c r="S26" s="2">
        <v>1.5720000000000001</v>
      </c>
    </row>
    <row r="27" spans="1:19" s="2" customFormat="1" ht="22.5" customHeight="1">
      <c r="A27" s="216" t="s">
        <v>51</v>
      </c>
      <c r="B27" s="217"/>
      <c r="C27" s="34" t="s">
        <v>52</v>
      </c>
      <c r="D27" s="42">
        <f>D25/D26</f>
        <v>1.6065421095124137</v>
      </c>
      <c r="E27" s="175">
        <f>E25/E26</f>
        <v>1.6513621729380974</v>
      </c>
      <c r="F27" s="44"/>
      <c r="G27" s="146">
        <v>0.1</v>
      </c>
      <c r="H27" s="45">
        <v>2.54</v>
      </c>
      <c r="I27" s="154">
        <f t="shared" si="2"/>
        <v>1.6220000000000001</v>
      </c>
      <c r="J27" s="155">
        <f t="shared" si="0"/>
        <v>0.83954451345755698</v>
      </c>
      <c r="K27" s="158">
        <v>1.125</v>
      </c>
      <c r="L27" s="155">
        <f t="shared" si="1"/>
        <v>0.58229813664596275</v>
      </c>
      <c r="N27" s="97"/>
      <c r="O27" s="2">
        <v>1.8360000000000001</v>
      </c>
      <c r="S27" s="2">
        <v>1.6719999999999999</v>
      </c>
    </row>
    <row r="28" spans="1:19" s="2" customFormat="1" ht="22.5" customHeight="1" thickBot="1">
      <c r="A28" s="218" t="s">
        <v>53</v>
      </c>
      <c r="B28" s="219"/>
      <c r="C28" s="46" t="s">
        <v>52</v>
      </c>
      <c r="D28" s="47">
        <f>D27/(1+D34/100)</f>
        <v>1.3271554259669069</v>
      </c>
      <c r="E28" s="48">
        <f>E27/(1+E34/100)</f>
        <v>1.09610043682145</v>
      </c>
      <c r="F28" s="49"/>
      <c r="G28" s="145">
        <v>0.125</v>
      </c>
      <c r="H28" s="33">
        <v>3.1749999999999998</v>
      </c>
      <c r="I28" s="144">
        <f t="shared" si="2"/>
        <v>1.8360000000000001</v>
      </c>
      <c r="J28" s="153">
        <f t="shared" si="0"/>
        <v>0.9503105590062112</v>
      </c>
      <c r="K28" s="98">
        <v>1.1870000000000001</v>
      </c>
      <c r="L28" s="153">
        <f t="shared" si="1"/>
        <v>0.61438923395445133</v>
      </c>
      <c r="N28" s="97"/>
      <c r="O28" s="2">
        <v>2.044</v>
      </c>
      <c r="S28" s="2">
        <v>1.5449999999999999</v>
      </c>
    </row>
    <row r="29" spans="1:19" s="2" customFormat="1" ht="22.5" customHeight="1" thickBot="1">
      <c r="A29" s="207" t="s">
        <v>54</v>
      </c>
      <c r="B29" s="208" t="s">
        <v>54</v>
      </c>
      <c r="C29" s="208"/>
      <c r="D29" s="208"/>
      <c r="E29" s="209"/>
      <c r="F29" s="49"/>
      <c r="G29" s="147">
        <v>0.15</v>
      </c>
      <c r="H29" s="33">
        <v>3.81</v>
      </c>
      <c r="I29" s="144">
        <f t="shared" si="2"/>
        <v>2.044</v>
      </c>
      <c r="J29" s="153">
        <f t="shared" si="0"/>
        <v>1.0579710144927537</v>
      </c>
      <c r="K29" s="98">
        <v>1.2789999999999999</v>
      </c>
      <c r="L29" s="153">
        <f>((K29/19.32)*10)</f>
        <v>0.66200828157349889</v>
      </c>
      <c r="N29" s="97"/>
      <c r="O29" s="2">
        <v>2.2400000000000002</v>
      </c>
      <c r="S29" s="2">
        <v>1.3420000000000001</v>
      </c>
    </row>
    <row r="30" spans="1:19" s="2" customFormat="1" ht="22.5" customHeight="1">
      <c r="A30" s="258" t="s">
        <v>55</v>
      </c>
      <c r="B30" s="259"/>
      <c r="C30" s="50"/>
      <c r="D30" s="51">
        <v>701</v>
      </c>
      <c r="E30" s="52">
        <v>358</v>
      </c>
      <c r="F30" s="44"/>
      <c r="G30" s="145">
        <v>0.17499999999999999</v>
      </c>
      <c r="H30" s="33">
        <v>4.4450000000000003</v>
      </c>
      <c r="I30" s="144">
        <f t="shared" si="2"/>
        <v>2.2400000000000002</v>
      </c>
      <c r="J30" s="153">
        <f t="shared" si="0"/>
        <v>1.1594202898550727</v>
      </c>
      <c r="K30" s="98">
        <v>1.2969999999999999</v>
      </c>
      <c r="L30" s="153">
        <f t="shared" si="1"/>
        <v>0.67132505175983437</v>
      </c>
      <c r="N30" s="97"/>
      <c r="O30" s="2">
        <v>2.4060000000000001</v>
      </c>
      <c r="S30" s="2">
        <v>1.2390000000000001</v>
      </c>
    </row>
    <row r="31" spans="1:19" s="2" customFormat="1" ht="22.5" customHeight="1">
      <c r="A31" s="216" t="s">
        <v>56</v>
      </c>
      <c r="B31" s="217"/>
      <c r="C31" s="25" t="s">
        <v>46</v>
      </c>
      <c r="D31" s="53">
        <v>281.7</v>
      </c>
      <c r="E31" s="54">
        <v>759.23</v>
      </c>
      <c r="F31" s="41"/>
      <c r="G31" s="146">
        <v>0.2</v>
      </c>
      <c r="H31" s="45">
        <v>5.08</v>
      </c>
      <c r="I31" s="154">
        <f t="shared" si="2"/>
        <v>2.4060000000000001</v>
      </c>
      <c r="J31" s="155">
        <f t="shared" si="0"/>
        <v>1.2453416149068324</v>
      </c>
      <c r="K31" s="158">
        <v>1.3120000000000001</v>
      </c>
      <c r="L31" s="155">
        <f t="shared" si="1"/>
        <v>0.67908902691511386</v>
      </c>
      <c r="N31" s="97"/>
      <c r="O31" s="2">
        <v>2.9860000000000002</v>
      </c>
      <c r="S31" s="2">
        <v>1.095</v>
      </c>
    </row>
    <row r="32" spans="1:19" s="2" customFormat="1" ht="22.5" customHeight="1">
      <c r="A32" s="216" t="s">
        <v>57</v>
      </c>
      <c r="B32" s="217"/>
      <c r="C32" s="25" t="s">
        <v>46</v>
      </c>
      <c r="D32" s="53">
        <v>241.02</v>
      </c>
      <c r="E32" s="54">
        <v>538.25</v>
      </c>
      <c r="F32" s="49"/>
      <c r="G32" s="145">
        <v>0.3</v>
      </c>
      <c r="H32" s="33">
        <v>7.62</v>
      </c>
      <c r="I32" s="144">
        <f t="shared" si="2"/>
        <v>2.9860000000000002</v>
      </c>
      <c r="J32" s="153">
        <f t="shared" si="0"/>
        <v>1.5455486542443064</v>
      </c>
      <c r="K32" s="98">
        <v>1.367</v>
      </c>
      <c r="L32" s="153">
        <f t="shared" si="1"/>
        <v>0.70755693581780532</v>
      </c>
      <c r="N32" s="97"/>
      <c r="O32" s="2">
        <v>3.4140000000000001</v>
      </c>
      <c r="S32" s="2">
        <v>1.095</v>
      </c>
    </row>
    <row r="33" spans="1:19" s="2" customFormat="1" ht="22.5" customHeight="1">
      <c r="A33" s="216" t="s">
        <v>58</v>
      </c>
      <c r="B33" s="217"/>
      <c r="C33" s="25" t="s">
        <v>46</v>
      </c>
      <c r="D33" s="53">
        <v>47.78</v>
      </c>
      <c r="E33" s="54">
        <v>102.03</v>
      </c>
      <c r="F33" s="49"/>
      <c r="G33" s="145">
        <v>0.4</v>
      </c>
      <c r="H33" s="33">
        <v>10.16</v>
      </c>
      <c r="I33" s="144">
        <f t="shared" si="2"/>
        <v>3.4140000000000001</v>
      </c>
      <c r="J33" s="153">
        <f t="shared" si="0"/>
        <v>1.7670807453416149</v>
      </c>
      <c r="K33" s="98">
        <v>1.3740000000000001</v>
      </c>
      <c r="L33" s="153">
        <f t="shared" si="1"/>
        <v>0.71118012422360255</v>
      </c>
      <c r="N33" s="97"/>
      <c r="O33" s="2">
        <v>3.7330000000000001</v>
      </c>
      <c r="S33" s="2">
        <v>1.095</v>
      </c>
    </row>
    <row r="34" spans="1:19" s="2" customFormat="1" ht="22.5" customHeight="1" thickBot="1">
      <c r="A34" s="218" t="s">
        <v>59</v>
      </c>
      <c r="B34" s="219"/>
      <c r="C34" s="46" t="s">
        <v>60</v>
      </c>
      <c r="D34" s="47">
        <f>((D31-D32)/(D32-D33))*100</f>
        <v>21.051542123783882</v>
      </c>
      <c r="E34" s="48">
        <f>((E31-E32)/(E32-E33))*100</f>
        <v>50.657924900279674</v>
      </c>
      <c r="F34" s="49"/>
      <c r="G34" s="148">
        <v>0.5</v>
      </c>
      <c r="H34" s="149">
        <v>12.7</v>
      </c>
      <c r="I34" s="156">
        <f t="shared" si="2"/>
        <v>3.7330000000000001</v>
      </c>
      <c r="J34" s="157">
        <f t="shared" si="0"/>
        <v>1.9321946169772257</v>
      </c>
      <c r="K34" s="159">
        <v>1.397</v>
      </c>
      <c r="L34" s="157">
        <f t="shared" si="1"/>
        <v>0.72308488612836441</v>
      </c>
      <c r="N34" s="97"/>
    </row>
    <row r="35" spans="1:19" s="2" customFormat="1" ht="11.25" customHeight="1" thickBot="1">
      <c r="A35" s="55"/>
      <c r="B35" s="56"/>
      <c r="C35" s="57"/>
      <c r="D35" s="58"/>
      <c r="E35" s="58"/>
      <c r="F35" s="59"/>
      <c r="G35" s="58"/>
      <c r="H35" s="58"/>
      <c r="I35" s="58"/>
      <c r="J35" s="58"/>
      <c r="K35" s="58"/>
      <c r="L35" s="99"/>
      <c r="N35" s="97"/>
    </row>
    <row r="36" spans="1:19" s="2" customFormat="1" ht="22.5" customHeight="1" thickBot="1">
      <c r="A36" s="247" t="s">
        <v>61</v>
      </c>
      <c r="B36" s="248"/>
      <c r="C36" s="248"/>
      <c r="D36" s="248"/>
      <c r="E36" s="249"/>
      <c r="F36" s="60"/>
      <c r="G36" s="60"/>
      <c r="H36" s="207" t="s">
        <v>62</v>
      </c>
      <c r="I36" s="208"/>
      <c r="J36" s="208"/>
      <c r="K36" s="209"/>
      <c r="L36" s="100"/>
    </row>
    <row r="37" spans="1:19" s="2" customFormat="1" ht="22.5" customHeight="1" thickBot="1">
      <c r="A37" s="250" t="s">
        <v>63</v>
      </c>
      <c r="B37" s="251"/>
      <c r="C37" s="61" t="s">
        <v>64</v>
      </c>
      <c r="D37" s="277">
        <v>0.36649999999999999</v>
      </c>
      <c r="E37" s="278"/>
      <c r="F37" s="62"/>
      <c r="G37" s="62"/>
      <c r="H37" s="63" t="s">
        <v>65</v>
      </c>
      <c r="I37" s="101" t="s">
        <v>86</v>
      </c>
      <c r="J37" s="63" t="s">
        <v>66</v>
      </c>
      <c r="K37" s="102" t="s">
        <v>67</v>
      </c>
      <c r="L37" s="99"/>
    </row>
    <row r="38" spans="1:19" s="2" customFormat="1" ht="22.5" customHeight="1" thickBot="1">
      <c r="A38" s="224" t="s">
        <v>68</v>
      </c>
      <c r="B38" s="225"/>
      <c r="C38" s="64" t="s">
        <v>64</v>
      </c>
      <c r="D38" s="279">
        <v>0.44400000000000001</v>
      </c>
      <c r="E38" s="280"/>
      <c r="F38" s="62"/>
      <c r="G38" s="62"/>
      <c r="H38" s="256" t="s">
        <v>69</v>
      </c>
      <c r="I38" s="257"/>
      <c r="J38" s="256" t="s">
        <v>70</v>
      </c>
      <c r="K38" s="257"/>
      <c r="L38" s="99"/>
    </row>
    <row r="39" spans="1:19" s="2" customFormat="1" ht="22.5" customHeight="1" thickBot="1">
      <c r="A39" s="224" t="s">
        <v>71</v>
      </c>
      <c r="B39" s="225"/>
      <c r="C39" s="65" t="s">
        <v>39</v>
      </c>
      <c r="D39" s="226">
        <f>(D38-D37)*2.54</f>
        <v>0.19685000000000002</v>
      </c>
      <c r="E39" s="227"/>
      <c r="F39" s="31"/>
      <c r="G39" s="31"/>
      <c r="H39" s="163" t="s">
        <v>72</v>
      </c>
      <c r="I39" s="164">
        <v>4554</v>
      </c>
      <c r="J39" s="275">
        <v>4</v>
      </c>
      <c r="K39" s="229"/>
      <c r="L39" s="99"/>
    </row>
    <row r="40" spans="1:19" s="2" customFormat="1" ht="22.5" customHeight="1" thickBot="1">
      <c r="A40" s="230" t="s">
        <v>73</v>
      </c>
      <c r="B40" s="231"/>
      <c r="C40" s="67" t="s">
        <v>60</v>
      </c>
      <c r="D40" s="232">
        <f>IF(D39&lt;&gt;"",IF(D22&lt;&gt;"",D39/D22*100,""),"")</f>
        <v>1.2950657894736843</v>
      </c>
      <c r="E40" s="233"/>
      <c r="F40" s="68"/>
      <c r="G40" s="68"/>
      <c r="H40" s="165" t="s">
        <v>33</v>
      </c>
      <c r="I40" s="166">
        <v>4554</v>
      </c>
      <c r="J40" s="276">
        <v>4</v>
      </c>
      <c r="K40" s="235"/>
      <c r="L40" s="99"/>
      <c r="P40" s="105"/>
      <c r="Q40" s="105"/>
      <c r="R40" s="134"/>
    </row>
    <row r="41" spans="1:19" s="2" customFormat="1" ht="33" customHeight="1" thickBot="1">
      <c r="A41" s="70"/>
      <c r="B41" s="58"/>
      <c r="C41" s="58"/>
      <c r="D41" s="58"/>
      <c r="E41" s="58"/>
      <c r="F41" s="71"/>
      <c r="G41" s="58"/>
      <c r="H41" s="70"/>
      <c r="I41" s="58"/>
      <c r="J41" s="107" t="str">
        <f>I19</f>
        <v>ANTES DE INMERSIÓN</v>
      </c>
      <c r="K41" s="107" t="str">
        <f>K19</f>
        <v xml:space="preserve">DESPUÉS DE INMERSIÓN </v>
      </c>
      <c r="L41" s="108"/>
      <c r="M41" s="20"/>
      <c r="P41" s="109"/>
      <c r="Q41" s="135"/>
      <c r="R41" s="136"/>
    </row>
    <row r="42" spans="1:19" s="2" customFormat="1" ht="22.5" customHeight="1">
      <c r="A42" s="70"/>
      <c r="B42" s="58"/>
      <c r="C42" s="58"/>
      <c r="D42" s="58"/>
      <c r="E42" s="58"/>
      <c r="F42" s="58"/>
      <c r="G42" s="58"/>
      <c r="H42" s="21" t="s">
        <v>74</v>
      </c>
      <c r="I42" s="110" t="s">
        <v>60</v>
      </c>
      <c r="J42" s="111">
        <f>(J27/6.9)*100</f>
        <v>12.167311789239955</v>
      </c>
      <c r="K42" s="112">
        <f>(L27/6.9)*100</f>
        <v>8.4391034296516345</v>
      </c>
      <c r="L42" s="99"/>
      <c r="P42" s="113"/>
      <c r="Q42" s="137"/>
      <c r="R42" s="136"/>
    </row>
    <row r="43" spans="1:19" s="2" customFormat="1" ht="22.5" customHeight="1" thickBot="1">
      <c r="A43" s="70"/>
      <c r="B43" s="73"/>
      <c r="C43" s="58"/>
      <c r="D43" s="58"/>
      <c r="E43" s="58"/>
      <c r="F43" s="58"/>
      <c r="G43" s="58"/>
      <c r="H43" s="74" t="s">
        <v>75</v>
      </c>
      <c r="I43" s="114" t="s">
        <v>60</v>
      </c>
      <c r="J43" s="115">
        <f>(J31/10.3)*100</f>
        <v>12.090695290357594</v>
      </c>
      <c r="K43" s="116">
        <f>(L31/10.3)*100</f>
        <v>6.5930973486904261</v>
      </c>
      <c r="L43" s="99"/>
      <c r="P43" s="117"/>
      <c r="Q43" s="138"/>
      <c r="R43" s="139"/>
    </row>
    <row r="44" spans="1:19" s="2" customFormat="1" ht="22.5" customHeight="1" thickBot="1">
      <c r="A44" s="70"/>
      <c r="B44" s="73"/>
      <c r="C44" s="73"/>
      <c r="D44" s="73"/>
      <c r="E44" s="58"/>
      <c r="F44" s="58"/>
      <c r="G44" s="58"/>
      <c r="H44" s="74" t="s">
        <v>76</v>
      </c>
      <c r="I44" s="114"/>
      <c r="J44" s="118">
        <f>IF(J42&lt;J43,J42,J43)</f>
        <v>12.090695290357594</v>
      </c>
      <c r="K44" s="119">
        <f>IF(K42&lt;K43,K42,K43)</f>
        <v>6.5930973486904261</v>
      </c>
      <c r="L44" s="120"/>
      <c r="M44" s="121"/>
    </row>
    <row r="45" spans="1:19" s="2" customFormat="1" ht="22.5" customHeight="1">
      <c r="A45" s="70"/>
      <c r="B45" s="58"/>
      <c r="C45" s="58"/>
      <c r="D45" s="59"/>
      <c r="E45" s="59"/>
      <c r="F45" s="59"/>
      <c r="G45" s="58"/>
      <c r="H45" s="4"/>
      <c r="I45" s="122"/>
      <c r="J45" s="122"/>
      <c r="K45" s="122"/>
      <c r="L45" s="99"/>
    </row>
    <row r="46" spans="1:19" s="2" customFormat="1" ht="22.5" customHeight="1">
      <c r="A46" s="70"/>
      <c r="B46" s="58"/>
      <c r="C46" s="58"/>
      <c r="D46" s="59"/>
      <c r="E46" s="59"/>
      <c r="F46" s="59"/>
      <c r="G46" s="58"/>
      <c r="H46" s="222" t="s">
        <v>77</v>
      </c>
      <c r="I46" s="222"/>
      <c r="J46" s="222" t="s">
        <v>78</v>
      </c>
      <c r="K46" s="222"/>
      <c r="L46" s="223"/>
    </row>
    <row r="47" spans="1:19" s="2" customFormat="1" ht="22.5" customHeight="1">
      <c r="A47" s="70"/>
      <c r="B47" s="56"/>
      <c r="C47" s="75"/>
      <c r="D47" s="76"/>
      <c r="E47" s="59"/>
      <c r="F47" s="59"/>
      <c r="G47" s="59"/>
      <c r="H47" s="77"/>
      <c r="I47" s="123"/>
      <c r="J47" s="77"/>
      <c r="K47" s="123"/>
      <c r="L47" s="124"/>
    </row>
    <row r="48" spans="1:19" s="2" customFormat="1" ht="22.5" customHeight="1">
      <c r="A48" s="70"/>
      <c r="B48" s="56"/>
      <c r="C48" s="75"/>
      <c r="D48" s="76"/>
      <c r="E48" s="59"/>
      <c r="F48" s="59"/>
      <c r="G48" s="59"/>
      <c r="H48" s="77"/>
      <c r="I48" s="123"/>
      <c r="J48" s="77"/>
      <c r="K48" s="123"/>
      <c r="L48" s="124"/>
    </row>
    <row r="49" spans="1:15" s="2" customFormat="1" ht="22.5" customHeight="1">
      <c r="A49" s="70"/>
      <c r="B49" s="56"/>
      <c r="C49" s="75"/>
      <c r="D49" s="76"/>
      <c r="E49" s="59"/>
      <c r="F49" s="59"/>
      <c r="G49" s="59"/>
      <c r="H49" s="77"/>
      <c r="I49" s="123"/>
      <c r="J49" s="77"/>
      <c r="K49"/>
      <c r="L49" s="124"/>
    </row>
    <row r="50" spans="1:15" s="2" customFormat="1" ht="22.5" customHeight="1">
      <c r="A50" s="70"/>
      <c r="B50" s="56"/>
      <c r="C50" s="75"/>
      <c r="D50" s="76"/>
      <c r="E50" s="59"/>
      <c r="F50" s="59"/>
      <c r="G50" s="59"/>
      <c r="H50" s="78"/>
      <c r="I50" s="78"/>
      <c r="J50" s="77"/>
      <c r="K50" s="123"/>
      <c r="L50" s="124"/>
    </row>
    <row r="51" spans="1:15" s="2" customFormat="1" ht="22.5" customHeight="1">
      <c r="A51" s="70"/>
      <c r="B51" s="56"/>
      <c r="C51" s="75"/>
      <c r="D51" s="76"/>
      <c r="E51" s="59"/>
      <c r="F51" s="59"/>
      <c r="G51" s="59"/>
      <c r="H51" s="220" t="s">
        <v>79</v>
      </c>
      <c r="I51" s="220"/>
      <c r="J51" s="220" t="s">
        <v>87</v>
      </c>
      <c r="K51" s="220"/>
      <c r="L51" s="221"/>
    </row>
    <row r="52" spans="1:15" s="2" customFormat="1" ht="22.5" customHeight="1">
      <c r="A52" s="70"/>
      <c r="B52" s="56"/>
      <c r="C52" s="75"/>
      <c r="D52" s="76"/>
      <c r="E52" s="59"/>
      <c r="F52" s="59"/>
      <c r="G52" s="59"/>
      <c r="H52" s="222" t="s">
        <v>80</v>
      </c>
      <c r="I52" s="222"/>
      <c r="J52" s="222" t="s">
        <v>81</v>
      </c>
      <c r="K52" s="222"/>
      <c r="L52" s="223"/>
    </row>
    <row r="53" spans="1:15" s="2" customFormat="1" ht="22.5" customHeight="1">
      <c r="A53" s="70"/>
      <c r="B53" s="56"/>
      <c r="C53" s="75"/>
      <c r="D53" s="76"/>
      <c r="E53" s="59"/>
      <c r="F53" s="59"/>
      <c r="G53" s="59"/>
      <c r="H53" s="186"/>
      <c r="I53" s="186"/>
      <c r="J53" s="186"/>
      <c r="K53" s="186"/>
      <c r="L53" s="99"/>
    </row>
    <row r="54" spans="1:15" s="2" customFormat="1" ht="22.5" customHeight="1">
      <c r="A54" s="70"/>
      <c r="B54" s="56"/>
      <c r="C54" s="75"/>
      <c r="D54" s="76"/>
      <c r="E54" s="59"/>
      <c r="F54" s="59"/>
      <c r="G54" s="59"/>
      <c r="H54" s="58"/>
      <c r="I54" s="58"/>
      <c r="J54" s="125"/>
      <c r="K54" s="58"/>
      <c r="L54" s="99"/>
      <c r="M54" s="126"/>
      <c r="N54" s="3"/>
    </row>
    <row r="55" spans="1:15" s="2" customFormat="1" ht="22.5" customHeight="1">
      <c r="A55" s="70"/>
      <c r="B55" s="56"/>
      <c r="C55" s="75"/>
      <c r="D55" s="76"/>
      <c r="E55" s="59"/>
      <c r="F55" s="59"/>
      <c r="G55" s="59"/>
      <c r="H55" s="58"/>
      <c r="I55" s="58"/>
      <c r="J55" s="127"/>
      <c r="K55" s="125"/>
      <c r="L55" s="128"/>
      <c r="M55" s="129"/>
      <c r="N55" s="3"/>
    </row>
    <row r="56" spans="1:15" s="2" customFormat="1" ht="22.5" customHeight="1">
      <c r="A56" s="264" t="s">
        <v>82</v>
      </c>
      <c r="B56" s="265"/>
      <c r="C56" s="265"/>
      <c r="D56" s="265"/>
      <c r="E56" s="265"/>
      <c r="F56" s="265"/>
      <c r="G56" s="265"/>
      <c r="H56" s="265"/>
      <c r="I56" s="265"/>
      <c r="J56" s="265"/>
      <c r="K56" s="265"/>
      <c r="L56" s="266"/>
      <c r="M56" s="130"/>
      <c r="N56" s="3"/>
      <c r="O56" s="3"/>
    </row>
    <row r="57" spans="1:15" s="2" customFormat="1" ht="22.5" customHeight="1">
      <c r="A57" s="261" t="s">
        <v>83</v>
      </c>
      <c r="B57" s="262"/>
      <c r="C57" s="262"/>
      <c r="D57" s="262"/>
      <c r="E57" s="262"/>
      <c r="F57" s="262"/>
      <c r="G57" s="262"/>
      <c r="H57" s="262"/>
      <c r="I57" s="262"/>
      <c r="J57" s="262"/>
      <c r="K57" s="262"/>
      <c r="L57" s="263"/>
      <c r="M57" s="3"/>
      <c r="N57" s="3"/>
      <c r="O57" s="3"/>
    </row>
    <row r="58" spans="1:15" s="2" customFormat="1" ht="22.5" customHeight="1">
      <c r="A58" s="261"/>
      <c r="B58" s="262"/>
      <c r="C58" s="262"/>
      <c r="D58" s="262"/>
      <c r="E58" s="262"/>
      <c r="F58" s="262"/>
      <c r="G58" s="262"/>
      <c r="H58" s="262"/>
      <c r="I58" s="262"/>
      <c r="J58" s="262"/>
      <c r="K58" s="262"/>
      <c r="L58" s="263"/>
      <c r="M58" s="3"/>
      <c r="N58" s="3"/>
      <c r="O58" s="3"/>
    </row>
    <row r="59" spans="1:15" ht="15" thickBot="1">
      <c r="A59" s="267" t="s">
        <v>84</v>
      </c>
      <c r="B59" s="268"/>
      <c r="C59" s="268"/>
      <c r="D59" s="268"/>
      <c r="E59" s="268"/>
      <c r="F59" s="268"/>
      <c r="G59" s="268"/>
      <c r="H59" s="268"/>
      <c r="I59" s="268"/>
      <c r="J59" s="268"/>
      <c r="K59" s="268"/>
      <c r="L59" s="269"/>
    </row>
    <row r="63" spans="1:15">
      <c r="I63" s="79"/>
      <c r="J63" s="79"/>
      <c r="K63" s="79"/>
      <c r="L63" s="79"/>
      <c r="M63" s="79"/>
      <c r="N63" s="79"/>
    </row>
    <row r="64" spans="1:15" ht="15" customHeight="1">
      <c r="E64" s="79"/>
      <c r="F64" s="79"/>
      <c r="G64" s="79"/>
      <c r="H64" s="79"/>
      <c r="I64" s="131"/>
      <c r="J64" s="131"/>
      <c r="K64" s="131"/>
      <c r="L64" s="131"/>
      <c r="M64" s="131"/>
      <c r="N64" s="131"/>
    </row>
    <row r="65" spans="2:18" ht="15" customHeight="1">
      <c r="E65" s="131"/>
      <c r="F65" s="131"/>
      <c r="G65" s="131"/>
      <c r="H65" s="131"/>
      <c r="I65" s="131"/>
      <c r="J65" s="131"/>
      <c r="K65" s="131"/>
      <c r="L65" s="131"/>
      <c r="M65" s="131"/>
      <c r="N65" s="131"/>
    </row>
    <row r="66" spans="2:18" ht="15" customHeight="1">
      <c r="E66" s="131"/>
      <c r="F66" s="131"/>
      <c r="G66" s="131"/>
      <c r="H66" s="131"/>
      <c r="I66" s="131"/>
      <c r="J66" s="131"/>
      <c r="K66" s="131"/>
      <c r="L66" s="131"/>
      <c r="M66" s="131"/>
      <c r="N66" s="131"/>
    </row>
    <row r="67" spans="2:18" ht="30.75" customHeight="1">
      <c r="E67" s="131"/>
      <c r="F67" s="131"/>
      <c r="G67" s="131"/>
      <c r="H67" s="131"/>
      <c r="I67" s="140"/>
      <c r="J67" s="140"/>
      <c r="K67" s="140"/>
      <c r="L67" s="140"/>
      <c r="M67" s="140"/>
      <c r="N67" s="140"/>
    </row>
    <row r="68" spans="2:18" ht="15" customHeight="1">
      <c r="E68" s="140"/>
      <c r="F68" s="140"/>
      <c r="G68" s="140"/>
      <c r="H68" s="140"/>
      <c r="I68" s="140"/>
      <c r="J68" s="140"/>
      <c r="K68" s="140"/>
      <c r="L68" s="140"/>
      <c r="M68" s="140"/>
      <c r="N68" s="140"/>
    </row>
    <row r="69" spans="2:18" ht="15" customHeight="1">
      <c r="E69" s="140"/>
      <c r="F69" s="140"/>
      <c r="G69" s="140"/>
      <c r="H69" s="140"/>
    </row>
    <row r="70" spans="2:18" ht="31.5" customHeight="1">
      <c r="E70" s="270"/>
      <c r="F70" s="270"/>
      <c r="G70" s="270"/>
      <c r="H70" s="270"/>
      <c r="I70" s="270"/>
      <c r="J70" s="270"/>
      <c r="K70" s="270"/>
      <c r="L70" s="270"/>
      <c r="M70" s="270"/>
      <c r="N70" s="270"/>
      <c r="O70" s="270"/>
      <c r="P70" s="270"/>
    </row>
    <row r="71" spans="2:18" ht="24" customHeight="1">
      <c r="B71" s="141"/>
      <c r="C71" s="142"/>
      <c r="D71" s="142"/>
      <c r="E71" s="142"/>
      <c r="F71" s="142"/>
      <c r="G71" s="142"/>
      <c r="H71" s="142"/>
      <c r="I71" s="142"/>
      <c r="J71" s="142"/>
      <c r="K71" s="142"/>
      <c r="L71" s="142"/>
      <c r="M71" s="142"/>
      <c r="N71" s="142"/>
      <c r="O71" s="142"/>
      <c r="P71" s="142"/>
      <c r="Q71" s="142"/>
      <c r="R71" s="142"/>
    </row>
    <row r="72" spans="2:18" ht="15" customHeight="1">
      <c r="B72" s="142"/>
      <c r="C72" s="142"/>
      <c r="D72" s="260"/>
      <c r="E72" s="260"/>
      <c r="F72" s="260"/>
      <c r="G72" s="260"/>
      <c r="H72" s="260"/>
      <c r="I72" s="260"/>
      <c r="J72" s="260"/>
      <c r="K72" s="260"/>
      <c r="L72" s="260"/>
      <c r="M72" s="260"/>
      <c r="N72" s="260"/>
      <c r="O72" s="260"/>
      <c r="P72" s="142"/>
      <c r="Q72" s="142"/>
      <c r="R72" s="142"/>
    </row>
    <row r="73" spans="2:18">
      <c r="D73" s="260"/>
      <c r="E73" s="260"/>
      <c r="F73" s="260"/>
      <c r="G73" s="260"/>
      <c r="H73" s="260"/>
      <c r="I73" s="260"/>
      <c r="J73" s="260"/>
      <c r="K73" s="260"/>
      <c r="L73" s="260"/>
      <c r="M73" s="260"/>
      <c r="N73" s="260"/>
      <c r="O73" s="260"/>
    </row>
  </sheetData>
  <sheetProtection formatCells="0" formatColumns="0" insertColumns="0" insertRows="0" deleteColumns="0" deleteRows="0"/>
  <mergeCells count="74">
    <mergeCell ref="D72:O73"/>
    <mergeCell ref="H46:I46"/>
    <mergeCell ref="J46:L46"/>
    <mergeCell ref="H51:I51"/>
    <mergeCell ref="J51:L51"/>
    <mergeCell ref="H52:I52"/>
    <mergeCell ref="J52:L52"/>
    <mergeCell ref="H53:K53"/>
    <mergeCell ref="A56:L56"/>
    <mergeCell ref="A57:L58"/>
    <mergeCell ref="A59:L59"/>
    <mergeCell ref="E70:P70"/>
    <mergeCell ref="A39:B39"/>
    <mergeCell ref="D39:E39"/>
    <mergeCell ref="J39:K39"/>
    <mergeCell ref="A40:B40"/>
    <mergeCell ref="D40:E40"/>
    <mergeCell ref="J40:K40"/>
    <mergeCell ref="A38:B38"/>
    <mergeCell ref="D38:E38"/>
    <mergeCell ref="H38:I38"/>
    <mergeCell ref="J38:K38"/>
    <mergeCell ref="A28:B28"/>
    <mergeCell ref="A29:E29"/>
    <mergeCell ref="A30:B30"/>
    <mergeCell ref="A31:B31"/>
    <mergeCell ref="A32:B32"/>
    <mergeCell ref="A33:B33"/>
    <mergeCell ref="A34:B34"/>
    <mergeCell ref="A36:E36"/>
    <mergeCell ref="H36:K36"/>
    <mergeCell ref="A37:B37"/>
    <mergeCell ref="D37:E37"/>
    <mergeCell ref="A27:B27"/>
    <mergeCell ref="A19:C19"/>
    <mergeCell ref="G19:H20"/>
    <mergeCell ref="I19:J19"/>
    <mergeCell ref="K19:L19"/>
    <mergeCell ref="A20:B20"/>
    <mergeCell ref="A21:B21"/>
    <mergeCell ref="A22:B22"/>
    <mergeCell ref="A23:B23"/>
    <mergeCell ref="A24:B24"/>
    <mergeCell ref="A25:B25"/>
    <mergeCell ref="A26:B26"/>
    <mergeCell ref="A18:E18"/>
    <mergeCell ref="G18:L18"/>
    <mergeCell ref="C8:G8"/>
    <mergeCell ref="H8:I8"/>
    <mergeCell ref="J8:L8"/>
    <mergeCell ref="C9:G9"/>
    <mergeCell ref="H9:I9"/>
    <mergeCell ref="C10:G10"/>
    <mergeCell ref="H10:I10"/>
    <mergeCell ref="J10:L10"/>
    <mergeCell ref="B11:K11"/>
    <mergeCell ref="F12:G12"/>
    <mergeCell ref="H12:I12"/>
    <mergeCell ref="C13:L13"/>
    <mergeCell ref="A16:L16"/>
    <mergeCell ref="B5:K5"/>
    <mergeCell ref="C6:G6"/>
    <mergeCell ref="H6:I6"/>
    <mergeCell ref="J6:L6"/>
    <mergeCell ref="C7:G7"/>
    <mergeCell ref="H7:I7"/>
    <mergeCell ref="J7:L7"/>
    <mergeCell ref="A1:B4"/>
    <mergeCell ref="C1:J1"/>
    <mergeCell ref="K1:L1"/>
    <mergeCell ref="C2:J4"/>
    <mergeCell ref="K2:L2"/>
    <mergeCell ref="K3:L3"/>
    <mergeCell ref="K4:L4"/>
  </mergeCells>
  <conditionalFormatting sqref="C6:G10">
    <cfRule type="containsBlanks" dxfId="19" priority="10">
      <formula>LEN(TRIM(C6))=0</formula>
    </cfRule>
  </conditionalFormatting>
  <conditionalFormatting sqref="C13:L13">
    <cfRule type="containsBlanks" dxfId="18" priority="9">
      <formula>LEN(TRIM(C13))=0</formula>
    </cfRule>
  </conditionalFormatting>
  <conditionalFormatting sqref="D20:D24">
    <cfRule type="containsBlanks" dxfId="17" priority="4">
      <formula>LEN(TRIM(D20))=0</formula>
    </cfRule>
  </conditionalFormatting>
  <conditionalFormatting sqref="D37:D38">
    <cfRule type="containsBlanks" dxfId="16" priority="3">
      <formula>LEN(TRIM(D37))=0</formula>
    </cfRule>
  </conditionalFormatting>
  <conditionalFormatting sqref="D30:E33">
    <cfRule type="containsBlanks" dxfId="15" priority="1">
      <formula>LEN(TRIM(D30))=0</formula>
    </cfRule>
  </conditionalFormatting>
  <conditionalFormatting sqref="E23">
    <cfRule type="containsBlanks" dxfId="14" priority="5">
      <formula>LEN(TRIM(E23))=0</formula>
    </cfRule>
  </conditionalFormatting>
  <conditionalFormatting sqref="F12:G12">
    <cfRule type="containsBlanks" dxfId="13" priority="8">
      <formula>LEN(TRIM(F12))=0</formula>
    </cfRule>
  </conditionalFormatting>
  <conditionalFormatting sqref="I22:I34">
    <cfRule type="containsBlanks" dxfId="12" priority="7">
      <formula>LEN(TRIM(I22))=0</formula>
    </cfRule>
  </conditionalFormatting>
  <conditionalFormatting sqref="I37">
    <cfRule type="containsBlanks" dxfId="11" priority="2">
      <formula>LEN(TRIM(I37))=0</formula>
    </cfRule>
  </conditionalFormatting>
  <conditionalFormatting sqref="K22:K34">
    <cfRule type="containsBlanks" dxfId="10" priority="6">
      <formula>LEN(TRIM(K22))=0</formula>
    </cfRule>
  </conditionalFormatting>
  <dataValidations count="2">
    <dataValidation type="list" allowBlank="1" showInputMessage="1" showErrorMessage="1" sqref="C12" xr:uid="{9139C2B2-C594-4528-B3DA-C8F265082E1B}">
      <formula1>$T$6:$T$13</formula1>
    </dataValidation>
    <dataValidation type="list" allowBlank="1" showInputMessage="1" showErrorMessage="1" sqref="I37" xr:uid="{6EAAC430-7EA1-4F06-B27B-504E41C4ACA4}">
      <formula1>"5 kN, 50 kN"</formula1>
    </dataValidation>
  </dataValidations>
  <printOptions horizontalCentered="1" verticalCentered="1"/>
  <pageMargins left="0.31496062992126" right="0.31496062992126" top="0.15748031496063" bottom="0.55118110236220497" header="0" footer="0.118110236220472"/>
  <pageSetup scale="42" fitToWidth="0" fitToHeight="0" orientation="landscape" r:id="rId1"/>
  <headerFooter>
    <oddFooter>&amp;C&amp;"Arial,Normal"&amp;10GEODELTA S.A.S. Calle 68 B bis No 70 C 95, Móvil: 318 7902368 Bogotá DC - Colombia
e-mail: laboratoriogeodelta@gmail.com</oddFooter>
  </headerFooter>
  <drawing r:id="rId2"/>
  <legacyDrawing r:id="rId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1F20B9-BC97-4F4A-B820-D99F6E72774A}">
  <sheetPr>
    <tabColor theme="9" tint="0.59999389629810485"/>
  </sheetPr>
  <dimension ref="A1:AB73"/>
  <sheetViews>
    <sheetView showGridLines="0" view="pageBreakPreview" topLeftCell="A9" zoomScale="96" zoomScaleNormal="50" zoomScaleSheetLayoutView="96" zoomScalePageLayoutView="50" workbookViewId="0">
      <selection activeCell="J15" sqref="J15"/>
    </sheetView>
  </sheetViews>
  <sheetFormatPr baseColWidth="10" defaultColWidth="11" defaultRowHeight="14.25"/>
  <cols>
    <col min="1" max="1" width="10.5703125" style="3" customWidth="1"/>
    <col min="2" max="2" width="35.42578125" style="3" customWidth="1"/>
    <col min="3" max="3" width="20.85546875" style="3" customWidth="1"/>
    <col min="4" max="5" width="26.7109375" style="3" customWidth="1"/>
    <col min="6" max="6" width="3.7109375" style="3" customWidth="1"/>
    <col min="7" max="7" width="29.140625" style="3" customWidth="1"/>
    <col min="8" max="8" width="27.140625" style="3" customWidth="1"/>
    <col min="9" max="10" width="24.28515625" style="3" customWidth="1"/>
    <col min="11" max="12" width="22.42578125" style="3" customWidth="1"/>
    <col min="13" max="13" width="1.85546875" style="3" customWidth="1"/>
    <col min="14" max="16" width="12.85546875" style="3" customWidth="1"/>
    <col min="17" max="17" width="6.5703125" style="3" customWidth="1"/>
    <col min="18" max="18" width="6.28515625" style="3" customWidth="1"/>
    <col min="19" max="184" width="11" style="3"/>
    <col min="185" max="185" width="0.7109375" style="3" customWidth="1"/>
    <col min="186" max="186" width="6.5703125" style="3" customWidth="1"/>
    <col min="187" max="187" width="13.5703125" style="3" customWidth="1"/>
    <col min="188" max="188" width="13.42578125" style="3" customWidth="1"/>
    <col min="189" max="190" width="12.5703125" style="3" customWidth="1"/>
    <col min="191" max="191" width="14.85546875" style="3" customWidth="1"/>
    <col min="192" max="192" width="20.7109375" style="3" customWidth="1"/>
    <col min="193" max="193" width="12.5703125" style="3" customWidth="1"/>
    <col min="194" max="194" width="13" style="3" customWidth="1"/>
    <col min="195" max="195" width="16" style="3" customWidth="1"/>
    <col min="196" max="196" width="6.42578125" style="3" customWidth="1"/>
    <col min="197" max="197" width="16" style="3" customWidth="1"/>
    <col min="198" max="198" width="2.85546875" style="3" customWidth="1"/>
    <col min="199" max="199" width="0.85546875" style="3" customWidth="1"/>
    <col min="200" max="200" width="11" style="3"/>
    <col min="201" max="201" width="15.42578125" style="3" customWidth="1"/>
    <col min="202" max="204" width="14.85546875" style="3" customWidth="1"/>
    <col min="205" max="205" width="0.7109375" style="3" customWidth="1"/>
    <col min="206" max="206" width="11" style="3"/>
    <col min="207" max="207" width="15.7109375" style="3" customWidth="1"/>
    <col min="208" max="209" width="14.85546875" style="3" customWidth="1"/>
    <col min="210" max="210" width="3.28515625" style="3" customWidth="1"/>
    <col min="211" max="211" width="20.140625" style="3" customWidth="1"/>
    <col min="212" max="212" width="3.28515625" style="3" customWidth="1"/>
    <col min="213" max="217" width="11" style="3"/>
    <col min="218" max="230" width="4.7109375" style="3" customWidth="1"/>
    <col min="231" max="440" width="11" style="3"/>
    <col min="441" max="441" width="0.7109375" style="3" customWidth="1"/>
    <col min="442" max="442" width="6.5703125" style="3" customWidth="1"/>
    <col min="443" max="443" width="13.5703125" style="3" customWidth="1"/>
    <col min="444" max="444" width="13.42578125" style="3" customWidth="1"/>
    <col min="445" max="446" width="12.5703125" style="3" customWidth="1"/>
    <col min="447" max="447" width="14.85546875" style="3" customWidth="1"/>
    <col min="448" max="448" width="20.7109375" style="3" customWidth="1"/>
    <col min="449" max="449" width="12.5703125" style="3" customWidth="1"/>
    <col min="450" max="450" width="13" style="3" customWidth="1"/>
    <col min="451" max="451" width="16" style="3" customWidth="1"/>
    <col min="452" max="452" width="6.42578125" style="3" customWidth="1"/>
    <col min="453" max="453" width="16" style="3" customWidth="1"/>
    <col min="454" max="454" width="2.85546875" style="3" customWidth="1"/>
    <col min="455" max="455" width="0.85546875" style="3" customWidth="1"/>
    <col min="456" max="456" width="11" style="3"/>
    <col min="457" max="457" width="15.42578125" style="3" customWidth="1"/>
    <col min="458" max="460" width="14.85546875" style="3" customWidth="1"/>
    <col min="461" max="461" width="0.7109375" style="3" customWidth="1"/>
    <col min="462" max="462" width="11" style="3"/>
    <col min="463" max="463" width="15.7109375" style="3" customWidth="1"/>
    <col min="464" max="465" width="14.85546875" style="3" customWidth="1"/>
    <col min="466" max="466" width="3.28515625" style="3" customWidth="1"/>
    <col min="467" max="467" width="20.140625" style="3" customWidth="1"/>
    <col min="468" max="468" width="3.28515625" style="3" customWidth="1"/>
    <col min="469" max="473" width="11" style="3"/>
    <col min="474" max="486" width="4.7109375" style="3" customWidth="1"/>
    <col min="487" max="696" width="11" style="3"/>
    <col min="697" max="697" width="0.7109375" style="3" customWidth="1"/>
    <col min="698" max="698" width="6.5703125" style="3" customWidth="1"/>
    <col min="699" max="699" width="13.5703125" style="3" customWidth="1"/>
    <col min="700" max="700" width="13.42578125" style="3" customWidth="1"/>
    <col min="701" max="702" width="12.5703125" style="3" customWidth="1"/>
    <col min="703" max="703" width="14.85546875" style="3" customWidth="1"/>
    <col min="704" max="704" width="20.7109375" style="3" customWidth="1"/>
    <col min="705" max="705" width="12.5703125" style="3" customWidth="1"/>
    <col min="706" max="706" width="13" style="3" customWidth="1"/>
    <col min="707" max="707" width="16" style="3" customWidth="1"/>
    <col min="708" max="708" width="6.42578125" style="3" customWidth="1"/>
    <col min="709" max="709" width="16" style="3" customWidth="1"/>
    <col min="710" max="710" width="2.85546875" style="3" customWidth="1"/>
    <col min="711" max="711" width="0.85546875" style="3" customWidth="1"/>
    <col min="712" max="712" width="11" style="3"/>
    <col min="713" max="713" width="15.42578125" style="3" customWidth="1"/>
    <col min="714" max="716" width="14.85546875" style="3" customWidth="1"/>
    <col min="717" max="717" width="0.7109375" style="3" customWidth="1"/>
    <col min="718" max="718" width="11" style="3"/>
    <col min="719" max="719" width="15.7109375" style="3" customWidth="1"/>
    <col min="720" max="721" width="14.85546875" style="3" customWidth="1"/>
    <col min="722" max="722" width="3.28515625" style="3" customWidth="1"/>
    <col min="723" max="723" width="20.140625" style="3" customWidth="1"/>
    <col min="724" max="724" width="3.28515625" style="3" customWidth="1"/>
    <col min="725" max="729" width="11" style="3"/>
    <col min="730" max="742" width="4.7109375" style="3" customWidth="1"/>
    <col min="743" max="952" width="11" style="3"/>
    <col min="953" max="953" width="0.7109375" style="3" customWidth="1"/>
    <col min="954" max="954" width="6.5703125" style="3" customWidth="1"/>
    <col min="955" max="955" width="13.5703125" style="3" customWidth="1"/>
    <col min="956" max="956" width="13.42578125" style="3" customWidth="1"/>
    <col min="957" max="958" width="12.5703125" style="3" customWidth="1"/>
    <col min="959" max="959" width="14.85546875" style="3" customWidth="1"/>
    <col min="960" max="960" width="20.7109375" style="3" customWidth="1"/>
    <col min="961" max="961" width="12.5703125" style="3" customWidth="1"/>
    <col min="962" max="962" width="13" style="3" customWidth="1"/>
    <col min="963" max="963" width="16" style="3" customWidth="1"/>
    <col min="964" max="964" width="6.42578125" style="3" customWidth="1"/>
    <col min="965" max="965" width="16" style="3" customWidth="1"/>
    <col min="966" max="966" width="2.85546875" style="3" customWidth="1"/>
    <col min="967" max="967" width="0.85546875" style="3" customWidth="1"/>
    <col min="968" max="968" width="11" style="3"/>
    <col min="969" max="969" width="15.42578125" style="3" customWidth="1"/>
    <col min="970" max="972" width="14.85546875" style="3" customWidth="1"/>
    <col min="973" max="973" width="0.7109375" style="3" customWidth="1"/>
    <col min="974" max="974" width="11" style="3"/>
    <col min="975" max="975" width="15.7109375" style="3" customWidth="1"/>
    <col min="976" max="977" width="14.85546875" style="3" customWidth="1"/>
    <col min="978" max="978" width="3.28515625" style="3" customWidth="1"/>
    <col min="979" max="979" width="20.140625" style="3" customWidth="1"/>
    <col min="980" max="980" width="3.28515625" style="3" customWidth="1"/>
    <col min="981" max="985" width="11" style="3"/>
    <col min="986" max="998" width="4.7109375" style="3" customWidth="1"/>
    <col min="999" max="1208" width="11" style="3"/>
    <col min="1209" max="1209" width="0.7109375" style="3" customWidth="1"/>
    <col min="1210" max="1210" width="6.5703125" style="3" customWidth="1"/>
    <col min="1211" max="1211" width="13.5703125" style="3" customWidth="1"/>
    <col min="1212" max="1212" width="13.42578125" style="3" customWidth="1"/>
    <col min="1213" max="1214" width="12.5703125" style="3" customWidth="1"/>
    <col min="1215" max="1215" width="14.85546875" style="3" customWidth="1"/>
    <col min="1216" max="1216" width="20.7109375" style="3" customWidth="1"/>
    <col min="1217" max="1217" width="12.5703125" style="3" customWidth="1"/>
    <col min="1218" max="1218" width="13" style="3" customWidth="1"/>
    <col min="1219" max="1219" width="16" style="3" customWidth="1"/>
    <col min="1220" max="1220" width="6.42578125" style="3" customWidth="1"/>
    <col min="1221" max="1221" width="16" style="3" customWidth="1"/>
    <col min="1222" max="1222" width="2.85546875" style="3" customWidth="1"/>
    <col min="1223" max="1223" width="0.85546875" style="3" customWidth="1"/>
    <col min="1224" max="1224" width="11" style="3"/>
    <col min="1225" max="1225" width="15.42578125" style="3" customWidth="1"/>
    <col min="1226" max="1228" width="14.85546875" style="3" customWidth="1"/>
    <col min="1229" max="1229" width="0.7109375" style="3" customWidth="1"/>
    <col min="1230" max="1230" width="11" style="3"/>
    <col min="1231" max="1231" width="15.7109375" style="3" customWidth="1"/>
    <col min="1232" max="1233" width="14.85546875" style="3" customWidth="1"/>
    <col min="1234" max="1234" width="3.28515625" style="3" customWidth="1"/>
    <col min="1235" max="1235" width="20.140625" style="3" customWidth="1"/>
    <col min="1236" max="1236" width="3.28515625" style="3" customWidth="1"/>
    <col min="1237" max="1241" width="11" style="3"/>
    <col min="1242" max="1254" width="4.7109375" style="3" customWidth="1"/>
    <col min="1255" max="1464" width="11" style="3"/>
    <col min="1465" max="1465" width="0.7109375" style="3" customWidth="1"/>
    <col min="1466" max="1466" width="6.5703125" style="3" customWidth="1"/>
    <col min="1467" max="1467" width="13.5703125" style="3" customWidth="1"/>
    <col min="1468" max="1468" width="13.42578125" style="3" customWidth="1"/>
    <col min="1469" max="1470" width="12.5703125" style="3" customWidth="1"/>
    <col min="1471" max="1471" width="14.85546875" style="3" customWidth="1"/>
    <col min="1472" max="1472" width="20.7109375" style="3" customWidth="1"/>
    <col min="1473" max="1473" width="12.5703125" style="3" customWidth="1"/>
    <col min="1474" max="1474" width="13" style="3" customWidth="1"/>
    <col min="1475" max="1475" width="16" style="3" customWidth="1"/>
    <col min="1476" max="1476" width="6.42578125" style="3" customWidth="1"/>
    <col min="1477" max="1477" width="16" style="3" customWidth="1"/>
    <col min="1478" max="1478" width="2.85546875" style="3" customWidth="1"/>
    <col min="1479" max="1479" width="0.85546875" style="3" customWidth="1"/>
    <col min="1480" max="1480" width="11" style="3"/>
    <col min="1481" max="1481" width="15.42578125" style="3" customWidth="1"/>
    <col min="1482" max="1484" width="14.85546875" style="3" customWidth="1"/>
    <col min="1485" max="1485" width="0.7109375" style="3" customWidth="1"/>
    <col min="1486" max="1486" width="11" style="3"/>
    <col min="1487" max="1487" width="15.7109375" style="3" customWidth="1"/>
    <col min="1488" max="1489" width="14.85546875" style="3" customWidth="1"/>
    <col min="1490" max="1490" width="3.28515625" style="3" customWidth="1"/>
    <col min="1491" max="1491" width="20.140625" style="3" customWidth="1"/>
    <col min="1492" max="1492" width="3.28515625" style="3" customWidth="1"/>
    <col min="1493" max="1497" width="11" style="3"/>
    <col min="1498" max="1510" width="4.7109375" style="3" customWidth="1"/>
    <col min="1511" max="1720" width="11" style="3"/>
    <col min="1721" max="1721" width="0.7109375" style="3" customWidth="1"/>
    <col min="1722" max="1722" width="6.5703125" style="3" customWidth="1"/>
    <col min="1723" max="1723" width="13.5703125" style="3" customWidth="1"/>
    <col min="1724" max="1724" width="13.42578125" style="3" customWidth="1"/>
    <col min="1725" max="1726" width="12.5703125" style="3" customWidth="1"/>
    <col min="1727" max="1727" width="14.85546875" style="3" customWidth="1"/>
    <col min="1728" max="1728" width="20.7109375" style="3" customWidth="1"/>
    <col min="1729" max="1729" width="12.5703125" style="3" customWidth="1"/>
    <col min="1730" max="1730" width="13" style="3" customWidth="1"/>
    <col min="1731" max="1731" width="16" style="3" customWidth="1"/>
    <col min="1732" max="1732" width="6.42578125" style="3" customWidth="1"/>
    <col min="1733" max="1733" width="16" style="3" customWidth="1"/>
    <col min="1734" max="1734" width="2.85546875" style="3" customWidth="1"/>
    <col min="1735" max="1735" width="0.85546875" style="3" customWidth="1"/>
    <col min="1736" max="1736" width="11" style="3"/>
    <col min="1737" max="1737" width="15.42578125" style="3" customWidth="1"/>
    <col min="1738" max="1740" width="14.85546875" style="3" customWidth="1"/>
    <col min="1741" max="1741" width="0.7109375" style="3" customWidth="1"/>
    <col min="1742" max="1742" width="11" style="3"/>
    <col min="1743" max="1743" width="15.7109375" style="3" customWidth="1"/>
    <col min="1744" max="1745" width="14.85546875" style="3" customWidth="1"/>
    <col min="1746" max="1746" width="3.28515625" style="3" customWidth="1"/>
    <col min="1747" max="1747" width="20.140625" style="3" customWidth="1"/>
    <col min="1748" max="1748" width="3.28515625" style="3" customWidth="1"/>
    <col min="1749" max="1753" width="11" style="3"/>
    <col min="1754" max="1766" width="4.7109375" style="3" customWidth="1"/>
    <col min="1767" max="1976" width="11" style="3"/>
    <col min="1977" max="1977" width="0.7109375" style="3" customWidth="1"/>
    <col min="1978" max="1978" width="6.5703125" style="3" customWidth="1"/>
    <col min="1979" max="1979" width="13.5703125" style="3" customWidth="1"/>
    <col min="1980" max="1980" width="13.42578125" style="3" customWidth="1"/>
    <col min="1981" max="1982" width="12.5703125" style="3" customWidth="1"/>
    <col min="1983" max="1983" width="14.85546875" style="3" customWidth="1"/>
    <col min="1984" max="1984" width="20.7109375" style="3" customWidth="1"/>
    <col min="1985" max="1985" width="12.5703125" style="3" customWidth="1"/>
    <col min="1986" max="1986" width="13" style="3" customWidth="1"/>
    <col min="1987" max="1987" width="16" style="3" customWidth="1"/>
    <col min="1988" max="1988" width="6.42578125" style="3" customWidth="1"/>
    <col min="1989" max="1989" width="16" style="3" customWidth="1"/>
    <col min="1990" max="1990" width="2.85546875" style="3" customWidth="1"/>
    <col min="1991" max="1991" width="0.85546875" style="3" customWidth="1"/>
    <col min="1992" max="1992" width="11" style="3"/>
    <col min="1993" max="1993" width="15.42578125" style="3" customWidth="1"/>
    <col min="1994" max="1996" width="14.85546875" style="3" customWidth="1"/>
    <col min="1997" max="1997" width="0.7109375" style="3" customWidth="1"/>
    <col min="1998" max="1998" width="11" style="3"/>
    <col min="1999" max="1999" width="15.7109375" style="3" customWidth="1"/>
    <col min="2000" max="2001" width="14.85546875" style="3" customWidth="1"/>
    <col min="2002" max="2002" width="3.28515625" style="3" customWidth="1"/>
    <col min="2003" max="2003" width="20.140625" style="3" customWidth="1"/>
    <col min="2004" max="2004" width="3.28515625" style="3" customWidth="1"/>
    <col min="2005" max="2009" width="11" style="3"/>
    <col min="2010" max="2022" width="4.7109375" style="3" customWidth="1"/>
    <col min="2023" max="2232" width="11" style="3"/>
    <col min="2233" max="2233" width="0.7109375" style="3" customWidth="1"/>
    <col min="2234" max="2234" width="6.5703125" style="3" customWidth="1"/>
    <col min="2235" max="2235" width="13.5703125" style="3" customWidth="1"/>
    <col min="2236" max="2236" width="13.42578125" style="3" customWidth="1"/>
    <col min="2237" max="2238" width="12.5703125" style="3" customWidth="1"/>
    <col min="2239" max="2239" width="14.85546875" style="3" customWidth="1"/>
    <col min="2240" max="2240" width="20.7109375" style="3" customWidth="1"/>
    <col min="2241" max="2241" width="12.5703125" style="3" customWidth="1"/>
    <col min="2242" max="2242" width="13" style="3" customWidth="1"/>
    <col min="2243" max="2243" width="16" style="3" customWidth="1"/>
    <col min="2244" max="2244" width="6.42578125" style="3" customWidth="1"/>
    <col min="2245" max="2245" width="16" style="3" customWidth="1"/>
    <col min="2246" max="2246" width="2.85546875" style="3" customWidth="1"/>
    <col min="2247" max="2247" width="0.85546875" style="3" customWidth="1"/>
    <col min="2248" max="2248" width="11" style="3"/>
    <col min="2249" max="2249" width="15.42578125" style="3" customWidth="1"/>
    <col min="2250" max="2252" width="14.85546875" style="3" customWidth="1"/>
    <col min="2253" max="2253" width="0.7109375" style="3" customWidth="1"/>
    <col min="2254" max="2254" width="11" style="3"/>
    <col min="2255" max="2255" width="15.7109375" style="3" customWidth="1"/>
    <col min="2256" max="2257" width="14.85546875" style="3" customWidth="1"/>
    <col min="2258" max="2258" width="3.28515625" style="3" customWidth="1"/>
    <col min="2259" max="2259" width="20.140625" style="3" customWidth="1"/>
    <col min="2260" max="2260" width="3.28515625" style="3" customWidth="1"/>
    <col min="2261" max="2265" width="11" style="3"/>
    <col min="2266" max="2278" width="4.7109375" style="3" customWidth="1"/>
    <col min="2279" max="2488" width="11" style="3"/>
    <col min="2489" max="2489" width="0.7109375" style="3" customWidth="1"/>
    <col min="2490" max="2490" width="6.5703125" style="3" customWidth="1"/>
    <col min="2491" max="2491" width="13.5703125" style="3" customWidth="1"/>
    <col min="2492" max="2492" width="13.42578125" style="3" customWidth="1"/>
    <col min="2493" max="2494" width="12.5703125" style="3" customWidth="1"/>
    <col min="2495" max="2495" width="14.85546875" style="3" customWidth="1"/>
    <col min="2496" max="2496" width="20.7109375" style="3" customWidth="1"/>
    <col min="2497" max="2497" width="12.5703125" style="3" customWidth="1"/>
    <col min="2498" max="2498" width="13" style="3" customWidth="1"/>
    <col min="2499" max="2499" width="16" style="3" customWidth="1"/>
    <col min="2500" max="2500" width="6.42578125" style="3" customWidth="1"/>
    <col min="2501" max="2501" width="16" style="3" customWidth="1"/>
    <col min="2502" max="2502" width="2.85546875" style="3" customWidth="1"/>
    <col min="2503" max="2503" width="0.85546875" style="3" customWidth="1"/>
    <col min="2504" max="2504" width="11" style="3"/>
    <col min="2505" max="2505" width="15.42578125" style="3" customWidth="1"/>
    <col min="2506" max="2508" width="14.85546875" style="3" customWidth="1"/>
    <col min="2509" max="2509" width="0.7109375" style="3" customWidth="1"/>
    <col min="2510" max="2510" width="11" style="3"/>
    <col min="2511" max="2511" width="15.7109375" style="3" customWidth="1"/>
    <col min="2512" max="2513" width="14.85546875" style="3" customWidth="1"/>
    <col min="2514" max="2514" width="3.28515625" style="3" customWidth="1"/>
    <col min="2515" max="2515" width="20.140625" style="3" customWidth="1"/>
    <col min="2516" max="2516" width="3.28515625" style="3" customWidth="1"/>
    <col min="2517" max="2521" width="11" style="3"/>
    <col min="2522" max="2534" width="4.7109375" style="3" customWidth="1"/>
    <col min="2535" max="2744" width="11" style="3"/>
    <col min="2745" max="2745" width="0.7109375" style="3" customWidth="1"/>
    <col min="2746" max="2746" width="6.5703125" style="3" customWidth="1"/>
    <col min="2747" max="2747" width="13.5703125" style="3" customWidth="1"/>
    <col min="2748" max="2748" width="13.42578125" style="3" customWidth="1"/>
    <col min="2749" max="2750" width="12.5703125" style="3" customWidth="1"/>
    <col min="2751" max="2751" width="14.85546875" style="3" customWidth="1"/>
    <col min="2752" max="2752" width="20.7109375" style="3" customWidth="1"/>
    <col min="2753" max="2753" width="12.5703125" style="3" customWidth="1"/>
    <col min="2754" max="2754" width="13" style="3" customWidth="1"/>
    <col min="2755" max="2755" width="16" style="3" customWidth="1"/>
    <col min="2756" max="2756" width="6.42578125" style="3" customWidth="1"/>
    <col min="2757" max="2757" width="16" style="3" customWidth="1"/>
    <col min="2758" max="2758" width="2.85546875" style="3" customWidth="1"/>
    <col min="2759" max="2759" width="0.85546875" style="3" customWidth="1"/>
    <col min="2760" max="2760" width="11" style="3"/>
    <col min="2761" max="2761" width="15.42578125" style="3" customWidth="1"/>
    <col min="2762" max="2764" width="14.85546875" style="3" customWidth="1"/>
    <col min="2765" max="2765" width="0.7109375" style="3" customWidth="1"/>
    <col min="2766" max="2766" width="11" style="3"/>
    <col min="2767" max="2767" width="15.7109375" style="3" customWidth="1"/>
    <col min="2768" max="2769" width="14.85546875" style="3" customWidth="1"/>
    <col min="2770" max="2770" width="3.28515625" style="3" customWidth="1"/>
    <col min="2771" max="2771" width="20.140625" style="3" customWidth="1"/>
    <col min="2772" max="2772" width="3.28515625" style="3" customWidth="1"/>
    <col min="2773" max="2777" width="11" style="3"/>
    <col min="2778" max="2790" width="4.7109375" style="3" customWidth="1"/>
    <col min="2791" max="3000" width="11" style="3"/>
    <col min="3001" max="3001" width="0.7109375" style="3" customWidth="1"/>
    <col min="3002" max="3002" width="6.5703125" style="3" customWidth="1"/>
    <col min="3003" max="3003" width="13.5703125" style="3" customWidth="1"/>
    <col min="3004" max="3004" width="13.42578125" style="3" customWidth="1"/>
    <col min="3005" max="3006" width="12.5703125" style="3" customWidth="1"/>
    <col min="3007" max="3007" width="14.85546875" style="3" customWidth="1"/>
    <col min="3008" max="3008" width="20.7109375" style="3" customWidth="1"/>
    <col min="3009" max="3009" width="12.5703125" style="3" customWidth="1"/>
    <col min="3010" max="3010" width="13" style="3" customWidth="1"/>
    <col min="3011" max="3011" width="16" style="3" customWidth="1"/>
    <col min="3012" max="3012" width="6.42578125" style="3" customWidth="1"/>
    <col min="3013" max="3013" width="16" style="3" customWidth="1"/>
    <col min="3014" max="3014" width="2.85546875" style="3" customWidth="1"/>
    <col min="3015" max="3015" width="0.85546875" style="3" customWidth="1"/>
    <col min="3016" max="3016" width="11" style="3"/>
    <col min="3017" max="3017" width="15.42578125" style="3" customWidth="1"/>
    <col min="3018" max="3020" width="14.85546875" style="3" customWidth="1"/>
    <col min="3021" max="3021" width="0.7109375" style="3" customWidth="1"/>
    <col min="3022" max="3022" width="11" style="3"/>
    <col min="3023" max="3023" width="15.7109375" style="3" customWidth="1"/>
    <col min="3024" max="3025" width="14.85546875" style="3" customWidth="1"/>
    <col min="3026" max="3026" width="3.28515625" style="3" customWidth="1"/>
    <col min="3027" max="3027" width="20.140625" style="3" customWidth="1"/>
    <col min="3028" max="3028" width="3.28515625" style="3" customWidth="1"/>
    <col min="3029" max="3033" width="11" style="3"/>
    <col min="3034" max="3046" width="4.7109375" style="3" customWidth="1"/>
    <col min="3047" max="3256" width="11" style="3"/>
    <col min="3257" max="3257" width="0.7109375" style="3" customWidth="1"/>
    <col min="3258" max="3258" width="6.5703125" style="3" customWidth="1"/>
    <col min="3259" max="3259" width="13.5703125" style="3" customWidth="1"/>
    <col min="3260" max="3260" width="13.42578125" style="3" customWidth="1"/>
    <col min="3261" max="3262" width="12.5703125" style="3" customWidth="1"/>
    <col min="3263" max="3263" width="14.85546875" style="3" customWidth="1"/>
    <col min="3264" max="3264" width="20.7109375" style="3" customWidth="1"/>
    <col min="3265" max="3265" width="12.5703125" style="3" customWidth="1"/>
    <col min="3266" max="3266" width="13" style="3" customWidth="1"/>
    <col min="3267" max="3267" width="16" style="3" customWidth="1"/>
    <col min="3268" max="3268" width="6.42578125" style="3" customWidth="1"/>
    <col min="3269" max="3269" width="16" style="3" customWidth="1"/>
    <col min="3270" max="3270" width="2.85546875" style="3" customWidth="1"/>
    <col min="3271" max="3271" width="0.85546875" style="3" customWidth="1"/>
    <col min="3272" max="3272" width="11" style="3"/>
    <col min="3273" max="3273" width="15.42578125" style="3" customWidth="1"/>
    <col min="3274" max="3276" width="14.85546875" style="3" customWidth="1"/>
    <col min="3277" max="3277" width="0.7109375" style="3" customWidth="1"/>
    <col min="3278" max="3278" width="11" style="3"/>
    <col min="3279" max="3279" width="15.7109375" style="3" customWidth="1"/>
    <col min="3280" max="3281" width="14.85546875" style="3" customWidth="1"/>
    <col min="3282" max="3282" width="3.28515625" style="3" customWidth="1"/>
    <col min="3283" max="3283" width="20.140625" style="3" customWidth="1"/>
    <col min="3284" max="3284" width="3.28515625" style="3" customWidth="1"/>
    <col min="3285" max="3289" width="11" style="3"/>
    <col min="3290" max="3302" width="4.7109375" style="3" customWidth="1"/>
    <col min="3303" max="3512" width="11" style="3"/>
    <col min="3513" max="3513" width="0.7109375" style="3" customWidth="1"/>
    <col min="3514" max="3514" width="6.5703125" style="3" customWidth="1"/>
    <col min="3515" max="3515" width="13.5703125" style="3" customWidth="1"/>
    <col min="3516" max="3516" width="13.42578125" style="3" customWidth="1"/>
    <col min="3517" max="3518" width="12.5703125" style="3" customWidth="1"/>
    <col min="3519" max="3519" width="14.85546875" style="3" customWidth="1"/>
    <col min="3520" max="3520" width="20.7109375" style="3" customWidth="1"/>
    <col min="3521" max="3521" width="12.5703125" style="3" customWidth="1"/>
    <col min="3522" max="3522" width="13" style="3" customWidth="1"/>
    <col min="3523" max="3523" width="16" style="3" customWidth="1"/>
    <col min="3524" max="3524" width="6.42578125" style="3" customWidth="1"/>
    <col min="3525" max="3525" width="16" style="3" customWidth="1"/>
    <col min="3526" max="3526" width="2.85546875" style="3" customWidth="1"/>
    <col min="3527" max="3527" width="0.85546875" style="3" customWidth="1"/>
    <col min="3528" max="3528" width="11" style="3"/>
    <col min="3529" max="3529" width="15.42578125" style="3" customWidth="1"/>
    <col min="3530" max="3532" width="14.85546875" style="3" customWidth="1"/>
    <col min="3533" max="3533" width="0.7109375" style="3" customWidth="1"/>
    <col min="3534" max="3534" width="11" style="3"/>
    <col min="3535" max="3535" width="15.7109375" style="3" customWidth="1"/>
    <col min="3536" max="3537" width="14.85546875" style="3" customWidth="1"/>
    <col min="3538" max="3538" width="3.28515625" style="3" customWidth="1"/>
    <col min="3539" max="3539" width="20.140625" style="3" customWidth="1"/>
    <col min="3540" max="3540" width="3.28515625" style="3" customWidth="1"/>
    <col min="3541" max="3545" width="11" style="3"/>
    <col min="3546" max="3558" width="4.7109375" style="3" customWidth="1"/>
    <col min="3559" max="3768" width="11" style="3"/>
    <col min="3769" max="3769" width="0.7109375" style="3" customWidth="1"/>
    <col min="3770" max="3770" width="6.5703125" style="3" customWidth="1"/>
    <col min="3771" max="3771" width="13.5703125" style="3" customWidth="1"/>
    <col min="3772" max="3772" width="13.42578125" style="3" customWidth="1"/>
    <col min="3773" max="3774" width="12.5703125" style="3" customWidth="1"/>
    <col min="3775" max="3775" width="14.85546875" style="3" customWidth="1"/>
    <col min="3776" max="3776" width="20.7109375" style="3" customWidth="1"/>
    <col min="3777" max="3777" width="12.5703125" style="3" customWidth="1"/>
    <col min="3778" max="3778" width="13" style="3" customWidth="1"/>
    <col min="3779" max="3779" width="16" style="3" customWidth="1"/>
    <col min="3780" max="3780" width="6.42578125" style="3" customWidth="1"/>
    <col min="3781" max="3781" width="16" style="3" customWidth="1"/>
    <col min="3782" max="3782" width="2.85546875" style="3" customWidth="1"/>
    <col min="3783" max="3783" width="0.85546875" style="3" customWidth="1"/>
    <col min="3784" max="3784" width="11" style="3"/>
    <col min="3785" max="3785" width="15.42578125" style="3" customWidth="1"/>
    <col min="3786" max="3788" width="14.85546875" style="3" customWidth="1"/>
    <col min="3789" max="3789" width="0.7109375" style="3" customWidth="1"/>
    <col min="3790" max="3790" width="11" style="3"/>
    <col min="3791" max="3791" width="15.7109375" style="3" customWidth="1"/>
    <col min="3792" max="3793" width="14.85546875" style="3" customWidth="1"/>
    <col min="3794" max="3794" width="3.28515625" style="3" customWidth="1"/>
    <col min="3795" max="3795" width="20.140625" style="3" customWidth="1"/>
    <col min="3796" max="3796" width="3.28515625" style="3" customWidth="1"/>
    <col min="3797" max="3801" width="11" style="3"/>
    <col min="3802" max="3814" width="4.7109375" style="3" customWidth="1"/>
    <col min="3815" max="4024" width="11" style="3"/>
    <col min="4025" max="4025" width="0.7109375" style="3" customWidth="1"/>
    <col min="4026" max="4026" width="6.5703125" style="3" customWidth="1"/>
    <col min="4027" max="4027" width="13.5703125" style="3" customWidth="1"/>
    <col min="4028" max="4028" width="13.42578125" style="3" customWidth="1"/>
    <col min="4029" max="4030" width="12.5703125" style="3" customWidth="1"/>
    <col min="4031" max="4031" width="14.85546875" style="3" customWidth="1"/>
    <col min="4032" max="4032" width="20.7109375" style="3" customWidth="1"/>
    <col min="4033" max="4033" width="12.5703125" style="3" customWidth="1"/>
    <col min="4034" max="4034" width="13" style="3" customWidth="1"/>
    <col min="4035" max="4035" width="16" style="3" customWidth="1"/>
    <col min="4036" max="4036" width="6.42578125" style="3" customWidth="1"/>
    <col min="4037" max="4037" width="16" style="3" customWidth="1"/>
    <col min="4038" max="4038" width="2.85546875" style="3" customWidth="1"/>
    <col min="4039" max="4039" width="0.85546875" style="3" customWidth="1"/>
    <col min="4040" max="4040" width="11" style="3"/>
    <col min="4041" max="4041" width="15.42578125" style="3" customWidth="1"/>
    <col min="4042" max="4044" width="14.85546875" style="3" customWidth="1"/>
    <col min="4045" max="4045" width="0.7109375" style="3" customWidth="1"/>
    <col min="4046" max="4046" width="11" style="3"/>
    <col min="4047" max="4047" width="15.7109375" style="3" customWidth="1"/>
    <col min="4048" max="4049" width="14.85546875" style="3" customWidth="1"/>
    <col min="4050" max="4050" width="3.28515625" style="3" customWidth="1"/>
    <col min="4051" max="4051" width="20.140625" style="3" customWidth="1"/>
    <col min="4052" max="4052" width="3.28515625" style="3" customWidth="1"/>
    <col min="4053" max="4057" width="11" style="3"/>
    <col min="4058" max="4070" width="4.7109375" style="3" customWidth="1"/>
    <col min="4071" max="4280" width="11" style="3"/>
    <col min="4281" max="4281" width="0.7109375" style="3" customWidth="1"/>
    <col min="4282" max="4282" width="6.5703125" style="3" customWidth="1"/>
    <col min="4283" max="4283" width="13.5703125" style="3" customWidth="1"/>
    <col min="4284" max="4284" width="13.42578125" style="3" customWidth="1"/>
    <col min="4285" max="4286" width="12.5703125" style="3" customWidth="1"/>
    <col min="4287" max="4287" width="14.85546875" style="3" customWidth="1"/>
    <col min="4288" max="4288" width="20.7109375" style="3" customWidth="1"/>
    <col min="4289" max="4289" width="12.5703125" style="3" customWidth="1"/>
    <col min="4290" max="4290" width="13" style="3" customWidth="1"/>
    <col min="4291" max="4291" width="16" style="3" customWidth="1"/>
    <col min="4292" max="4292" width="6.42578125" style="3" customWidth="1"/>
    <col min="4293" max="4293" width="16" style="3" customWidth="1"/>
    <col min="4294" max="4294" width="2.85546875" style="3" customWidth="1"/>
    <col min="4295" max="4295" width="0.85546875" style="3" customWidth="1"/>
    <col min="4296" max="4296" width="11" style="3"/>
    <col min="4297" max="4297" width="15.42578125" style="3" customWidth="1"/>
    <col min="4298" max="4300" width="14.85546875" style="3" customWidth="1"/>
    <col min="4301" max="4301" width="0.7109375" style="3" customWidth="1"/>
    <col min="4302" max="4302" width="11" style="3"/>
    <col min="4303" max="4303" width="15.7109375" style="3" customWidth="1"/>
    <col min="4304" max="4305" width="14.85546875" style="3" customWidth="1"/>
    <col min="4306" max="4306" width="3.28515625" style="3" customWidth="1"/>
    <col min="4307" max="4307" width="20.140625" style="3" customWidth="1"/>
    <col min="4308" max="4308" width="3.28515625" style="3" customWidth="1"/>
    <col min="4309" max="4313" width="11" style="3"/>
    <col min="4314" max="4326" width="4.7109375" style="3" customWidth="1"/>
    <col min="4327" max="4536" width="11" style="3"/>
    <col min="4537" max="4537" width="0.7109375" style="3" customWidth="1"/>
    <col min="4538" max="4538" width="6.5703125" style="3" customWidth="1"/>
    <col min="4539" max="4539" width="13.5703125" style="3" customWidth="1"/>
    <col min="4540" max="4540" width="13.42578125" style="3" customWidth="1"/>
    <col min="4541" max="4542" width="12.5703125" style="3" customWidth="1"/>
    <col min="4543" max="4543" width="14.85546875" style="3" customWidth="1"/>
    <col min="4544" max="4544" width="20.7109375" style="3" customWidth="1"/>
    <col min="4545" max="4545" width="12.5703125" style="3" customWidth="1"/>
    <col min="4546" max="4546" width="13" style="3" customWidth="1"/>
    <col min="4547" max="4547" width="16" style="3" customWidth="1"/>
    <col min="4548" max="4548" width="6.42578125" style="3" customWidth="1"/>
    <col min="4549" max="4549" width="16" style="3" customWidth="1"/>
    <col min="4550" max="4550" width="2.85546875" style="3" customWidth="1"/>
    <col min="4551" max="4551" width="0.85546875" style="3" customWidth="1"/>
    <col min="4552" max="4552" width="11" style="3"/>
    <col min="4553" max="4553" width="15.42578125" style="3" customWidth="1"/>
    <col min="4554" max="4556" width="14.85546875" style="3" customWidth="1"/>
    <col min="4557" max="4557" width="0.7109375" style="3" customWidth="1"/>
    <col min="4558" max="4558" width="11" style="3"/>
    <col min="4559" max="4559" width="15.7109375" style="3" customWidth="1"/>
    <col min="4560" max="4561" width="14.85546875" style="3" customWidth="1"/>
    <col min="4562" max="4562" width="3.28515625" style="3" customWidth="1"/>
    <col min="4563" max="4563" width="20.140625" style="3" customWidth="1"/>
    <col min="4564" max="4564" width="3.28515625" style="3" customWidth="1"/>
    <col min="4565" max="4569" width="11" style="3"/>
    <col min="4570" max="4582" width="4.7109375" style="3" customWidth="1"/>
    <col min="4583" max="4792" width="11" style="3"/>
    <col min="4793" max="4793" width="0.7109375" style="3" customWidth="1"/>
    <col min="4794" max="4794" width="6.5703125" style="3" customWidth="1"/>
    <col min="4795" max="4795" width="13.5703125" style="3" customWidth="1"/>
    <col min="4796" max="4796" width="13.42578125" style="3" customWidth="1"/>
    <col min="4797" max="4798" width="12.5703125" style="3" customWidth="1"/>
    <col min="4799" max="4799" width="14.85546875" style="3" customWidth="1"/>
    <col min="4800" max="4800" width="20.7109375" style="3" customWidth="1"/>
    <col min="4801" max="4801" width="12.5703125" style="3" customWidth="1"/>
    <col min="4802" max="4802" width="13" style="3" customWidth="1"/>
    <col min="4803" max="4803" width="16" style="3" customWidth="1"/>
    <col min="4804" max="4804" width="6.42578125" style="3" customWidth="1"/>
    <col min="4805" max="4805" width="16" style="3" customWidth="1"/>
    <col min="4806" max="4806" width="2.85546875" style="3" customWidth="1"/>
    <col min="4807" max="4807" width="0.85546875" style="3" customWidth="1"/>
    <col min="4808" max="4808" width="11" style="3"/>
    <col min="4809" max="4809" width="15.42578125" style="3" customWidth="1"/>
    <col min="4810" max="4812" width="14.85546875" style="3" customWidth="1"/>
    <col min="4813" max="4813" width="0.7109375" style="3" customWidth="1"/>
    <col min="4814" max="4814" width="11" style="3"/>
    <col min="4815" max="4815" width="15.7109375" style="3" customWidth="1"/>
    <col min="4816" max="4817" width="14.85546875" style="3" customWidth="1"/>
    <col min="4818" max="4818" width="3.28515625" style="3" customWidth="1"/>
    <col min="4819" max="4819" width="20.140625" style="3" customWidth="1"/>
    <col min="4820" max="4820" width="3.28515625" style="3" customWidth="1"/>
    <col min="4821" max="4825" width="11" style="3"/>
    <col min="4826" max="4838" width="4.7109375" style="3" customWidth="1"/>
    <col min="4839" max="5048" width="11" style="3"/>
    <col min="5049" max="5049" width="0.7109375" style="3" customWidth="1"/>
    <col min="5050" max="5050" width="6.5703125" style="3" customWidth="1"/>
    <col min="5051" max="5051" width="13.5703125" style="3" customWidth="1"/>
    <col min="5052" max="5052" width="13.42578125" style="3" customWidth="1"/>
    <col min="5053" max="5054" width="12.5703125" style="3" customWidth="1"/>
    <col min="5055" max="5055" width="14.85546875" style="3" customWidth="1"/>
    <col min="5056" max="5056" width="20.7109375" style="3" customWidth="1"/>
    <col min="5057" max="5057" width="12.5703125" style="3" customWidth="1"/>
    <col min="5058" max="5058" width="13" style="3" customWidth="1"/>
    <col min="5059" max="5059" width="16" style="3" customWidth="1"/>
    <col min="5060" max="5060" width="6.42578125" style="3" customWidth="1"/>
    <col min="5061" max="5061" width="16" style="3" customWidth="1"/>
    <col min="5062" max="5062" width="2.85546875" style="3" customWidth="1"/>
    <col min="5063" max="5063" width="0.85546875" style="3" customWidth="1"/>
    <col min="5064" max="5064" width="11" style="3"/>
    <col min="5065" max="5065" width="15.42578125" style="3" customWidth="1"/>
    <col min="5066" max="5068" width="14.85546875" style="3" customWidth="1"/>
    <col min="5069" max="5069" width="0.7109375" style="3" customWidth="1"/>
    <col min="5070" max="5070" width="11" style="3"/>
    <col min="5071" max="5071" width="15.7109375" style="3" customWidth="1"/>
    <col min="5072" max="5073" width="14.85546875" style="3" customWidth="1"/>
    <col min="5074" max="5074" width="3.28515625" style="3" customWidth="1"/>
    <col min="5075" max="5075" width="20.140625" style="3" customWidth="1"/>
    <col min="5076" max="5076" width="3.28515625" style="3" customWidth="1"/>
    <col min="5077" max="5081" width="11" style="3"/>
    <col min="5082" max="5094" width="4.7109375" style="3" customWidth="1"/>
    <col min="5095" max="5304" width="11" style="3"/>
    <col min="5305" max="5305" width="0.7109375" style="3" customWidth="1"/>
    <col min="5306" max="5306" width="6.5703125" style="3" customWidth="1"/>
    <col min="5307" max="5307" width="13.5703125" style="3" customWidth="1"/>
    <col min="5308" max="5308" width="13.42578125" style="3" customWidth="1"/>
    <col min="5309" max="5310" width="12.5703125" style="3" customWidth="1"/>
    <col min="5311" max="5311" width="14.85546875" style="3" customWidth="1"/>
    <col min="5312" max="5312" width="20.7109375" style="3" customWidth="1"/>
    <col min="5313" max="5313" width="12.5703125" style="3" customWidth="1"/>
    <col min="5314" max="5314" width="13" style="3" customWidth="1"/>
    <col min="5315" max="5315" width="16" style="3" customWidth="1"/>
    <col min="5316" max="5316" width="6.42578125" style="3" customWidth="1"/>
    <col min="5317" max="5317" width="16" style="3" customWidth="1"/>
    <col min="5318" max="5318" width="2.85546875" style="3" customWidth="1"/>
    <col min="5319" max="5319" width="0.85546875" style="3" customWidth="1"/>
    <col min="5320" max="5320" width="11" style="3"/>
    <col min="5321" max="5321" width="15.42578125" style="3" customWidth="1"/>
    <col min="5322" max="5324" width="14.85546875" style="3" customWidth="1"/>
    <col min="5325" max="5325" width="0.7109375" style="3" customWidth="1"/>
    <col min="5326" max="5326" width="11" style="3"/>
    <col min="5327" max="5327" width="15.7109375" style="3" customWidth="1"/>
    <col min="5328" max="5329" width="14.85546875" style="3" customWidth="1"/>
    <col min="5330" max="5330" width="3.28515625" style="3" customWidth="1"/>
    <col min="5331" max="5331" width="20.140625" style="3" customWidth="1"/>
    <col min="5332" max="5332" width="3.28515625" style="3" customWidth="1"/>
    <col min="5333" max="5337" width="11" style="3"/>
    <col min="5338" max="5350" width="4.7109375" style="3" customWidth="1"/>
    <col min="5351" max="5560" width="11" style="3"/>
    <col min="5561" max="5561" width="0.7109375" style="3" customWidth="1"/>
    <col min="5562" max="5562" width="6.5703125" style="3" customWidth="1"/>
    <col min="5563" max="5563" width="13.5703125" style="3" customWidth="1"/>
    <col min="5564" max="5564" width="13.42578125" style="3" customWidth="1"/>
    <col min="5565" max="5566" width="12.5703125" style="3" customWidth="1"/>
    <col min="5567" max="5567" width="14.85546875" style="3" customWidth="1"/>
    <col min="5568" max="5568" width="20.7109375" style="3" customWidth="1"/>
    <col min="5569" max="5569" width="12.5703125" style="3" customWidth="1"/>
    <col min="5570" max="5570" width="13" style="3" customWidth="1"/>
    <col min="5571" max="5571" width="16" style="3" customWidth="1"/>
    <col min="5572" max="5572" width="6.42578125" style="3" customWidth="1"/>
    <col min="5573" max="5573" width="16" style="3" customWidth="1"/>
    <col min="5574" max="5574" width="2.85546875" style="3" customWidth="1"/>
    <col min="5575" max="5575" width="0.85546875" style="3" customWidth="1"/>
    <col min="5576" max="5576" width="11" style="3"/>
    <col min="5577" max="5577" width="15.42578125" style="3" customWidth="1"/>
    <col min="5578" max="5580" width="14.85546875" style="3" customWidth="1"/>
    <col min="5581" max="5581" width="0.7109375" style="3" customWidth="1"/>
    <col min="5582" max="5582" width="11" style="3"/>
    <col min="5583" max="5583" width="15.7109375" style="3" customWidth="1"/>
    <col min="5584" max="5585" width="14.85546875" style="3" customWidth="1"/>
    <col min="5586" max="5586" width="3.28515625" style="3" customWidth="1"/>
    <col min="5587" max="5587" width="20.140625" style="3" customWidth="1"/>
    <col min="5588" max="5588" width="3.28515625" style="3" customWidth="1"/>
    <col min="5589" max="5593" width="11" style="3"/>
    <col min="5594" max="5606" width="4.7109375" style="3" customWidth="1"/>
    <col min="5607" max="5816" width="11" style="3"/>
    <col min="5817" max="5817" width="0.7109375" style="3" customWidth="1"/>
    <col min="5818" max="5818" width="6.5703125" style="3" customWidth="1"/>
    <col min="5819" max="5819" width="13.5703125" style="3" customWidth="1"/>
    <col min="5820" max="5820" width="13.42578125" style="3" customWidth="1"/>
    <col min="5821" max="5822" width="12.5703125" style="3" customWidth="1"/>
    <col min="5823" max="5823" width="14.85546875" style="3" customWidth="1"/>
    <col min="5824" max="5824" width="20.7109375" style="3" customWidth="1"/>
    <col min="5825" max="5825" width="12.5703125" style="3" customWidth="1"/>
    <col min="5826" max="5826" width="13" style="3" customWidth="1"/>
    <col min="5827" max="5827" width="16" style="3" customWidth="1"/>
    <col min="5828" max="5828" width="6.42578125" style="3" customWidth="1"/>
    <col min="5829" max="5829" width="16" style="3" customWidth="1"/>
    <col min="5830" max="5830" width="2.85546875" style="3" customWidth="1"/>
    <col min="5831" max="5831" width="0.85546875" style="3" customWidth="1"/>
    <col min="5832" max="5832" width="11" style="3"/>
    <col min="5833" max="5833" width="15.42578125" style="3" customWidth="1"/>
    <col min="5834" max="5836" width="14.85546875" style="3" customWidth="1"/>
    <col min="5837" max="5837" width="0.7109375" style="3" customWidth="1"/>
    <col min="5838" max="5838" width="11" style="3"/>
    <col min="5839" max="5839" width="15.7109375" style="3" customWidth="1"/>
    <col min="5840" max="5841" width="14.85546875" style="3" customWidth="1"/>
    <col min="5842" max="5842" width="3.28515625" style="3" customWidth="1"/>
    <col min="5843" max="5843" width="20.140625" style="3" customWidth="1"/>
    <col min="5844" max="5844" width="3.28515625" style="3" customWidth="1"/>
    <col min="5845" max="5849" width="11" style="3"/>
    <col min="5850" max="5862" width="4.7109375" style="3" customWidth="1"/>
    <col min="5863" max="6072" width="11" style="3"/>
    <col min="6073" max="6073" width="0.7109375" style="3" customWidth="1"/>
    <col min="6074" max="6074" width="6.5703125" style="3" customWidth="1"/>
    <col min="6075" max="6075" width="13.5703125" style="3" customWidth="1"/>
    <col min="6076" max="6076" width="13.42578125" style="3" customWidth="1"/>
    <col min="6077" max="6078" width="12.5703125" style="3" customWidth="1"/>
    <col min="6079" max="6079" width="14.85546875" style="3" customWidth="1"/>
    <col min="6080" max="6080" width="20.7109375" style="3" customWidth="1"/>
    <col min="6081" max="6081" width="12.5703125" style="3" customWidth="1"/>
    <col min="6082" max="6082" width="13" style="3" customWidth="1"/>
    <col min="6083" max="6083" width="16" style="3" customWidth="1"/>
    <col min="6084" max="6084" width="6.42578125" style="3" customWidth="1"/>
    <col min="6085" max="6085" width="16" style="3" customWidth="1"/>
    <col min="6086" max="6086" width="2.85546875" style="3" customWidth="1"/>
    <col min="6087" max="6087" width="0.85546875" style="3" customWidth="1"/>
    <col min="6088" max="6088" width="11" style="3"/>
    <col min="6089" max="6089" width="15.42578125" style="3" customWidth="1"/>
    <col min="6090" max="6092" width="14.85546875" style="3" customWidth="1"/>
    <col min="6093" max="6093" width="0.7109375" style="3" customWidth="1"/>
    <col min="6094" max="6094" width="11" style="3"/>
    <col min="6095" max="6095" width="15.7109375" style="3" customWidth="1"/>
    <col min="6096" max="6097" width="14.85546875" style="3" customWidth="1"/>
    <col min="6098" max="6098" width="3.28515625" style="3" customWidth="1"/>
    <col min="6099" max="6099" width="20.140625" style="3" customWidth="1"/>
    <col min="6100" max="6100" width="3.28515625" style="3" customWidth="1"/>
    <col min="6101" max="6105" width="11" style="3"/>
    <col min="6106" max="6118" width="4.7109375" style="3" customWidth="1"/>
    <col min="6119" max="6328" width="11" style="3"/>
    <col min="6329" max="6329" width="0.7109375" style="3" customWidth="1"/>
    <col min="6330" max="6330" width="6.5703125" style="3" customWidth="1"/>
    <col min="6331" max="6331" width="13.5703125" style="3" customWidth="1"/>
    <col min="6332" max="6332" width="13.42578125" style="3" customWidth="1"/>
    <col min="6333" max="6334" width="12.5703125" style="3" customWidth="1"/>
    <col min="6335" max="6335" width="14.85546875" style="3" customWidth="1"/>
    <col min="6336" max="6336" width="20.7109375" style="3" customWidth="1"/>
    <col min="6337" max="6337" width="12.5703125" style="3" customWidth="1"/>
    <col min="6338" max="6338" width="13" style="3" customWidth="1"/>
    <col min="6339" max="6339" width="16" style="3" customWidth="1"/>
    <col min="6340" max="6340" width="6.42578125" style="3" customWidth="1"/>
    <col min="6341" max="6341" width="16" style="3" customWidth="1"/>
    <col min="6342" max="6342" width="2.85546875" style="3" customWidth="1"/>
    <col min="6343" max="6343" width="0.85546875" style="3" customWidth="1"/>
    <col min="6344" max="6344" width="11" style="3"/>
    <col min="6345" max="6345" width="15.42578125" style="3" customWidth="1"/>
    <col min="6346" max="6348" width="14.85546875" style="3" customWidth="1"/>
    <col min="6349" max="6349" width="0.7109375" style="3" customWidth="1"/>
    <col min="6350" max="6350" width="11" style="3"/>
    <col min="6351" max="6351" width="15.7109375" style="3" customWidth="1"/>
    <col min="6352" max="6353" width="14.85546875" style="3" customWidth="1"/>
    <col min="6354" max="6354" width="3.28515625" style="3" customWidth="1"/>
    <col min="6355" max="6355" width="20.140625" style="3" customWidth="1"/>
    <col min="6356" max="6356" width="3.28515625" style="3" customWidth="1"/>
    <col min="6357" max="6361" width="11" style="3"/>
    <col min="6362" max="6374" width="4.7109375" style="3" customWidth="1"/>
    <col min="6375" max="6584" width="11" style="3"/>
    <col min="6585" max="6585" width="0.7109375" style="3" customWidth="1"/>
    <col min="6586" max="6586" width="6.5703125" style="3" customWidth="1"/>
    <col min="6587" max="6587" width="13.5703125" style="3" customWidth="1"/>
    <col min="6588" max="6588" width="13.42578125" style="3" customWidth="1"/>
    <col min="6589" max="6590" width="12.5703125" style="3" customWidth="1"/>
    <col min="6591" max="6591" width="14.85546875" style="3" customWidth="1"/>
    <col min="6592" max="6592" width="20.7109375" style="3" customWidth="1"/>
    <col min="6593" max="6593" width="12.5703125" style="3" customWidth="1"/>
    <col min="6594" max="6594" width="13" style="3" customWidth="1"/>
    <col min="6595" max="6595" width="16" style="3" customWidth="1"/>
    <col min="6596" max="6596" width="6.42578125" style="3" customWidth="1"/>
    <col min="6597" max="6597" width="16" style="3" customWidth="1"/>
    <col min="6598" max="6598" width="2.85546875" style="3" customWidth="1"/>
    <col min="6599" max="6599" width="0.85546875" style="3" customWidth="1"/>
    <col min="6600" max="6600" width="11" style="3"/>
    <col min="6601" max="6601" width="15.42578125" style="3" customWidth="1"/>
    <col min="6602" max="6604" width="14.85546875" style="3" customWidth="1"/>
    <col min="6605" max="6605" width="0.7109375" style="3" customWidth="1"/>
    <col min="6606" max="6606" width="11" style="3"/>
    <col min="6607" max="6607" width="15.7109375" style="3" customWidth="1"/>
    <col min="6608" max="6609" width="14.85546875" style="3" customWidth="1"/>
    <col min="6610" max="6610" width="3.28515625" style="3" customWidth="1"/>
    <col min="6611" max="6611" width="20.140625" style="3" customWidth="1"/>
    <col min="6612" max="6612" width="3.28515625" style="3" customWidth="1"/>
    <col min="6613" max="6617" width="11" style="3"/>
    <col min="6618" max="6630" width="4.7109375" style="3" customWidth="1"/>
    <col min="6631" max="6840" width="11" style="3"/>
    <col min="6841" max="6841" width="0.7109375" style="3" customWidth="1"/>
    <col min="6842" max="6842" width="6.5703125" style="3" customWidth="1"/>
    <col min="6843" max="6843" width="13.5703125" style="3" customWidth="1"/>
    <col min="6844" max="6844" width="13.42578125" style="3" customWidth="1"/>
    <col min="6845" max="6846" width="12.5703125" style="3" customWidth="1"/>
    <col min="6847" max="6847" width="14.85546875" style="3" customWidth="1"/>
    <col min="6848" max="6848" width="20.7109375" style="3" customWidth="1"/>
    <col min="6849" max="6849" width="12.5703125" style="3" customWidth="1"/>
    <col min="6850" max="6850" width="13" style="3" customWidth="1"/>
    <col min="6851" max="6851" width="16" style="3" customWidth="1"/>
    <col min="6852" max="6852" width="6.42578125" style="3" customWidth="1"/>
    <col min="6853" max="6853" width="16" style="3" customWidth="1"/>
    <col min="6854" max="6854" width="2.85546875" style="3" customWidth="1"/>
    <col min="6855" max="6855" width="0.85546875" style="3" customWidth="1"/>
    <col min="6856" max="6856" width="11" style="3"/>
    <col min="6857" max="6857" width="15.42578125" style="3" customWidth="1"/>
    <col min="6858" max="6860" width="14.85546875" style="3" customWidth="1"/>
    <col min="6861" max="6861" width="0.7109375" style="3" customWidth="1"/>
    <col min="6862" max="6862" width="11" style="3"/>
    <col min="6863" max="6863" width="15.7109375" style="3" customWidth="1"/>
    <col min="6864" max="6865" width="14.85546875" style="3" customWidth="1"/>
    <col min="6866" max="6866" width="3.28515625" style="3" customWidth="1"/>
    <col min="6867" max="6867" width="20.140625" style="3" customWidth="1"/>
    <col min="6868" max="6868" width="3.28515625" style="3" customWidth="1"/>
    <col min="6869" max="6873" width="11" style="3"/>
    <col min="6874" max="6886" width="4.7109375" style="3" customWidth="1"/>
    <col min="6887" max="7096" width="11" style="3"/>
    <col min="7097" max="7097" width="0.7109375" style="3" customWidth="1"/>
    <col min="7098" max="7098" width="6.5703125" style="3" customWidth="1"/>
    <col min="7099" max="7099" width="13.5703125" style="3" customWidth="1"/>
    <col min="7100" max="7100" width="13.42578125" style="3" customWidth="1"/>
    <col min="7101" max="7102" width="12.5703125" style="3" customWidth="1"/>
    <col min="7103" max="7103" width="14.85546875" style="3" customWidth="1"/>
    <col min="7104" max="7104" width="20.7109375" style="3" customWidth="1"/>
    <col min="7105" max="7105" width="12.5703125" style="3" customWidth="1"/>
    <col min="7106" max="7106" width="13" style="3" customWidth="1"/>
    <col min="7107" max="7107" width="16" style="3" customWidth="1"/>
    <col min="7108" max="7108" width="6.42578125" style="3" customWidth="1"/>
    <col min="7109" max="7109" width="16" style="3" customWidth="1"/>
    <col min="7110" max="7110" width="2.85546875" style="3" customWidth="1"/>
    <col min="7111" max="7111" width="0.85546875" style="3" customWidth="1"/>
    <col min="7112" max="7112" width="11" style="3"/>
    <col min="7113" max="7113" width="15.42578125" style="3" customWidth="1"/>
    <col min="7114" max="7116" width="14.85546875" style="3" customWidth="1"/>
    <col min="7117" max="7117" width="0.7109375" style="3" customWidth="1"/>
    <col min="7118" max="7118" width="11" style="3"/>
    <col min="7119" max="7119" width="15.7109375" style="3" customWidth="1"/>
    <col min="7120" max="7121" width="14.85546875" style="3" customWidth="1"/>
    <col min="7122" max="7122" width="3.28515625" style="3" customWidth="1"/>
    <col min="7123" max="7123" width="20.140625" style="3" customWidth="1"/>
    <col min="7124" max="7124" width="3.28515625" style="3" customWidth="1"/>
    <col min="7125" max="7129" width="11" style="3"/>
    <col min="7130" max="7142" width="4.7109375" style="3" customWidth="1"/>
    <col min="7143" max="7352" width="11" style="3"/>
    <col min="7353" max="7353" width="0.7109375" style="3" customWidth="1"/>
    <col min="7354" max="7354" width="6.5703125" style="3" customWidth="1"/>
    <col min="7355" max="7355" width="13.5703125" style="3" customWidth="1"/>
    <col min="7356" max="7356" width="13.42578125" style="3" customWidth="1"/>
    <col min="7357" max="7358" width="12.5703125" style="3" customWidth="1"/>
    <col min="7359" max="7359" width="14.85546875" style="3" customWidth="1"/>
    <col min="7360" max="7360" width="20.7109375" style="3" customWidth="1"/>
    <col min="7361" max="7361" width="12.5703125" style="3" customWidth="1"/>
    <col min="7362" max="7362" width="13" style="3" customWidth="1"/>
    <col min="7363" max="7363" width="16" style="3" customWidth="1"/>
    <col min="7364" max="7364" width="6.42578125" style="3" customWidth="1"/>
    <col min="7365" max="7365" width="16" style="3" customWidth="1"/>
    <col min="7366" max="7366" width="2.85546875" style="3" customWidth="1"/>
    <col min="7367" max="7367" width="0.85546875" style="3" customWidth="1"/>
    <col min="7368" max="7368" width="11" style="3"/>
    <col min="7369" max="7369" width="15.42578125" style="3" customWidth="1"/>
    <col min="7370" max="7372" width="14.85546875" style="3" customWidth="1"/>
    <col min="7373" max="7373" width="0.7109375" style="3" customWidth="1"/>
    <col min="7374" max="7374" width="11" style="3"/>
    <col min="7375" max="7375" width="15.7109375" style="3" customWidth="1"/>
    <col min="7376" max="7377" width="14.85546875" style="3" customWidth="1"/>
    <col min="7378" max="7378" width="3.28515625" style="3" customWidth="1"/>
    <col min="7379" max="7379" width="20.140625" style="3" customWidth="1"/>
    <col min="7380" max="7380" width="3.28515625" style="3" customWidth="1"/>
    <col min="7381" max="7385" width="11" style="3"/>
    <col min="7386" max="7398" width="4.7109375" style="3" customWidth="1"/>
    <col min="7399" max="7608" width="11" style="3"/>
    <col min="7609" max="7609" width="0.7109375" style="3" customWidth="1"/>
    <col min="7610" max="7610" width="6.5703125" style="3" customWidth="1"/>
    <col min="7611" max="7611" width="13.5703125" style="3" customWidth="1"/>
    <col min="7612" max="7612" width="13.42578125" style="3" customWidth="1"/>
    <col min="7613" max="7614" width="12.5703125" style="3" customWidth="1"/>
    <col min="7615" max="7615" width="14.85546875" style="3" customWidth="1"/>
    <col min="7616" max="7616" width="20.7109375" style="3" customWidth="1"/>
    <col min="7617" max="7617" width="12.5703125" style="3" customWidth="1"/>
    <col min="7618" max="7618" width="13" style="3" customWidth="1"/>
    <col min="7619" max="7619" width="16" style="3" customWidth="1"/>
    <col min="7620" max="7620" width="6.42578125" style="3" customWidth="1"/>
    <col min="7621" max="7621" width="16" style="3" customWidth="1"/>
    <col min="7622" max="7622" width="2.85546875" style="3" customWidth="1"/>
    <col min="7623" max="7623" width="0.85546875" style="3" customWidth="1"/>
    <col min="7624" max="7624" width="11" style="3"/>
    <col min="7625" max="7625" width="15.42578125" style="3" customWidth="1"/>
    <col min="7626" max="7628" width="14.85546875" style="3" customWidth="1"/>
    <col min="7629" max="7629" width="0.7109375" style="3" customWidth="1"/>
    <col min="7630" max="7630" width="11" style="3"/>
    <col min="7631" max="7631" width="15.7109375" style="3" customWidth="1"/>
    <col min="7632" max="7633" width="14.85546875" style="3" customWidth="1"/>
    <col min="7634" max="7634" width="3.28515625" style="3" customWidth="1"/>
    <col min="7635" max="7635" width="20.140625" style="3" customWidth="1"/>
    <col min="7636" max="7636" width="3.28515625" style="3" customWidth="1"/>
    <col min="7637" max="7641" width="11" style="3"/>
    <col min="7642" max="7654" width="4.7109375" style="3" customWidth="1"/>
    <col min="7655" max="7864" width="11" style="3"/>
    <col min="7865" max="7865" width="0.7109375" style="3" customWidth="1"/>
    <col min="7866" max="7866" width="6.5703125" style="3" customWidth="1"/>
    <col min="7867" max="7867" width="13.5703125" style="3" customWidth="1"/>
    <col min="7868" max="7868" width="13.42578125" style="3" customWidth="1"/>
    <col min="7869" max="7870" width="12.5703125" style="3" customWidth="1"/>
    <col min="7871" max="7871" width="14.85546875" style="3" customWidth="1"/>
    <col min="7872" max="7872" width="20.7109375" style="3" customWidth="1"/>
    <col min="7873" max="7873" width="12.5703125" style="3" customWidth="1"/>
    <col min="7874" max="7874" width="13" style="3" customWidth="1"/>
    <col min="7875" max="7875" width="16" style="3" customWidth="1"/>
    <col min="7876" max="7876" width="6.42578125" style="3" customWidth="1"/>
    <col min="7877" max="7877" width="16" style="3" customWidth="1"/>
    <col min="7878" max="7878" width="2.85546875" style="3" customWidth="1"/>
    <col min="7879" max="7879" width="0.85546875" style="3" customWidth="1"/>
    <col min="7880" max="7880" width="11" style="3"/>
    <col min="7881" max="7881" width="15.42578125" style="3" customWidth="1"/>
    <col min="7882" max="7884" width="14.85546875" style="3" customWidth="1"/>
    <col min="7885" max="7885" width="0.7109375" style="3" customWidth="1"/>
    <col min="7886" max="7886" width="11" style="3"/>
    <col min="7887" max="7887" width="15.7109375" style="3" customWidth="1"/>
    <col min="7888" max="7889" width="14.85546875" style="3" customWidth="1"/>
    <col min="7890" max="7890" width="3.28515625" style="3" customWidth="1"/>
    <col min="7891" max="7891" width="20.140625" style="3" customWidth="1"/>
    <col min="7892" max="7892" width="3.28515625" style="3" customWidth="1"/>
    <col min="7893" max="7897" width="11" style="3"/>
    <col min="7898" max="7910" width="4.7109375" style="3" customWidth="1"/>
    <col min="7911" max="8120" width="11" style="3"/>
    <col min="8121" max="8121" width="0.7109375" style="3" customWidth="1"/>
    <col min="8122" max="8122" width="6.5703125" style="3" customWidth="1"/>
    <col min="8123" max="8123" width="13.5703125" style="3" customWidth="1"/>
    <col min="8124" max="8124" width="13.42578125" style="3" customWidth="1"/>
    <col min="8125" max="8126" width="12.5703125" style="3" customWidth="1"/>
    <col min="8127" max="8127" width="14.85546875" style="3" customWidth="1"/>
    <col min="8128" max="8128" width="20.7109375" style="3" customWidth="1"/>
    <col min="8129" max="8129" width="12.5703125" style="3" customWidth="1"/>
    <col min="8130" max="8130" width="13" style="3" customWidth="1"/>
    <col min="8131" max="8131" width="16" style="3" customWidth="1"/>
    <col min="8132" max="8132" width="6.42578125" style="3" customWidth="1"/>
    <col min="8133" max="8133" width="16" style="3" customWidth="1"/>
    <col min="8134" max="8134" width="2.85546875" style="3" customWidth="1"/>
    <col min="8135" max="8135" width="0.85546875" style="3" customWidth="1"/>
    <col min="8136" max="8136" width="11" style="3"/>
    <col min="8137" max="8137" width="15.42578125" style="3" customWidth="1"/>
    <col min="8138" max="8140" width="14.85546875" style="3" customWidth="1"/>
    <col min="8141" max="8141" width="0.7109375" style="3" customWidth="1"/>
    <col min="8142" max="8142" width="11" style="3"/>
    <col min="8143" max="8143" width="15.7109375" style="3" customWidth="1"/>
    <col min="8144" max="8145" width="14.85546875" style="3" customWidth="1"/>
    <col min="8146" max="8146" width="3.28515625" style="3" customWidth="1"/>
    <col min="8147" max="8147" width="20.140625" style="3" customWidth="1"/>
    <col min="8148" max="8148" width="3.28515625" style="3" customWidth="1"/>
    <col min="8149" max="8153" width="11" style="3"/>
    <col min="8154" max="8166" width="4.7109375" style="3" customWidth="1"/>
    <col min="8167" max="8376" width="11" style="3"/>
    <col min="8377" max="8377" width="0.7109375" style="3" customWidth="1"/>
    <col min="8378" max="8378" width="6.5703125" style="3" customWidth="1"/>
    <col min="8379" max="8379" width="13.5703125" style="3" customWidth="1"/>
    <col min="8380" max="8380" width="13.42578125" style="3" customWidth="1"/>
    <col min="8381" max="8382" width="12.5703125" style="3" customWidth="1"/>
    <col min="8383" max="8383" width="14.85546875" style="3" customWidth="1"/>
    <col min="8384" max="8384" width="20.7109375" style="3" customWidth="1"/>
    <col min="8385" max="8385" width="12.5703125" style="3" customWidth="1"/>
    <col min="8386" max="8386" width="13" style="3" customWidth="1"/>
    <col min="8387" max="8387" width="16" style="3" customWidth="1"/>
    <col min="8388" max="8388" width="6.42578125" style="3" customWidth="1"/>
    <col min="8389" max="8389" width="16" style="3" customWidth="1"/>
    <col min="8390" max="8390" width="2.85546875" style="3" customWidth="1"/>
    <col min="8391" max="8391" width="0.85546875" style="3" customWidth="1"/>
    <col min="8392" max="8392" width="11" style="3"/>
    <col min="8393" max="8393" width="15.42578125" style="3" customWidth="1"/>
    <col min="8394" max="8396" width="14.85546875" style="3" customWidth="1"/>
    <col min="8397" max="8397" width="0.7109375" style="3" customWidth="1"/>
    <col min="8398" max="8398" width="11" style="3"/>
    <col min="8399" max="8399" width="15.7109375" style="3" customWidth="1"/>
    <col min="8400" max="8401" width="14.85546875" style="3" customWidth="1"/>
    <col min="8402" max="8402" width="3.28515625" style="3" customWidth="1"/>
    <col min="8403" max="8403" width="20.140625" style="3" customWidth="1"/>
    <col min="8404" max="8404" width="3.28515625" style="3" customWidth="1"/>
    <col min="8405" max="8409" width="11" style="3"/>
    <col min="8410" max="8422" width="4.7109375" style="3" customWidth="1"/>
    <col min="8423" max="8632" width="11" style="3"/>
    <col min="8633" max="8633" width="0.7109375" style="3" customWidth="1"/>
    <col min="8634" max="8634" width="6.5703125" style="3" customWidth="1"/>
    <col min="8635" max="8635" width="13.5703125" style="3" customWidth="1"/>
    <col min="8636" max="8636" width="13.42578125" style="3" customWidth="1"/>
    <col min="8637" max="8638" width="12.5703125" style="3" customWidth="1"/>
    <col min="8639" max="8639" width="14.85546875" style="3" customWidth="1"/>
    <col min="8640" max="8640" width="20.7109375" style="3" customWidth="1"/>
    <col min="8641" max="8641" width="12.5703125" style="3" customWidth="1"/>
    <col min="8642" max="8642" width="13" style="3" customWidth="1"/>
    <col min="8643" max="8643" width="16" style="3" customWidth="1"/>
    <col min="8644" max="8644" width="6.42578125" style="3" customWidth="1"/>
    <col min="8645" max="8645" width="16" style="3" customWidth="1"/>
    <col min="8646" max="8646" width="2.85546875" style="3" customWidth="1"/>
    <col min="8647" max="8647" width="0.85546875" style="3" customWidth="1"/>
    <col min="8648" max="8648" width="11" style="3"/>
    <col min="8649" max="8649" width="15.42578125" style="3" customWidth="1"/>
    <col min="8650" max="8652" width="14.85546875" style="3" customWidth="1"/>
    <col min="8653" max="8653" width="0.7109375" style="3" customWidth="1"/>
    <col min="8654" max="8654" width="11" style="3"/>
    <col min="8655" max="8655" width="15.7109375" style="3" customWidth="1"/>
    <col min="8656" max="8657" width="14.85546875" style="3" customWidth="1"/>
    <col min="8658" max="8658" width="3.28515625" style="3" customWidth="1"/>
    <col min="8659" max="8659" width="20.140625" style="3" customWidth="1"/>
    <col min="8660" max="8660" width="3.28515625" style="3" customWidth="1"/>
    <col min="8661" max="8665" width="11" style="3"/>
    <col min="8666" max="8678" width="4.7109375" style="3" customWidth="1"/>
    <col min="8679" max="8888" width="11" style="3"/>
    <col min="8889" max="8889" width="0.7109375" style="3" customWidth="1"/>
    <col min="8890" max="8890" width="6.5703125" style="3" customWidth="1"/>
    <col min="8891" max="8891" width="13.5703125" style="3" customWidth="1"/>
    <col min="8892" max="8892" width="13.42578125" style="3" customWidth="1"/>
    <col min="8893" max="8894" width="12.5703125" style="3" customWidth="1"/>
    <col min="8895" max="8895" width="14.85546875" style="3" customWidth="1"/>
    <col min="8896" max="8896" width="20.7109375" style="3" customWidth="1"/>
    <col min="8897" max="8897" width="12.5703125" style="3" customWidth="1"/>
    <col min="8898" max="8898" width="13" style="3" customWidth="1"/>
    <col min="8899" max="8899" width="16" style="3" customWidth="1"/>
    <col min="8900" max="8900" width="6.42578125" style="3" customWidth="1"/>
    <col min="8901" max="8901" width="16" style="3" customWidth="1"/>
    <col min="8902" max="8902" width="2.85546875" style="3" customWidth="1"/>
    <col min="8903" max="8903" width="0.85546875" style="3" customWidth="1"/>
    <col min="8904" max="8904" width="11" style="3"/>
    <col min="8905" max="8905" width="15.42578125" style="3" customWidth="1"/>
    <col min="8906" max="8908" width="14.85546875" style="3" customWidth="1"/>
    <col min="8909" max="8909" width="0.7109375" style="3" customWidth="1"/>
    <col min="8910" max="8910" width="11" style="3"/>
    <col min="8911" max="8911" width="15.7109375" style="3" customWidth="1"/>
    <col min="8912" max="8913" width="14.85546875" style="3" customWidth="1"/>
    <col min="8914" max="8914" width="3.28515625" style="3" customWidth="1"/>
    <col min="8915" max="8915" width="20.140625" style="3" customWidth="1"/>
    <col min="8916" max="8916" width="3.28515625" style="3" customWidth="1"/>
    <col min="8917" max="8921" width="11" style="3"/>
    <col min="8922" max="8934" width="4.7109375" style="3" customWidth="1"/>
    <col min="8935" max="9144" width="11" style="3"/>
    <col min="9145" max="9145" width="0.7109375" style="3" customWidth="1"/>
    <col min="9146" max="9146" width="6.5703125" style="3" customWidth="1"/>
    <col min="9147" max="9147" width="13.5703125" style="3" customWidth="1"/>
    <col min="9148" max="9148" width="13.42578125" style="3" customWidth="1"/>
    <col min="9149" max="9150" width="12.5703125" style="3" customWidth="1"/>
    <col min="9151" max="9151" width="14.85546875" style="3" customWidth="1"/>
    <col min="9152" max="9152" width="20.7109375" style="3" customWidth="1"/>
    <col min="9153" max="9153" width="12.5703125" style="3" customWidth="1"/>
    <col min="9154" max="9154" width="13" style="3" customWidth="1"/>
    <col min="9155" max="9155" width="16" style="3" customWidth="1"/>
    <col min="9156" max="9156" width="6.42578125" style="3" customWidth="1"/>
    <col min="9157" max="9157" width="16" style="3" customWidth="1"/>
    <col min="9158" max="9158" width="2.85546875" style="3" customWidth="1"/>
    <col min="9159" max="9159" width="0.85546875" style="3" customWidth="1"/>
    <col min="9160" max="9160" width="11" style="3"/>
    <col min="9161" max="9161" width="15.42578125" style="3" customWidth="1"/>
    <col min="9162" max="9164" width="14.85546875" style="3" customWidth="1"/>
    <col min="9165" max="9165" width="0.7109375" style="3" customWidth="1"/>
    <col min="9166" max="9166" width="11" style="3"/>
    <col min="9167" max="9167" width="15.7109375" style="3" customWidth="1"/>
    <col min="9168" max="9169" width="14.85546875" style="3" customWidth="1"/>
    <col min="9170" max="9170" width="3.28515625" style="3" customWidth="1"/>
    <col min="9171" max="9171" width="20.140625" style="3" customWidth="1"/>
    <col min="9172" max="9172" width="3.28515625" style="3" customWidth="1"/>
    <col min="9173" max="9177" width="11" style="3"/>
    <col min="9178" max="9190" width="4.7109375" style="3" customWidth="1"/>
    <col min="9191" max="9400" width="11" style="3"/>
    <col min="9401" max="9401" width="0.7109375" style="3" customWidth="1"/>
    <col min="9402" max="9402" width="6.5703125" style="3" customWidth="1"/>
    <col min="9403" max="9403" width="13.5703125" style="3" customWidth="1"/>
    <col min="9404" max="9404" width="13.42578125" style="3" customWidth="1"/>
    <col min="9405" max="9406" width="12.5703125" style="3" customWidth="1"/>
    <col min="9407" max="9407" width="14.85546875" style="3" customWidth="1"/>
    <col min="9408" max="9408" width="20.7109375" style="3" customWidth="1"/>
    <col min="9409" max="9409" width="12.5703125" style="3" customWidth="1"/>
    <col min="9410" max="9410" width="13" style="3" customWidth="1"/>
    <col min="9411" max="9411" width="16" style="3" customWidth="1"/>
    <col min="9412" max="9412" width="6.42578125" style="3" customWidth="1"/>
    <col min="9413" max="9413" width="16" style="3" customWidth="1"/>
    <col min="9414" max="9414" width="2.85546875" style="3" customWidth="1"/>
    <col min="9415" max="9415" width="0.85546875" style="3" customWidth="1"/>
    <col min="9416" max="9416" width="11" style="3"/>
    <col min="9417" max="9417" width="15.42578125" style="3" customWidth="1"/>
    <col min="9418" max="9420" width="14.85546875" style="3" customWidth="1"/>
    <col min="9421" max="9421" width="0.7109375" style="3" customWidth="1"/>
    <col min="9422" max="9422" width="11" style="3"/>
    <col min="9423" max="9423" width="15.7109375" style="3" customWidth="1"/>
    <col min="9424" max="9425" width="14.85546875" style="3" customWidth="1"/>
    <col min="9426" max="9426" width="3.28515625" style="3" customWidth="1"/>
    <col min="9427" max="9427" width="20.140625" style="3" customWidth="1"/>
    <col min="9428" max="9428" width="3.28515625" style="3" customWidth="1"/>
    <col min="9429" max="9433" width="11" style="3"/>
    <col min="9434" max="9446" width="4.7109375" style="3" customWidth="1"/>
    <col min="9447" max="9656" width="11" style="3"/>
    <col min="9657" max="9657" width="0.7109375" style="3" customWidth="1"/>
    <col min="9658" max="9658" width="6.5703125" style="3" customWidth="1"/>
    <col min="9659" max="9659" width="13.5703125" style="3" customWidth="1"/>
    <col min="9660" max="9660" width="13.42578125" style="3" customWidth="1"/>
    <col min="9661" max="9662" width="12.5703125" style="3" customWidth="1"/>
    <col min="9663" max="9663" width="14.85546875" style="3" customWidth="1"/>
    <col min="9664" max="9664" width="20.7109375" style="3" customWidth="1"/>
    <col min="9665" max="9665" width="12.5703125" style="3" customWidth="1"/>
    <col min="9666" max="9666" width="13" style="3" customWidth="1"/>
    <col min="9667" max="9667" width="16" style="3" customWidth="1"/>
    <col min="9668" max="9668" width="6.42578125" style="3" customWidth="1"/>
    <col min="9669" max="9669" width="16" style="3" customWidth="1"/>
    <col min="9670" max="9670" width="2.85546875" style="3" customWidth="1"/>
    <col min="9671" max="9671" width="0.85546875" style="3" customWidth="1"/>
    <col min="9672" max="9672" width="11" style="3"/>
    <col min="9673" max="9673" width="15.42578125" style="3" customWidth="1"/>
    <col min="9674" max="9676" width="14.85546875" style="3" customWidth="1"/>
    <col min="9677" max="9677" width="0.7109375" style="3" customWidth="1"/>
    <col min="9678" max="9678" width="11" style="3"/>
    <col min="9679" max="9679" width="15.7109375" style="3" customWidth="1"/>
    <col min="9680" max="9681" width="14.85546875" style="3" customWidth="1"/>
    <col min="9682" max="9682" width="3.28515625" style="3" customWidth="1"/>
    <col min="9683" max="9683" width="20.140625" style="3" customWidth="1"/>
    <col min="9684" max="9684" width="3.28515625" style="3" customWidth="1"/>
    <col min="9685" max="9689" width="11" style="3"/>
    <col min="9690" max="9702" width="4.7109375" style="3" customWidth="1"/>
    <col min="9703" max="9912" width="11" style="3"/>
    <col min="9913" max="9913" width="0.7109375" style="3" customWidth="1"/>
    <col min="9914" max="9914" width="6.5703125" style="3" customWidth="1"/>
    <col min="9915" max="9915" width="13.5703125" style="3" customWidth="1"/>
    <col min="9916" max="9916" width="13.42578125" style="3" customWidth="1"/>
    <col min="9917" max="9918" width="12.5703125" style="3" customWidth="1"/>
    <col min="9919" max="9919" width="14.85546875" style="3" customWidth="1"/>
    <col min="9920" max="9920" width="20.7109375" style="3" customWidth="1"/>
    <col min="9921" max="9921" width="12.5703125" style="3" customWidth="1"/>
    <col min="9922" max="9922" width="13" style="3" customWidth="1"/>
    <col min="9923" max="9923" width="16" style="3" customWidth="1"/>
    <col min="9924" max="9924" width="6.42578125" style="3" customWidth="1"/>
    <col min="9925" max="9925" width="16" style="3" customWidth="1"/>
    <col min="9926" max="9926" width="2.85546875" style="3" customWidth="1"/>
    <col min="9927" max="9927" width="0.85546875" style="3" customWidth="1"/>
    <col min="9928" max="9928" width="11" style="3"/>
    <col min="9929" max="9929" width="15.42578125" style="3" customWidth="1"/>
    <col min="9930" max="9932" width="14.85546875" style="3" customWidth="1"/>
    <col min="9933" max="9933" width="0.7109375" style="3" customWidth="1"/>
    <col min="9934" max="9934" width="11" style="3"/>
    <col min="9935" max="9935" width="15.7109375" style="3" customWidth="1"/>
    <col min="9936" max="9937" width="14.85546875" style="3" customWidth="1"/>
    <col min="9938" max="9938" width="3.28515625" style="3" customWidth="1"/>
    <col min="9939" max="9939" width="20.140625" style="3" customWidth="1"/>
    <col min="9940" max="9940" width="3.28515625" style="3" customWidth="1"/>
    <col min="9941" max="9945" width="11" style="3"/>
    <col min="9946" max="9958" width="4.7109375" style="3" customWidth="1"/>
    <col min="9959" max="10168" width="11" style="3"/>
    <col min="10169" max="10169" width="0.7109375" style="3" customWidth="1"/>
    <col min="10170" max="10170" width="6.5703125" style="3" customWidth="1"/>
    <col min="10171" max="10171" width="13.5703125" style="3" customWidth="1"/>
    <col min="10172" max="10172" width="13.42578125" style="3" customWidth="1"/>
    <col min="10173" max="10174" width="12.5703125" style="3" customWidth="1"/>
    <col min="10175" max="10175" width="14.85546875" style="3" customWidth="1"/>
    <col min="10176" max="10176" width="20.7109375" style="3" customWidth="1"/>
    <col min="10177" max="10177" width="12.5703125" style="3" customWidth="1"/>
    <col min="10178" max="10178" width="13" style="3" customWidth="1"/>
    <col min="10179" max="10179" width="16" style="3" customWidth="1"/>
    <col min="10180" max="10180" width="6.42578125" style="3" customWidth="1"/>
    <col min="10181" max="10181" width="16" style="3" customWidth="1"/>
    <col min="10182" max="10182" width="2.85546875" style="3" customWidth="1"/>
    <col min="10183" max="10183" width="0.85546875" style="3" customWidth="1"/>
    <col min="10184" max="10184" width="11" style="3"/>
    <col min="10185" max="10185" width="15.42578125" style="3" customWidth="1"/>
    <col min="10186" max="10188" width="14.85546875" style="3" customWidth="1"/>
    <col min="10189" max="10189" width="0.7109375" style="3" customWidth="1"/>
    <col min="10190" max="10190" width="11" style="3"/>
    <col min="10191" max="10191" width="15.7109375" style="3" customWidth="1"/>
    <col min="10192" max="10193" width="14.85546875" style="3" customWidth="1"/>
    <col min="10194" max="10194" width="3.28515625" style="3" customWidth="1"/>
    <col min="10195" max="10195" width="20.140625" style="3" customWidth="1"/>
    <col min="10196" max="10196" width="3.28515625" style="3" customWidth="1"/>
    <col min="10197" max="10201" width="11" style="3"/>
    <col min="10202" max="10214" width="4.7109375" style="3" customWidth="1"/>
    <col min="10215" max="10424" width="11" style="3"/>
    <col min="10425" max="10425" width="0.7109375" style="3" customWidth="1"/>
    <col min="10426" max="10426" width="6.5703125" style="3" customWidth="1"/>
    <col min="10427" max="10427" width="13.5703125" style="3" customWidth="1"/>
    <col min="10428" max="10428" width="13.42578125" style="3" customWidth="1"/>
    <col min="10429" max="10430" width="12.5703125" style="3" customWidth="1"/>
    <col min="10431" max="10431" width="14.85546875" style="3" customWidth="1"/>
    <col min="10432" max="10432" width="20.7109375" style="3" customWidth="1"/>
    <col min="10433" max="10433" width="12.5703125" style="3" customWidth="1"/>
    <col min="10434" max="10434" width="13" style="3" customWidth="1"/>
    <col min="10435" max="10435" width="16" style="3" customWidth="1"/>
    <col min="10436" max="10436" width="6.42578125" style="3" customWidth="1"/>
    <col min="10437" max="10437" width="16" style="3" customWidth="1"/>
    <col min="10438" max="10438" width="2.85546875" style="3" customWidth="1"/>
    <col min="10439" max="10439" width="0.85546875" style="3" customWidth="1"/>
    <col min="10440" max="10440" width="11" style="3"/>
    <col min="10441" max="10441" width="15.42578125" style="3" customWidth="1"/>
    <col min="10442" max="10444" width="14.85546875" style="3" customWidth="1"/>
    <col min="10445" max="10445" width="0.7109375" style="3" customWidth="1"/>
    <col min="10446" max="10446" width="11" style="3"/>
    <col min="10447" max="10447" width="15.7109375" style="3" customWidth="1"/>
    <col min="10448" max="10449" width="14.85546875" style="3" customWidth="1"/>
    <col min="10450" max="10450" width="3.28515625" style="3" customWidth="1"/>
    <col min="10451" max="10451" width="20.140625" style="3" customWidth="1"/>
    <col min="10452" max="10452" width="3.28515625" style="3" customWidth="1"/>
    <col min="10453" max="10457" width="11" style="3"/>
    <col min="10458" max="10470" width="4.7109375" style="3" customWidth="1"/>
    <col min="10471" max="10680" width="11" style="3"/>
    <col min="10681" max="10681" width="0.7109375" style="3" customWidth="1"/>
    <col min="10682" max="10682" width="6.5703125" style="3" customWidth="1"/>
    <col min="10683" max="10683" width="13.5703125" style="3" customWidth="1"/>
    <col min="10684" max="10684" width="13.42578125" style="3" customWidth="1"/>
    <col min="10685" max="10686" width="12.5703125" style="3" customWidth="1"/>
    <col min="10687" max="10687" width="14.85546875" style="3" customWidth="1"/>
    <col min="10688" max="10688" width="20.7109375" style="3" customWidth="1"/>
    <col min="10689" max="10689" width="12.5703125" style="3" customWidth="1"/>
    <col min="10690" max="10690" width="13" style="3" customWidth="1"/>
    <col min="10691" max="10691" width="16" style="3" customWidth="1"/>
    <col min="10692" max="10692" width="6.42578125" style="3" customWidth="1"/>
    <col min="10693" max="10693" width="16" style="3" customWidth="1"/>
    <col min="10694" max="10694" width="2.85546875" style="3" customWidth="1"/>
    <col min="10695" max="10695" width="0.85546875" style="3" customWidth="1"/>
    <col min="10696" max="10696" width="11" style="3"/>
    <col min="10697" max="10697" width="15.42578125" style="3" customWidth="1"/>
    <col min="10698" max="10700" width="14.85546875" style="3" customWidth="1"/>
    <col min="10701" max="10701" width="0.7109375" style="3" customWidth="1"/>
    <col min="10702" max="10702" width="11" style="3"/>
    <col min="10703" max="10703" width="15.7109375" style="3" customWidth="1"/>
    <col min="10704" max="10705" width="14.85546875" style="3" customWidth="1"/>
    <col min="10706" max="10706" width="3.28515625" style="3" customWidth="1"/>
    <col min="10707" max="10707" width="20.140625" style="3" customWidth="1"/>
    <col min="10708" max="10708" width="3.28515625" style="3" customWidth="1"/>
    <col min="10709" max="10713" width="11" style="3"/>
    <col min="10714" max="10726" width="4.7109375" style="3" customWidth="1"/>
    <col min="10727" max="10936" width="11" style="3"/>
    <col min="10937" max="10937" width="0.7109375" style="3" customWidth="1"/>
    <col min="10938" max="10938" width="6.5703125" style="3" customWidth="1"/>
    <col min="10939" max="10939" width="13.5703125" style="3" customWidth="1"/>
    <col min="10940" max="10940" width="13.42578125" style="3" customWidth="1"/>
    <col min="10941" max="10942" width="12.5703125" style="3" customWidth="1"/>
    <col min="10943" max="10943" width="14.85546875" style="3" customWidth="1"/>
    <col min="10944" max="10944" width="20.7109375" style="3" customWidth="1"/>
    <col min="10945" max="10945" width="12.5703125" style="3" customWidth="1"/>
    <col min="10946" max="10946" width="13" style="3" customWidth="1"/>
    <col min="10947" max="10947" width="16" style="3" customWidth="1"/>
    <col min="10948" max="10948" width="6.42578125" style="3" customWidth="1"/>
    <col min="10949" max="10949" width="16" style="3" customWidth="1"/>
    <col min="10950" max="10950" width="2.85546875" style="3" customWidth="1"/>
    <col min="10951" max="10951" width="0.85546875" style="3" customWidth="1"/>
    <col min="10952" max="10952" width="11" style="3"/>
    <col min="10953" max="10953" width="15.42578125" style="3" customWidth="1"/>
    <col min="10954" max="10956" width="14.85546875" style="3" customWidth="1"/>
    <col min="10957" max="10957" width="0.7109375" style="3" customWidth="1"/>
    <col min="10958" max="10958" width="11" style="3"/>
    <col min="10959" max="10959" width="15.7109375" style="3" customWidth="1"/>
    <col min="10960" max="10961" width="14.85546875" style="3" customWidth="1"/>
    <col min="10962" max="10962" width="3.28515625" style="3" customWidth="1"/>
    <col min="10963" max="10963" width="20.140625" style="3" customWidth="1"/>
    <col min="10964" max="10964" width="3.28515625" style="3" customWidth="1"/>
    <col min="10965" max="10969" width="11" style="3"/>
    <col min="10970" max="10982" width="4.7109375" style="3" customWidth="1"/>
    <col min="10983" max="11192" width="11" style="3"/>
    <col min="11193" max="11193" width="0.7109375" style="3" customWidth="1"/>
    <col min="11194" max="11194" width="6.5703125" style="3" customWidth="1"/>
    <col min="11195" max="11195" width="13.5703125" style="3" customWidth="1"/>
    <col min="11196" max="11196" width="13.42578125" style="3" customWidth="1"/>
    <col min="11197" max="11198" width="12.5703125" style="3" customWidth="1"/>
    <col min="11199" max="11199" width="14.85546875" style="3" customWidth="1"/>
    <col min="11200" max="11200" width="20.7109375" style="3" customWidth="1"/>
    <col min="11201" max="11201" width="12.5703125" style="3" customWidth="1"/>
    <col min="11202" max="11202" width="13" style="3" customWidth="1"/>
    <col min="11203" max="11203" width="16" style="3" customWidth="1"/>
    <col min="11204" max="11204" width="6.42578125" style="3" customWidth="1"/>
    <col min="11205" max="11205" width="16" style="3" customWidth="1"/>
    <col min="11206" max="11206" width="2.85546875" style="3" customWidth="1"/>
    <col min="11207" max="11207" width="0.85546875" style="3" customWidth="1"/>
    <col min="11208" max="11208" width="11" style="3"/>
    <col min="11209" max="11209" width="15.42578125" style="3" customWidth="1"/>
    <col min="11210" max="11212" width="14.85546875" style="3" customWidth="1"/>
    <col min="11213" max="11213" width="0.7109375" style="3" customWidth="1"/>
    <col min="11214" max="11214" width="11" style="3"/>
    <col min="11215" max="11215" width="15.7109375" style="3" customWidth="1"/>
    <col min="11216" max="11217" width="14.85546875" style="3" customWidth="1"/>
    <col min="11218" max="11218" width="3.28515625" style="3" customWidth="1"/>
    <col min="11219" max="11219" width="20.140625" style="3" customWidth="1"/>
    <col min="11220" max="11220" width="3.28515625" style="3" customWidth="1"/>
    <col min="11221" max="11225" width="11" style="3"/>
    <col min="11226" max="11238" width="4.7109375" style="3" customWidth="1"/>
    <col min="11239" max="11448" width="11" style="3"/>
    <col min="11449" max="11449" width="0.7109375" style="3" customWidth="1"/>
    <col min="11450" max="11450" width="6.5703125" style="3" customWidth="1"/>
    <col min="11451" max="11451" width="13.5703125" style="3" customWidth="1"/>
    <col min="11452" max="11452" width="13.42578125" style="3" customWidth="1"/>
    <col min="11453" max="11454" width="12.5703125" style="3" customWidth="1"/>
    <col min="11455" max="11455" width="14.85546875" style="3" customWidth="1"/>
    <col min="11456" max="11456" width="20.7109375" style="3" customWidth="1"/>
    <col min="11457" max="11457" width="12.5703125" style="3" customWidth="1"/>
    <col min="11458" max="11458" width="13" style="3" customWidth="1"/>
    <col min="11459" max="11459" width="16" style="3" customWidth="1"/>
    <col min="11460" max="11460" width="6.42578125" style="3" customWidth="1"/>
    <col min="11461" max="11461" width="16" style="3" customWidth="1"/>
    <col min="11462" max="11462" width="2.85546875" style="3" customWidth="1"/>
    <col min="11463" max="11463" width="0.85546875" style="3" customWidth="1"/>
    <col min="11464" max="11464" width="11" style="3"/>
    <col min="11465" max="11465" width="15.42578125" style="3" customWidth="1"/>
    <col min="11466" max="11468" width="14.85546875" style="3" customWidth="1"/>
    <col min="11469" max="11469" width="0.7109375" style="3" customWidth="1"/>
    <col min="11470" max="11470" width="11" style="3"/>
    <col min="11471" max="11471" width="15.7109375" style="3" customWidth="1"/>
    <col min="11472" max="11473" width="14.85546875" style="3" customWidth="1"/>
    <col min="11474" max="11474" width="3.28515625" style="3" customWidth="1"/>
    <col min="11475" max="11475" width="20.140625" style="3" customWidth="1"/>
    <col min="11476" max="11476" width="3.28515625" style="3" customWidth="1"/>
    <col min="11477" max="11481" width="11" style="3"/>
    <col min="11482" max="11494" width="4.7109375" style="3" customWidth="1"/>
    <col min="11495" max="11704" width="11" style="3"/>
    <col min="11705" max="11705" width="0.7109375" style="3" customWidth="1"/>
    <col min="11706" max="11706" width="6.5703125" style="3" customWidth="1"/>
    <col min="11707" max="11707" width="13.5703125" style="3" customWidth="1"/>
    <col min="11708" max="11708" width="13.42578125" style="3" customWidth="1"/>
    <col min="11709" max="11710" width="12.5703125" style="3" customWidth="1"/>
    <col min="11711" max="11711" width="14.85546875" style="3" customWidth="1"/>
    <col min="11712" max="11712" width="20.7109375" style="3" customWidth="1"/>
    <col min="11713" max="11713" width="12.5703125" style="3" customWidth="1"/>
    <col min="11714" max="11714" width="13" style="3" customWidth="1"/>
    <col min="11715" max="11715" width="16" style="3" customWidth="1"/>
    <col min="11716" max="11716" width="6.42578125" style="3" customWidth="1"/>
    <col min="11717" max="11717" width="16" style="3" customWidth="1"/>
    <col min="11718" max="11718" width="2.85546875" style="3" customWidth="1"/>
    <col min="11719" max="11719" width="0.85546875" style="3" customWidth="1"/>
    <col min="11720" max="11720" width="11" style="3"/>
    <col min="11721" max="11721" width="15.42578125" style="3" customWidth="1"/>
    <col min="11722" max="11724" width="14.85546875" style="3" customWidth="1"/>
    <col min="11725" max="11725" width="0.7109375" style="3" customWidth="1"/>
    <col min="11726" max="11726" width="11" style="3"/>
    <col min="11727" max="11727" width="15.7109375" style="3" customWidth="1"/>
    <col min="11728" max="11729" width="14.85546875" style="3" customWidth="1"/>
    <col min="11730" max="11730" width="3.28515625" style="3" customWidth="1"/>
    <col min="11731" max="11731" width="20.140625" style="3" customWidth="1"/>
    <col min="11732" max="11732" width="3.28515625" style="3" customWidth="1"/>
    <col min="11733" max="11737" width="11" style="3"/>
    <col min="11738" max="11750" width="4.7109375" style="3" customWidth="1"/>
    <col min="11751" max="11960" width="11" style="3"/>
    <col min="11961" max="11961" width="0.7109375" style="3" customWidth="1"/>
    <col min="11962" max="11962" width="6.5703125" style="3" customWidth="1"/>
    <col min="11963" max="11963" width="13.5703125" style="3" customWidth="1"/>
    <col min="11964" max="11964" width="13.42578125" style="3" customWidth="1"/>
    <col min="11965" max="11966" width="12.5703125" style="3" customWidth="1"/>
    <col min="11967" max="11967" width="14.85546875" style="3" customWidth="1"/>
    <col min="11968" max="11968" width="20.7109375" style="3" customWidth="1"/>
    <col min="11969" max="11969" width="12.5703125" style="3" customWidth="1"/>
    <col min="11970" max="11970" width="13" style="3" customWidth="1"/>
    <col min="11971" max="11971" width="16" style="3" customWidth="1"/>
    <col min="11972" max="11972" width="6.42578125" style="3" customWidth="1"/>
    <col min="11973" max="11973" width="16" style="3" customWidth="1"/>
    <col min="11974" max="11974" width="2.85546875" style="3" customWidth="1"/>
    <col min="11975" max="11975" width="0.85546875" style="3" customWidth="1"/>
    <col min="11976" max="11976" width="11" style="3"/>
    <col min="11977" max="11977" width="15.42578125" style="3" customWidth="1"/>
    <col min="11978" max="11980" width="14.85546875" style="3" customWidth="1"/>
    <col min="11981" max="11981" width="0.7109375" style="3" customWidth="1"/>
    <col min="11982" max="11982" width="11" style="3"/>
    <col min="11983" max="11983" width="15.7109375" style="3" customWidth="1"/>
    <col min="11984" max="11985" width="14.85546875" style="3" customWidth="1"/>
    <col min="11986" max="11986" width="3.28515625" style="3" customWidth="1"/>
    <col min="11987" max="11987" width="20.140625" style="3" customWidth="1"/>
    <col min="11988" max="11988" width="3.28515625" style="3" customWidth="1"/>
    <col min="11989" max="11993" width="11" style="3"/>
    <col min="11994" max="12006" width="4.7109375" style="3" customWidth="1"/>
    <col min="12007" max="12216" width="11" style="3"/>
    <col min="12217" max="12217" width="0.7109375" style="3" customWidth="1"/>
    <col min="12218" max="12218" width="6.5703125" style="3" customWidth="1"/>
    <col min="12219" max="12219" width="13.5703125" style="3" customWidth="1"/>
    <col min="12220" max="12220" width="13.42578125" style="3" customWidth="1"/>
    <col min="12221" max="12222" width="12.5703125" style="3" customWidth="1"/>
    <col min="12223" max="12223" width="14.85546875" style="3" customWidth="1"/>
    <col min="12224" max="12224" width="20.7109375" style="3" customWidth="1"/>
    <col min="12225" max="12225" width="12.5703125" style="3" customWidth="1"/>
    <col min="12226" max="12226" width="13" style="3" customWidth="1"/>
    <col min="12227" max="12227" width="16" style="3" customWidth="1"/>
    <col min="12228" max="12228" width="6.42578125" style="3" customWidth="1"/>
    <col min="12229" max="12229" width="16" style="3" customWidth="1"/>
    <col min="12230" max="12230" width="2.85546875" style="3" customWidth="1"/>
    <col min="12231" max="12231" width="0.85546875" style="3" customWidth="1"/>
    <col min="12232" max="12232" width="11" style="3"/>
    <col min="12233" max="12233" width="15.42578125" style="3" customWidth="1"/>
    <col min="12234" max="12236" width="14.85546875" style="3" customWidth="1"/>
    <col min="12237" max="12237" width="0.7109375" style="3" customWidth="1"/>
    <col min="12238" max="12238" width="11" style="3"/>
    <col min="12239" max="12239" width="15.7109375" style="3" customWidth="1"/>
    <col min="12240" max="12241" width="14.85546875" style="3" customWidth="1"/>
    <col min="12242" max="12242" width="3.28515625" style="3" customWidth="1"/>
    <col min="12243" max="12243" width="20.140625" style="3" customWidth="1"/>
    <col min="12244" max="12244" width="3.28515625" style="3" customWidth="1"/>
    <col min="12245" max="12249" width="11" style="3"/>
    <col min="12250" max="12262" width="4.7109375" style="3" customWidth="1"/>
    <col min="12263" max="12472" width="11" style="3"/>
    <col min="12473" max="12473" width="0.7109375" style="3" customWidth="1"/>
    <col min="12474" max="12474" width="6.5703125" style="3" customWidth="1"/>
    <col min="12475" max="12475" width="13.5703125" style="3" customWidth="1"/>
    <col min="12476" max="12476" width="13.42578125" style="3" customWidth="1"/>
    <col min="12477" max="12478" width="12.5703125" style="3" customWidth="1"/>
    <col min="12479" max="12479" width="14.85546875" style="3" customWidth="1"/>
    <col min="12480" max="12480" width="20.7109375" style="3" customWidth="1"/>
    <col min="12481" max="12481" width="12.5703125" style="3" customWidth="1"/>
    <col min="12482" max="12482" width="13" style="3" customWidth="1"/>
    <col min="12483" max="12483" width="16" style="3" customWidth="1"/>
    <col min="12484" max="12484" width="6.42578125" style="3" customWidth="1"/>
    <col min="12485" max="12485" width="16" style="3" customWidth="1"/>
    <col min="12486" max="12486" width="2.85546875" style="3" customWidth="1"/>
    <col min="12487" max="12487" width="0.85546875" style="3" customWidth="1"/>
    <col min="12488" max="12488" width="11" style="3"/>
    <col min="12489" max="12489" width="15.42578125" style="3" customWidth="1"/>
    <col min="12490" max="12492" width="14.85546875" style="3" customWidth="1"/>
    <col min="12493" max="12493" width="0.7109375" style="3" customWidth="1"/>
    <col min="12494" max="12494" width="11" style="3"/>
    <col min="12495" max="12495" width="15.7109375" style="3" customWidth="1"/>
    <col min="12496" max="12497" width="14.85546875" style="3" customWidth="1"/>
    <col min="12498" max="12498" width="3.28515625" style="3" customWidth="1"/>
    <col min="12499" max="12499" width="20.140625" style="3" customWidth="1"/>
    <col min="12500" max="12500" width="3.28515625" style="3" customWidth="1"/>
    <col min="12501" max="12505" width="11" style="3"/>
    <col min="12506" max="12518" width="4.7109375" style="3" customWidth="1"/>
    <col min="12519" max="12728" width="11" style="3"/>
    <col min="12729" max="12729" width="0.7109375" style="3" customWidth="1"/>
    <col min="12730" max="12730" width="6.5703125" style="3" customWidth="1"/>
    <col min="12731" max="12731" width="13.5703125" style="3" customWidth="1"/>
    <col min="12732" max="12732" width="13.42578125" style="3" customWidth="1"/>
    <col min="12733" max="12734" width="12.5703125" style="3" customWidth="1"/>
    <col min="12735" max="12735" width="14.85546875" style="3" customWidth="1"/>
    <col min="12736" max="12736" width="20.7109375" style="3" customWidth="1"/>
    <col min="12737" max="12737" width="12.5703125" style="3" customWidth="1"/>
    <col min="12738" max="12738" width="13" style="3" customWidth="1"/>
    <col min="12739" max="12739" width="16" style="3" customWidth="1"/>
    <col min="12740" max="12740" width="6.42578125" style="3" customWidth="1"/>
    <col min="12741" max="12741" width="16" style="3" customWidth="1"/>
    <col min="12742" max="12742" width="2.85546875" style="3" customWidth="1"/>
    <col min="12743" max="12743" width="0.85546875" style="3" customWidth="1"/>
    <col min="12744" max="12744" width="11" style="3"/>
    <col min="12745" max="12745" width="15.42578125" style="3" customWidth="1"/>
    <col min="12746" max="12748" width="14.85546875" style="3" customWidth="1"/>
    <col min="12749" max="12749" width="0.7109375" style="3" customWidth="1"/>
    <col min="12750" max="12750" width="11" style="3"/>
    <col min="12751" max="12751" width="15.7109375" style="3" customWidth="1"/>
    <col min="12752" max="12753" width="14.85546875" style="3" customWidth="1"/>
    <col min="12754" max="12754" width="3.28515625" style="3" customWidth="1"/>
    <col min="12755" max="12755" width="20.140625" style="3" customWidth="1"/>
    <col min="12756" max="12756" width="3.28515625" style="3" customWidth="1"/>
    <col min="12757" max="12761" width="11" style="3"/>
    <col min="12762" max="12774" width="4.7109375" style="3" customWidth="1"/>
    <col min="12775" max="12984" width="11" style="3"/>
    <col min="12985" max="12985" width="0.7109375" style="3" customWidth="1"/>
    <col min="12986" max="12986" width="6.5703125" style="3" customWidth="1"/>
    <col min="12987" max="12987" width="13.5703125" style="3" customWidth="1"/>
    <col min="12988" max="12988" width="13.42578125" style="3" customWidth="1"/>
    <col min="12989" max="12990" width="12.5703125" style="3" customWidth="1"/>
    <col min="12991" max="12991" width="14.85546875" style="3" customWidth="1"/>
    <col min="12992" max="12992" width="20.7109375" style="3" customWidth="1"/>
    <col min="12993" max="12993" width="12.5703125" style="3" customWidth="1"/>
    <col min="12994" max="12994" width="13" style="3" customWidth="1"/>
    <col min="12995" max="12995" width="16" style="3" customWidth="1"/>
    <col min="12996" max="12996" width="6.42578125" style="3" customWidth="1"/>
    <col min="12997" max="12997" width="16" style="3" customWidth="1"/>
    <col min="12998" max="12998" width="2.85546875" style="3" customWidth="1"/>
    <col min="12999" max="12999" width="0.85546875" style="3" customWidth="1"/>
    <col min="13000" max="13000" width="11" style="3"/>
    <col min="13001" max="13001" width="15.42578125" style="3" customWidth="1"/>
    <col min="13002" max="13004" width="14.85546875" style="3" customWidth="1"/>
    <col min="13005" max="13005" width="0.7109375" style="3" customWidth="1"/>
    <col min="13006" max="13006" width="11" style="3"/>
    <col min="13007" max="13007" width="15.7109375" style="3" customWidth="1"/>
    <col min="13008" max="13009" width="14.85546875" style="3" customWidth="1"/>
    <col min="13010" max="13010" width="3.28515625" style="3" customWidth="1"/>
    <col min="13011" max="13011" width="20.140625" style="3" customWidth="1"/>
    <col min="13012" max="13012" width="3.28515625" style="3" customWidth="1"/>
    <col min="13013" max="13017" width="11" style="3"/>
    <col min="13018" max="13030" width="4.7109375" style="3" customWidth="1"/>
    <col min="13031" max="13240" width="11" style="3"/>
    <col min="13241" max="13241" width="0.7109375" style="3" customWidth="1"/>
    <col min="13242" max="13242" width="6.5703125" style="3" customWidth="1"/>
    <col min="13243" max="13243" width="13.5703125" style="3" customWidth="1"/>
    <col min="13244" max="13244" width="13.42578125" style="3" customWidth="1"/>
    <col min="13245" max="13246" width="12.5703125" style="3" customWidth="1"/>
    <col min="13247" max="13247" width="14.85546875" style="3" customWidth="1"/>
    <col min="13248" max="13248" width="20.7109375" style="3" customWidth="1"/>
    <col min="13249" max="13249" width="12.5703125" style="3" customWidth="1"/>
    <col min="13250" max="13250" width="13" style="3" customWidth="1"/>
    <col min="13251" max="13251" width="16" style="3" customWidth="1"/>
    <col min="13252" max="13252" width="6.42578125" style="3" customWidth="1"/>
    <col min="13253" max="13253" width="16" style="3" customWidth="1"/>
    <col min="13254" max="13254" width="2.85546875" style="3" customWidth="1"/>
    <col min="13255" max="13255" width="0.85546875" style="3" customWidth="1"/>
    <col min="13256" max="13256" width="11" style="3"/>
    <col min="13257" max="13257" width="15.42578125" style="3" customWidth="1"/>
    <col min="13258" max="13260" width="14.85546875" style="3" customWidth="1"/>
    <col min="13261" max="13261" width="0.7109375" style="3" customWidth="1"/>
    <col min="13262" max="13262" width="11" style="3"/>
    <col min="13263" max="13263" width="15.7109375" style="3" customWidth="1"/>
    <col min="13264" max="13265" width="14.85546875" style="3" customWidth="1"/>
    <col min="13266" max="13266" width="3.28515625" style="3" customWidth="1"/>
    <col min="13267" max="13267" width="20.140625" style="3" customWidth="1"/>
    <col min="13268" max="13268" width="3.28515625" style="3" customWidth="1"/>
    <col min="13269" max="13273" width="11" style="3"/>
    <col min="13274" max="13286" width="4.7109375" style="3" customWidth="1"/>
    <col min="13287" max="13496" width="11" style="3"/>
    <col min="13497" max="13497" width="0.7109375" style="3" customWidth="1"/>
    <col min="13498" max="13498" width="6.5703125" style="3" customWidth="1"/>
    <col min="13499" max="13499" width="13.5703125" style="3" customWidth="1"/>
    <col min="13500" max="13500" width="13.42578125" style="3" customWidth="1"/>
    <col min="13501" max="13502" width="12.5703125" style="3" customWidth="1"/>
    <col min="13503" max="13503" width="14.85546875" style="3" customWidth="1"/>
    <col min="13504" max="13504" width="20.7109375" style="3" customWidth="1"/>
    <col min="13505" max="13505" width="12.5703125" style="3" customWidth="1"/>
    <col min="13506" max="13506" width="13" style="3" customWidth="1"/>
    <col min="13507" max="13507" width="16" style="3" customWidth="1"/>
    <col min="13508" max="13508" width="6.42578125" style="3" customWidth="1"/>
    <col min="13509" max="13509" width="16" style="3" customWidth="1"/>
    <col min="13510" max="13510" width="2.85546875" style="3" customWidth="1"/>
    <col min="13511" max="13511" width="0.85546875" style="3" customWidth="1"/>
    <col min="13512" max="13512" width="11" style="3"/>
    <col min="13513" max="13513" width="15.42578125" style="3" customWidth="1"/>
    <col min="13514" max="13516" width="14.85546875" style="3" customWidth="1"/>
    <col min="13517" max="13517" width="0.7109375" style="3" customWidth="1"/>
    <col min="13518" max="13518" width="11" style="3"/>
    <col min="13519" max="13519" width="15.7109375" style="3" customWidth="1"/>
    <col min="13520" max="13521" width="14.85546875" style="3" customWidth="1"/>
    <col min="13522" max="13522" width="3.28515625" style="3" customWidth="1"/>
    <col min="13523" max="13523" width="20.140625" style="3" customWidth="1"/>
    <col min="13524" max="13524" width="3.28515625" style="3" customWidth="1"/>
    <col min="13525" max="13529" width="11" style="3"/>
    <col min="13530" max="13542" width="4.7109375" style="3" customWidth="1"/>
    <col min="13543" max="13752" width="11" style="3"/>
    <col min="13753" max="13753" width="0.7109375" style="3" customWidth="1"/>
    <col min="13754" max="13754" width="6.5703125" style="3" customWidth="1"/>
    <col min="13755" max="13755" width="13.5703125" style="3" customWidth="1"/>
    <col min="13756" max="13756" width="13.42578125" style="3" customWidth="1"/>
    <col min="13757" max="13758" width="12.5703125" style="3" customWidth="1"/>
    <col min="13759" max="13759" width="14.85546875" style="3" customWidth="1"/>
    <col min="13760" max="13760" width="20.7109375" style="3" customWidth="1"/>
    <col min="13761" max="13761" width="12.5703125" style="3" customWidth="1"/>
    <col min="13762" max="13762" width="13" style="3" customWidth="1"/>
    <col min="13763" max="13763" width="16" style="3" customWidth="1"/>
    <col min="13764" max="13764" width="6.42578125" style="3" customWidth="1"/>
    <col min="13765" max="13765" width="16" style="3" customWidth="1"/>
    <col min="13766" max="13766" width="2.85546875" style="3" customWidth="1"/>
    <col min="13767" max="13767" width="0.85546875" style="3" customWidth="1"/>
    <col min="13768" max="13768" width="11" style="3"/>
    <col min="13769" max="13769" width="15.42578125" style="3" customWidth="1"/>
    <col min="13770" max="13772" width="14.85546875" style="3" customWidth="1"/>
    <col min="13773" max="13773" width="0.7109375" style="3" customWidth="1"/>
    <col min="13774" max="13774" width="11" style="3"/>
    <col min="13775" max="13775" width="15.7109375" style="3" customWidth="1"/>
    <col min="13776" max="13777" width="14.85546875" style="3" customWidth="1"/>
    <col min="13778" max="13778" width="3.28515625" style="3" customWidth="1"/>
    <col min="13779" max="13779" width="20.140625" style="3" customWidth="1"/>
    <col min="13780" max="13780" width="3.28515625" style="3" customWidth="1"/>
    <col min="13781" max="13785" width="11" style="3"/>
    <col min="13786" max="13798" width="4.7109375" style="3" customWidth="1"/>
    <col min="13799" max="14008" width="11" style="3"/>
    <col min="14009" max="14009" width="0.7109375" style="3" customWidth="1"/>
    <col min="14010" max="14010" width="6.5703125" style="3" customWidth="1"/>
    <col min="14011" max="14011" width="13.5703125" style="3" customWidth="1"/>
    <col min="14012" max="14012" width="13.42578125" style="3" customWidth="1"/>
    <col min="14013" max="14014" width="12.5703125" style="3" customWidth="1"/>
    <col min="14015" max="14015" width="14.85546875" style="3" customWidth="1"/>
    <col min="14016" max="14016" width="20.7109375" style="3" customWidth="1"/>
    <col min="14017" max="14017" width="12.5703125" style="3" customWidth="1"/>
    <col min="14018" max="14018" width="13" style="3" customWidth="1"/>
    <col min="14019" max="14019" width="16" style="3" customWidth="1"/>
    <col min="14020" max="14020" width="6.42578125" style="3" customWidth="1"/>
    <col min="14021" max="14021" width="16" style="3" customWidth="1"/>
    <col min="14022" max="14022" width="2.85546875" style="3" customWidth="1"/>
    <col min="14023" max="14023" width="0.85546875" style="3" customWidth="1"/>
    <col min="14024" max="14024" width="11" style="3"/>
    <col min="14025" max="14025" width="15.42578125" style="3" customWidth="1"/>
    <col min="14026" max="14028" width="14.85546875" style="3" customWidth="1"/>
    <col min="14029" max="14029" width="0.7109375" style="3" customWidth="1"/>
    <col min="14030" max="14030" width="11" style="3"/>
    <col min="14031" max="14031" width="15.7109375" style="3" customWidth="1"/>
    <col min="14032" max="14033" width="14.85546875" style="3" customWidth="1"/>
    <col min="14034" max="14034" width="3.28515625" style="3" customWidth="1"/>
    <col min="14035" max="14035" width="20.140625" style="3" customWidth="1"/>
    <col min="14036" max="14036" width="3.28515625" style="3" customWidth="1"/>
    <col min="14037" max="14041" width="11" style="3"/>
    <col min="14042" max="14054" width="4.7109375" style="3" customWidth="1"/>
    <col min="14055" max="14264" width="11" style="3"/>
    <col min="14265" max="14265" width="0.7109375" style="3" customWidth="1"/>
    <col min="14266" max="14266" width="6.5703125" style="3" customWidth="1"/>
    <col min="14267" max="14267" width="13.5703125" style="3" customWidth="1"/>
    <col min="14268" max="14268" width="13.42578125" style="3" customWidth="1"/>
    <col min="14269" max="14270" width="12.5703125" style="3" customWidth="1"/>
    <col min="14271" max="14271" width="14.85546875" style="3" customWidth="1"/>
    <col min="14272" max="14272" width="20.7109375" style="3" customWidth="1"/>
    <col min="14273" max="14273" width="12.5703125" style="3" customWidth="1"/>
    <col min="14274" max="14274" width="13" style="3" customWidth="1"/>
    <col min="14275" max="14275" width="16" style="3" customWidth="1"/>
    <col min="14276" max="14276" width="6.42578125" style="3" customWidth="1"/>
    <col min="14277" max="14277" width="16" style="3" customWidth="1"/>
    <col min="14278" max="14278" width="2.85546875" style="3" customWidth="1"/>
    <col min="14279" max="14279" width="0.85546875" style="3" customWidth="1"/>
    <col min="14280" max="14280" width="11" style="3"/>
    <col min="14281" max="14281" width="15.42578125" style="3" customWidth="1"/>
    <col min="14282" max="14284" width="14.85546875" style="3" customWidth="1"/>
    <col min="14285" max="14285" width="0.7109375" style="3" customWidth="1"/>
    <col min="14286" max="14286" width="11" style="3"/>
    <col min="14287" max="14287" width="15.7109375" style="3" customWidth="1"/>
    <col min="14288" max="14289" width="14.85546875" style="3" customWidth="1"/>
    <col min="14290" max="14290" width="3.28515625" style="3" customWidth="1"/>
    <col min="14291" max="14291" width="20.140625" style="3" customWidth="1"/>
    <col min="14292" max="14292" width="3.28515625" style="3" customWidth="1"/>
    <col min="14293" max="14297" width="11" style="3"/>
    <col min="14298" max="14310" width="4.7109375" style="3" customWidth="1"/>
    <col min="14311" max="14520" width="11" style="3"/>
    <col min="14521" max="14521" width="0.7109375" style="3" customWidth="1"/>
    <col min="14522" max="14522" width="6.5703125" style="3" customWidth="1"/>
    <col min="14523" max="14523" width="13.5703125" style="3" customWidth="1"/>
    <col min="14524" max="14524" width="13.42578125" style="3" customWidth="1"/>
    <col min="14525" max="14526" width="12.5703125" style="3" customWidth="1"/>
    <col min="14527" max="14527" width="14.85546875" style="3" customWidth="1"/>
    <col min="14528" max="14528" width="20.7109375" style="3" customWidth="1"/>
    <col min="14529" max="14529" width="12.5703125" style="3" customWidth="1"/>
    <col min="14530" max="14530" width="13" style="3" customWidth="1"/>
    <col min="14531" max="14531" width="16" style="3" customWidth="1"/>
    <col min="14532" max="14532" width="6.42578125" style="3" customWidth="1"/>
    <col min="14533" max="14533" width="16" style="3" customWidth="1"/>
    <col min="14534" max="14534" width="2.85546875" style="3" customWidth="1"/>
    <col min="14535" max="14535" width="0.85546875" style="3" customWidth="1"/>
    <col min="14536" max="14536" width="11" style="3"/>
    <col min="14537" max="14537" width="15.42578125" style="3" customWidth="1"/>
    <col min="14538" max="14540" width="14.85546875" style="3" customWidth="1"/>
    <col min="14541" max="14541" width="0.7109375" style="3" customWidth="1"/>
    <col min="14542" max="14542" width="11" style="3"/>
    <col min="14543" max="14543" width="15.7109375" style="3" customWidth="1"/>
    <col min="14544" max="14545" width="14.85546875" style="3" customWidth="1"/>
    <col min="14546" max="14546" width="3.28515625" style="3" customWidth="1"/>
    <col min="14547" max="14547" width="20.140625" style="3" customWidth="1"/>
    <col min="14548" max="14548" width="3.28515625" style="3" customWidth="1"/>
    <col min="14549" max="14553" width="11" style="3"/>
    <col min="14554" max="14566" width="4.7109375" style="3" customWidth="1"/>
    <col min="14567" max="14776" width="11" style="3"/>
    <col min="14777" max="14777" width="0.7109375" style="3" customWidth="1"/>
    <col min="14778" max="14778" width="6.5703125" style="3" customWidth="1"/>
    <col min="14779" max="14779" width="13.5703125" style="3" customWidth="1"/>
    <col min="14780" max="14780" width="13.42578125" style="3" customWidth="1"/>
    <col min="14781" max="14782" width="12.5703125" style="3" customWidth="1"/>
    <col min="14783" max="14783" width="14.85546875" style="3" customWidth="1"/>
    <col min="14784" max="14784" width="20.7109375" style="3" customWidth="1"/>
    <col min="14785" max="14785" width="12.5703125" style="3" customWidth="1"/>
    <col min="14786" max="14786" width="13" style="3" customWidth="1"/>
    <col min="14787" max="14787" width="16" style="3" customWidth="1"/>
    <col min="14788" max="14788" width="6.42578125" style="3" customWidth="1"/>
    <col min="14789" max="14789" width="16" style="3" customWidth="1"/>
    <col min="14790" max="14790" width="2.85546875" style="3" customWidth="1"/>
    <col min="14791" max="14791" width="0.85546875" style="3" customWidth="1"/>
    <col min="14792" max="14792" width="11" style="3"/>
    <col min="14793" max="14793" width="15.42578125" style="3" customWidth="1"/>
    <col min="14794" max="14796" width="14.85546875" style="3" customWidth="1"/>
    <col min="14797" max="14797" width="0.7109375" style="3" customWidth="1"/>
    <col min="14798" max="14798" width="11" style="3"/>
    <col min="14799" max="14799" width="15.7109375" style="3" customWidth="1"/>
    <col min="14800" max="14801" width="14.85546875" style="3" customWidth="1"/>
    <col min="14802" max="14802" width="3.28515625" style="3" customWidth="1"/>
    <col min="14803" max="14803" width="20.140625" style="3" customWidth="1"/>
    <col min="14804" max="14804" width="3.28515625" style="3" customWidth="1"/>
    <col min="14805" max="14809" width="11" style="3"/>
    <col min="14810" max="14822" width="4.7109375" style="3" customWidth="1"/>
    <col min="14823" max="15032" width="11" style="3"/>
    <col min="15033" max="15033" width="0.7109375" style="3" customWidth="1"/>
    <col min="15034" max="15034" width="6.5703125" style="3" customWidth="1"/>
    <col min="15035" max="15035" width="13.5703125" style="3" customWidth="1"/>
    <col min="15036" max="15036" width="13.42578125" style="3" customWidth="1"/>
    <col min="15037" max="15038" width="12.5703125" style="3" customWidth="1"/>
    <col min="15039" max="15039" width="14.85546875" style="3" customWidth="1"/>
    <col min="15040" max="15040" width="20.7109375" style="3" customWidth="1"/>
    <col min="15041" max="15041" width="12.5703125" style="3" customWidth="1"/>
    <col min="15042" max="15042" width="13" style="3" customWidth="1"/>
    <col min="15043" max="15043" width="16" style="3" customWidth="1"/>
    <col min="15044" max="15044" width="6.42578125" style="3" customWidth="1"/>
    <col min="15045" max="15045" width="16" style="3" customWidth="1"/>
    <col min="15046" max="15046" width="2.85546875" style="3" customWidth="1"/>
    <col min="15047" max="15047" width="0.85546875" style="3" customWidth="1"/>
    <col min="15048" max="15048" width="11" style="3"/>
    <col min="15049" max="15049" width="15.42578125" style="3" customWidth="1"/>
    <col min="15050" max="15052" width="14.85546875" style="3" customWidth="1"/>
    <col min="15053" max="15053" width="0.7109375" style="3" customWidth="1"/>
    <col min="15054" max="15054" width="11" style="3"/>
    <col min="15055" max="15055" width="15.7109375" style="3" customWidth="1"/>
    <col min="15056" max="15057" width="14.85546875" style="3" customWidth="1"/>
    <col min="15058" max="15058" width="3.28515625" style="3" customWidth="1"/>
    <col min="15059" max="15059" width="20.140625" style="3" customWidth="1"/>
    <col min="15060" max="15060" width="3.28515625" style="3" customWidth="1"/>
    <col min="15061" max="15065" width="11" style="3"/>
    <col min="15066" max="15078" width="4.7109375" style="3" customWidth="1"/>
    <col min="15079" max="15288" width="11" style="3"/>
    <col min="15289" max="15289" width="0.7109375" style="3" customWidth="1"/>
    <col min="15290" max="15290" width="6.5703125" style="3" customWidth="1"/>
    <col min="15291" max="15291" width="13.5703125" style="3" customWidth="1"/>
    <col min="15292" max="15292" width="13.42578125" style="3" customWidth="1"/>
    <col min="15293" max="15294" width="12.5703125" style="3" customWidth="1"/>
    <col min="15295" max="15295" width="14.85546875" style="3" customWidth="1"/>
    <col min="15296" max="15296" width="20.7109375" style="3" customWidth="1"/>
    <col min="15297" max="15297" width="12.5703125" style="3" customWidth="1"/>
    <col min="15298" max="15298" width="13" style="3" customWidth="1"/>
    <col min="15299" max="15299" width="16" style="3" customWidth="1"/>
    <col min="15300" max="15300" width="6.42578125" style="3" customWidth="1"/>
    <col min="15301" max="15301" width="16" style="3" customWidth="1"/>
    <col min="15302" max="15302" width="2.85546875" style="3" customWidth="1"/>
    <col min="15303" max="15303" width="0.85546875" style="3" customWidth="1"/>
    <col min="15304" max="15304" width="11" style="3"/>
    <col min="15305" max="15305" width="15.42578125" style="3" customWidth="1"/>
    <col min="15306" max="15308" width="14.85546875" style="3" customWidth="1"/>
    <col min="15309" max="15309" width="0.7109375" style="3" customWidth="1"/>
    <col min="15310" max="15310" width="11" style="3"/>
    <col min="15311" max="15311" width="15.7109375" style="3" customWidth="1"/>
    <col min="15312" max="15313" width="14.85546875" style="3" customWidth="1"/>
    <col min="15314" max="15314" width="3.28515625" style="3" customWidth="1"/>
    <col min="15315" max="15315" width="20.140625" style="3" customWidth="1"/>
    <col min="15316" max="15316" width="3.28515625" style="3" customWidth="1"/>
    <col min="15317" max="15321" width="11" style="3"/>
    <col min="15322" max="15334" width="4.7109375" style="3" customWidth="1"/>
    <col min="15335" max="15544" width="11" style="3"/>
    <col min="15545" max="15545" width="0.7109375" style="3" customWidth="1"/>
    <col min="15546" max="15546" width="6.5703125" style="3" customWidth="1"/>
    <col min="15547" max="15547" width="13.5703125" style="3" customWidth="1"/>
    <col min="15548" max="15548" width="13.42578125" style="3" customWidth="1"/>
    <col min="15549" max="15550" width="12.5703125" style="3" customWidth="1"/>
    <col min="15551" max="15551" width="14.85546875" style="3" customWidth="1"/>
    <col min="15552" max="15552" width="20.7109375" style="3" customWidth="1"/>
    <col min="15553" max="15553" width="12.5703125" style="3" customWidth="1"/>
    <col min="15554" max="15554" width="13" style="3" customWidth="1"/>
    <col min="15555" max="15555" width="16" style="3" customWidth="1"/>
    <col min="15556" max="15556" width="6.42578125" style="3" customWidth="1"/>
    <col min="15557" max="15557" width="16" style="3" customWidth="1"/>
    <col min="15558" max="15558" width="2.85546875" style="3" customWidth="1"/>
    <col min="15559" max="15559" width="0.85546875" style="3" customWidth="1"/>
    <col min="15560" max="15560" width="11" style="3"/>
    <col min="15561" max="15561" width="15.42578125" style="3" customWidth="1"/>
    <col min="15562" max="15564" width="14.85546875" style="3" customWidth="1"/>
    <col min="15565" max="15565" width="0.7109375" style="3" customWidth="1"/>
    <col min="15566" max="15566" width="11" style="3"/>
    <col min="15567" max="15567" width="15.7109375" style="3" customWidth="1"/>
    <col min="15568" max="15569" width="14.85546875" style="3" customWidth="1"/>
    <col min="15570" max="15570" width="3.28515625" style="3" customWidth="1"/>
    <col min="15571" max="15571" width="20.140625" style="3" customWidth="1"/>
    <col min="15572" max="15572" width="3.28515625" style="3" customWidth="1"/>
    <col min="15573" max="15577" width="11" style="3"/>
    <col min="15578" max="15590" width="4.7109375" style="3" customWidth="1"/>
    <col min="15591" max="15800" width="11" style="3"/>
    <col min="15801" max="15801" width="0.7109375" style="3" customWidth="1"/>
    <col min="15802" max="15802" width="6.5703125" style="3" customWidth="1"/>
    <col min="15803" max="15803" width="13.5703125" style="3" customWidth="1"/>
    <col min="15804" max="15804" width="13.42578125" style="3" customWidth="1"/>
    <col min="15805" max="15806" width="12.5703125" style="3" customWidth="1"/>
    <col min="15807" max="15807" width="14.85546875" style="3" customWidth="1"/>
    <col min="15808" max="15808" width="20.7109375" style="3" customWidth="1"/>
    <col min="15809" max="15809" width="12.5703125" style="3" customWidth="1"/>
    <col min="15810" max="15810" width="13" style="3" customWidth="1"/>
    <col min="15811" max="15811" width="16" style="3" customWidth="1"/>
    <col min="15812" max="15812" width="6.42578125" style="3" customWidth="1"/>
    <col min="15813" max="15813" width="16" style="3" customWidth="1"/>
    <col min="15814" max="15814" width="2.85546875" style="3" customWidth="1"/>
    <col min="15815" max="15815" width="0.85546875" style="3" customWidth="1"/>
    <col min="15816" max="15816" width="11" style="3"/>
    <col min="15817" max="15817" width="15.42578125" style="3" customWidth="1"/>
    <col min="15818" max="15820" width="14.85546875" style="3" customWidth="1"/>
    <col min="15821" max="15821" width="0.7109375" style="3" customWidth="1"/>
    <col min="15822" max="15822" width="11" style="3"/>
    <col min="15823" max="15823" width="15.7109375" style="3" customWidth="1"/>
    <col min="15824" max="15825" width="14.85546875" style="3" customWidth="1"/>
    <col min="15826" max="15826" width="3.28515625" style="3" customWidth="1"/>
    <col min="15827" max="15827" width="20.140625" style="3" customWidth="1"/>
    <col min="15828" max="15828" width="3.28515625" style="3" customWidth="1"/>
    <col min="15829" max="15833" width="11" style="3"/>
    <col min="15834" max="15846" width="4.7109375" style="3" customWidth="1"/>
    <col min="15847" max="16056" width="11" style="3"/>
    <col min="16057" max="16057" width="0.7109375" style="3" customWidth="1"/>
    <col min="16058" max="16058" width="6.5703125" style="3" customWidth="1"/>
    <col min="16059" max="16059" width="13.5703125" style="3" customWidth="1"/>
    <col min="16060" max="16060" width="13.42578125" style="3" customWidth="1"/>
    <col min="16061" max="16062" width="12.5703125" style="3" customWidth="1"/>
    <col min="16063" max="16063" width="14.85546875" style="3" customWidth="1"/>
    <col min="16064" max="16064" width="20.7109375" style="3" customWidth="1"/>
    <col min="16065" max="16065" width="12.5703125" style="3" customWidth="1"/>
    <col min="16066" max="16066" width="13" style="3" customWidth="1"/>
    <col min="16067" max="16067" width="16" style="3" customWidth="1"/>
    <col min="16068" max="16068" width="6.42578125" style="3" customWidth="1"/>
    <col min="16069" max="16069" width="16" style="3" customWidth="1"/>
    <col min="16070" max="16070" width="2.85546875" style="3" customWidth="1"/>
    <col min="16071" max="16071" width="0.85546875" style="3" customWidth="1"/>
    <col min="16072" max="16072" width="11" style="3"/>
    <col min="16073" max="16073" width="15.42578125" style="3" customWidth="1"/>
    <col min="16074" max="16076" width="14.85546875" style="3" customWidth="1"/>
    <col min="16077" max="16077" width="0.7109375" style="3" customWidth="1"/>
    <col min="16078" max="16078" width="11" style="3"/>
    <col min="16079" max="16079" width="15.7109375" style="3" customWidth="1"/>
    <col min="16080" max="16081" width="14.85546875" style="3" customWidth="1"/>
    <col min="16082" max="16082" width="3.28515625" style="3" customWidth="1"/>
    <col min="16083" max="16083" width="20.140625" style="3" customWidth="1"/>
    <col min="16084" max="16084" width="3.28515625" style="3" customWidth="1"/>
    <col min="16085" max="16089" width="11" style="3"/>
    <col min="16090" max="16102" width="4.7109375" style="3" customWidth="1"/>
    <col min="16103" max="16384" width="11" style="3"/>
  </cols>
  <sheetData>
    <row r="1" spans="1:28" s="1" customFormat="1" ht="19.5" customHeight="1">
      <c r="A1" s="236"/>
      <c r="B1" s="237"/>
      <c r="C1" s="179" t="s">
        <v>0</v>
      </c>
      <c r="D1" s="179"/>
      <c r="E1" s="179"/>
      <c r="F1" s="179"/>
      <c r="G1" s="179"/>
      <c r="H1" s="179"/>
      <c r="I1" s="179"/>
      <c r="J1" s="179"/>
      <c r="K1" s="180" t="s">
        <v>1</v>
      </c>
      <c r="L1" s="181"/>
      <c r="O1" s="80"/>
      <c r="P1" s="80"/>
      <c r="Q1" s="80"/>
      <c r="R1" s="80"/>
      <c r="S1" s="80"/>
      <c r="T1" s="80"/>
      <c r="U1" s="80"/>
      <c r="V1" s="80"/>
      <c r="W1" s="80"/>
      <c r="X1" s="80"/>
      <c r="Y1" s="80"/>
      <c r="Z1" s="80"/>
      <c r="AA1" s="80"/>
    </row>
    <row r="2" spans="1:28" s="1" customFormat="1" ht="19.5" customHeight="1">
      <c r="A2" s="238"/>
      <c r="B2" s="186"/>
      <c r="C2" s="241" t="s">
        <v>2</v>
      </c>
      <c r="D2" s="241"/>
      <c r="E2" s="241"/>
      <c r="F2" s="241"/>
      <c r="G2" s="241"/>
      <c r="H2" s="241"/>
      <c r="I2" s="241"/>
      <c r="J2" s="241"/>
      <c r="K2" s="182" t="s">
        <v>89</v>
      </c>
      <c r="L2" s="183"/>
      <c r="O2" s="80"/>
      <c r="P2" s="80"/>
      <c r="Q2" s="80"/>
      <c r="R2" s="80"/>
      <c r="S2" s="80"/>
      <c r="T2" s="80"/>
      <c r="U2" s="80"/>
      <c r="V2" s="80"/>
      <c r="W2" s="80"/>
      <c r="X2" s="80"/>
      <c r="Y2" s="80"/>
      <c r="Z2" s="80"/>
      <c r="AA2" s="80"/>
    </row>
    <row r="3" spans="1:28" s="1" customFormat="1" ht="19.5" customHeight="1">
      <c r="A3" s="238"/>
      <c r="B3" s="186"/>
      <c r="C3" s="241"/>
      <c r="D3" s="241"/>
      <c r="E3" s="241"/>
      <c r="F3" s="241"/>
      <c r="G3" s="241"/>
      <c r="H3" s="241"/>
      <c r="I3" s="241"/>
      <c r="J3" s="241"/>
      <c r="K3" s="182" t="s">
        <v>3</v>
      </c>
      <c r="L3" s="183"/>
      <c r="Q3" s="132"/>
      <c r="R3" s="80"/>
      <c r="T3" s="132" t="s">
        <v>4</v>
      </c>
      <c r="U3" s="132"/>
      <c r="V3" s="80"/>
      <c r="W3" s="80"/>
      <c r="X3" s="80"/>
      <c r="Y3" s="80"/>
      <c r="Z3" s="80"/>
      <c r="AA3" s="80"/>
    </row>
    <row r="4" spans="1:28" s="1" customFormat="1" ht="19.5" customHeight="1" thickBot="1">
      <c r="A4" s="239"/>
      <c r="B4" s="240"/>
      <c r="C4" s="242"/>
      <c r="D4" s="242"/>
      <c r="E4" s="242"/>
      <c r="F4" s="242"/>
      <c r="G4" s="242"/>
      <c r="H4" s="242"/>
      <c r="I4" s="242"/>
      <c r="J4" s="242"/>
      <c r="K4" s="184" t="s">
        <v>88</v>
      </c>
      <c r="L4" s="185"/>
      <c r="Q4" s="132"/>
      <c r="R4" s="80"/>
      <c r="S4" s="132"/>
      <c r="T4" s="132"/>
      <c r="U4" s="132"/>
      <c r="V4" s="80"/>
      <c r="W4" s="80"/>
      <c r="X4" s="80"/>
      <c r="Y4" s="80"/>
      <c r="Z4" s="80"/>
      <c r="AA4" s="80"/>
    </row>
    <row r="5" spans="1:28" s="1" customFormat="1" ht="3.95" customHeight="1" thickBot="1">
      <c r="A5" s="5"/>
      <c r="B5" s="186"/>
      <c r="C5" s="186"/>
      <c r="D5" s="186"/>
      <c r="E5" s="186"/>
      <c r="F5" s="186"/>
      <c r="G5" s="186"/>
      <c r="H5" s="186"/>
      <c r="I5" s="186"/>
      <c r="J5" s="186"/>
      <c r="K5" s="186"/>
      <c r="L5" s="81"/>
      <c r="Q5" s="132"/>
      <c r="R5" s="132"/>
      <c r="T5" s="132"/>
      <c r="U5" s="132"/>
      <c r="V5" s="80"/>
      <c r="W5" s="80"/>
      <c r="X5" s="80"/>
      <c r="Y5" s="80"/>
      <c r="Z5" s="80"/>
      <c r="AA5" s="80"/>
      <c r="AB5" s="80"/>
    </row>
    <row r="6" spans="1:28" s="1" customFormat="1" ht="22.5" customHeight="1">
      <c r="A6" s="6"/>
      <c r="B6" s="7" t="s">
        <v>5</v>
      </c>
      <c r="C6" s="273" t="s">
        <v>91</v>
      </c>
      <c r="D6" s="273"/>
      <c r="E6" s="273"/>
      <c r="F6" s="273"/>
      <c r="G6" s="273"/>
      <c r="H6" s="188" t="s">
        <v>6</v>
      </c>
      <c r="I6" s="188"/>
      <c r="J6" s="189">
        <v>45884</v>
      </c>
      <c r="K6" s="189"/>
      <c r="L6" s="190"/>
      <c r="Q6" s="80"/>
      <c r="R6" s="80"/>
      <c r="T6" s="133" t="s">
        <v>7</v>
      </c>
      <c r="U6" s="80"/>
      <c r="V6" s="80"/>
      <c r="W6" s="80"/>
      <c r="X6" s="80"/>
      <c r="Y6" s="80"/>
      <c r="Z6" s="80"/>
      <c r="AA6" s="80"/>
      <c r="AB6" s="80"/>
    </row>
    <row r="7" spans="1:28" s="1" customFormat="1" ht="24.75" customHeight="1">
      <c r="A7" s="5"/>
      <c r="B7" s="9" t="s">
        <v>8</v>
      </c>
      <c r="C7" s="274" t="s">
        <v>92</v>
      </c>
      <c r="D7" s="274"/>
      <c r="E7" s="274"/>
      <c r="F7" s="274"/>
      <c r="G7" s="274"/>
      <c r="H7" s="192" t="s">
        <v>9</v>
      </c>
      <c r="I7" s="192"/>
      <c r="J7" s="193">
        <v>45937</v>
      </c>
      <c r="K7" s="193"/>
      <c r="L7" s="194"/>
      <c r="Q7" s="80"/>
      <c r="R7" s="80"/>
      <c r="T7" s="133" t="s">
        <v>10</v>
      </c>
      <c r="U7" s="80"/>
      <c r="V7" s="80"/>
      <c r="W7" s="80"/>
      <c r="X7" s="80"/>
      <c r="Y7" s="80"/>
      <c r="Z7" s="80"/>
      <c r="AA7" s="80"/>
      <c r="AB7" s="80"/>
    </row>
    <row r="8" spans="1:28" s="1" customFormat="1" ht="22.5" customHeight="1">
      <c r="A8" s="5"/>
      <c r="B8" s="9" t="s">
        <v>11</v>
      </c>
      <c r="C8" s="271" t="s">
        <v>12</v>
      </c>
      <c r="D8" s="272"/>
      <c r="E8" s="272"/>
      <c r="F8" s="272"/>
      <c r="G8" s="272"/>
      <c r="H8" s="192" t="s">
        <v>13</v>
      </c>
      <c r="I8" s="192"/>
      <c r="J8" s="193">
        <v>45968</v>
      </c>
      <c r="K8" s="193"/>
      <c r="L8" s="194"/>
      <c r="Q8" s="80"/>
      <c r="R8" s="80"/>
      <c r="S8" s="1">
        <f>17-2.57</f>
        <v>14.43</v>
      </c>
      <c r="T8" s="133" t="s">
        <v>14</v>
      </c>
      <c r="U8" s="80"/>
      <c r="V8" s="80"/>
      <c r="W8" s="80"/>
      <c r="X8" s="80"/>
      <c r="Y8" s="80"/>
      <c r="Z8" s="80"/>
      <c r="AA8" s="80"/>
      <c r="AB8" s="80"/>
    </row>
    <row r="9" spans="1:28" s="1" customFormat="1" ht="22.5" customHeight="1">
      <c r="A9" s="5"/>
      <c r="B9" s="9" t="s">
        <v>15</v>
      </c>
      <c r="C9" s="202" t="s">
        <v>93</v>
      </c>
      <c r="D9" s="202"/>
      <c r="E9" s="202"/>
      <c r="F9" s="202"/>
      <c r="G9" s="202"/>
      <c r="H9" s="192" t="s">
        <v>16</v>
      </c>
      <c r="I9" s="192"/>
      <c r="J9" s="82" t="s">
        <v>17</v>
      </c>
      <c r="K9" s="83" t="s">
        <v>90</v>
      </c>
      <c r="L9" s="84" t="s">
        <v>85</v>
      </c>
      <c r="Q9" s="80"/>
      <c r="R9" s="80"/>
      <c r="T9" s="133" t="s">
        <v>18</v>
      </c>
      <c r="U9" s="80"/>
      <c r="V9" s="80"/>
      <c r="W9" s="80"/>
      <c r="X9" s="80"/>
      <c r="Y9" s="80"/>
      <c r="Z9" s="80"/>
      <c r="AA9" s="80"/>
      <c r="AB9" s="80"/>
    </row>
    <row r="10" spans="1:28" s="1" customFormat="1" ht="22.5" customHeight="1">
      <c r="A10" s="5"/>
      <c r="B10" s="10" t="s">
        <v>19</v>
      </c>
      <c r="C10" s="202" t="s">
        <v>20</v>
      </c>
      <c r="D10" s="202"/>
      <c r="E10" s="202"/>
      <c r="F10" s="202"/>
      <c r="G10" s="202"/>
      <c r="H10" s="196" t="s">
        <v>21</v>
      </c>
      <c r="I10" s="196"/>
      <c r="J10" s="197" t="str">
        <f>CONCATENATE(K9,," ",L9,"-",D12,"-",F12)</f>
        <v>056 25-UNIVALLE AP4-3</v>
      </c>
      <c r="K10" s="197"/>
      <c r="L10" s="198"/>
      <c r="Q10" s="80"/>
      <c r="R10" s="80"/>
      <c r="T10" s="133" t="s">
        <v>22</v>
      </c>
      <c r="U10" s="80"/>
      <c r="V10" s="80"/>
      <c r="W10" s="80"/>
      <c r="X10" s="80"/>
      <c r="Y10" s="80"/>
      <c r="Z10" s="80"/>
      <c r="AA10" s="80"/>
      <c r="AB10" s="80"/>
    </row>
    <row r="11" spans="1:28" s="1" customFormat="1" ht="3.95" customHeight="1" thickBot="1">
      <c r="A11" s="11"/>
      <c r="B11" s="199"/>
      <c r="C11" s="199"/>
      <c r="D11" s="199"/>
      <c r="E11" s="199"/>
      <c r="F11" s="199"/>
      <c r="G11" s="199"/>
      <c r="H11" s="199"/>
      <c r="I11" s="199"/>
      <c r="J11" s="199"/>
      <c r="K11" s="199"/>
      <c r="L11" s="85"/>
      <c r="Q11" s="80"/>
      <c r="R11" s="80"/>
      <c r="T11" s="133"/>
      <c r="U11" s="80"/>
      <c r="V11" s="80"/>
      <c r="W11" s="80"/>
      <c r="X11" s="80"/>
      <c r="Y11" s="80"/>
      <c r="Z11" s="80"/>
      <c r="AA11" s="80"/>
      <c r="AB11" s="80"/>
    </row>
    <row r="12" spans="1:28" s="1" customFormat="1" ht="22.5" customHeight="1">
      <c r="A12" s="6"/>
      <c r="B12" s="7" t="s">
        <v>23</v>
      </c>
      <c r="C12" s="12" t="s">
        <v>10</v>
      </c>
      <c r="D12" s="13" t="s">
        <v>129</v>
      </c>
      <c r="E12" s="14" t="s">
        <v>24</v>
      </c>
      <c r="F12" s="200">
        <v>3</v>
      </c>
      <c r="G12" s="200"/>
      <c r="H12" s="201" t="s">
        <v>25</v>
      </c>
      <c r="I12" s="201"/>
      <c r="J12" s="86">
        <v>1.2</v>
      </c>
      <c r="K12" s="87" t="s">
        <v>26</v>
      </c>
      <c r="L12" s="88">
        <v>1.5</v>
      </c>
      <c r="Q12" s="80"/>
      <c r="R12" s="80"/>
      <c r="T12" s="133"/>
      <c r="U12" s="80"/>
      <c r="V12" s="80"/>
      <c r="W12" s="80"/>
      <c r="X12" s="80"/>
      <c r="Y12" s="80"/>
      <c r="Z12" s="80"/>
      <c r="AA12" s="80"/>
      <c r="AB12" s="80"/>
    </row>
    <row r="13" spans="1:28" s="1" customFormat="1" ht="22.5" customHeight="1">
      <c r="A13" s="5"/>
      <c r="B13" s="9" t="s">
        <v>27</v>
      </c>
      <c r="C13" s="202" t="s">
        <v>130</v>
      </c>
      <c r="D13" s="202"/>
      <c r="E13" s="202"/>
      <c r="F13" s="202"/>
      <c r="G13" s="202"/>
      <c r="H13" s="202"/>
      <c r="I13" s="202"/>
      <c r="J13" s="202"/>
      <c r="K13" s="202"/>
      <c r="L13" s="203"/>
      <c r="O13" s="1">
        <f>-MOD1</f>
        <v>0</v>
      </c>
      <c r="Q13" s="80"/>
      <c r="R13" s="80"/>
      <c r="T13" s="133"/>
      <c r="U13" s="80"/>
      <c r="V13" s="80"/>
      <c r="W13" s="80"/>
      <c r="X13" s="80"/>
      <c r="Y13" s="80"/>
      <c r="Z13" s="80"/>
      <c r="AA13" s="80"/>
      <c r="AB13" s="80"/>
    </row>
    <row r="14" spans="1:28" s="1" customFormat="1" ht="6.95" customHeight="1" thickBot="1">
      <c r="A14" s="11"/>
      <c r="B14" s="15"/>
      <c r="C14" s="16"/>
      <c r="D14" s="16"/>
      <c r="E14" s="16"/>
      <c r="F14" s="16"/>
      <c r="G14" s="16"/>
      <c r="H14" s="16"/>
      <c r="I14" s="16"/>
      <c r="J14" s="16"/>
      <c r="K14" s="16"/>
      <c r="L14" s="89"/>
      <c r="P14" s="80"/>
      <c r="Q14" s="80"/>
      <c r="R14" s="80"/>
      <c r="S14" s="80"/>
      <c r="T14" s="80"/>
      <c r="U14" s="80"/>
      <c r="V14" s="80"/>
      <c r="W14" s="80"/>
      <c r="X14" s="80"/>
      <c r="Y14" s="80"/>
      <c r="Z14" s="80"/>
      <c r="AA14" s="80"/>
      <c r="AB14" s="80"/>
    </row>
    <row r="15" spans="1:28" ht="14.25" customHeight="1" thickBot="1">
      <c r="A15" s="17"/>
      <c r="B15" s="18"/>
      <c r="C15" s="18"/>
      <c r="D15" s="18"/>
      <c r="E15" s="18"/>
      <c r="F15" s="18"/>
      <c r="G15" s="18"/>
      <c r="H15" s="18"/>
      <c r="I15" s="18"/>
      <c r="J15" s="18"/>
      <c r="K15" s="18"/>
      <c r="L15" s="90"/>
    </row>
    <row r="16" spans="1:28" ht="22.5" customHeight="1" thickBot="1">
      <c r="A16" s="204"/>
      <c r="B16" s="205"/>
      <c r="C16" s="205"/>
      <c r="D16" s="205"/>
      <c r="E16" s="205"/>
      <c r="F16" s="205"/>
      <c r="G16" s="205"/>
      <c r="H16" s="205"/>
      <c r="I16" s="205"/>
      <c r="J16" s="205"/>
      <c r="K16" s="205"/>
      <c r="L16" s="206"/>
    </row>
    <row r="17" spans="1:19" ht="22.5" customHeight="1" thickBot="1">
      <c r="A17" s="17"/>
      <c r="B17" s="18"/>
      <c r="C17" s="18"/>
      <c r="D17" s="18"/>
      <c r="E17" s="18"/>
      <c r="F17" s="18"/>
      <c r="G17" s="19"/>
      <c r="H17" s="19"/>
      <c r="I17" s="19"/>
      <c r="J17" s="19"/>
      <c r="K17" s="19"/>
      <c r="L17" s="91"/>
    </row>
    <row r="18" spans="1:19" s="2" customFormat="1" ht="22.5" customHeight="1" thickBot="1">
      <c r="A18" s="207" t="s">
        <v>28</v>
      </c>
      <c r="B18" s="208"/>
      <c r="C18" s="208"/>
      <c r="D18" s="208"/>
      <c r="E18" s="209"/>
      <c r="F18" s="20"/>
      <c r="G18" s="207" t="s">
        <v>28</v>
      </c>
      <c r="H18" s="208"/>
      <c r="I18" s="208"/>
      <c r="J18" s="208"/>
      <c r="K18" s="208"/>
      <c r="L18" s="209"/>
      <c r="O18" s="92"/>
    </row>
    <row r="19" spans="1:19" s="2" customFormat="1" ht="27.75" customHeight="1" thickBot="1">
      <c r="A19" s="210"/>
      <c r="B19" s="211"/>
      <c r="C19" s="211"/>
      <c r="D19" s="22" t="s">
        <v>29</v>
      </c>
      <c r="E19" s="23" t="s">
        <v>30</v>
      </c>
      <c r="F19" s="24"/>
      <c r="G19" s="243" t="s">
        <v>31</v>
      </c>
      <c r="H19" s="244"/>
      <c r="I19" s="212" t="s">
        <v>32</v>
      </c>
      <c r="J19" s="213"/>
      <c r="K19" s="214" t="s">
        <v>33</v>
      </c>
      <c r="L19" s="215"/>
    </row>
    <row r="20" spans="1:19" s="2" customFormat="1" ht="22.5" customHeight="1">
      <c r="A20" s="216" t="s">
        <v>34</v>
      </c>
      <c r="B20" s="217"/>
      <c r="C20" s="25"/>
      <c r="D20" s="26">
        <v>702</v>
      </c>
      <c r="E20" s="27">
        <f>D20</f>
        <v>702</v>
      </c>
      <c r="F20" s="28"/>
      <c r="G20" s="245"/>
      <c r="H20" s="246"/>
      <c r="I20" s="93" t="s">
        <v>35</v>
      </c>
      <c r="J20" s="168" t="s">
        <v>36</v>
      </c>
      <c r="K20" s="95" t="s">
        <v>37</v>
      </c>
      <c r="L20" s="150" t="s">
        <v>36</v>
      </c>
      <c r="N20" s="92"/>
    </row>
    <row r="21" spans="1:19" s="2" customFormat="1" ht="22.5" customHeight="1">
      <c r="A21" s="216" t="s">
        <v>38</v>
      </c>
      <c r="B21" s="217"/>
      <c r="C21" s="25" t="s">
        <v>39</v>
      </c>
      <c r="D21" s="160">
        <v>15.2</v>
      </c>
      <c r="E21" s="161">
        <f>D21</f>
        <v>15.2</v>
      </c>
      <c r="F21" s="31"/>
      <c r="G21" s="96" t="s">
        <v>40</v>
      </c>
      <c r="H21" s="32" t="s">
        <v>41</v>
      </c>
      <c r="I21" s="96" t="s">
        <v>42</v>
      </c>
      <c r="J21" s="151" t="s">
        <v>43</v>
      </c>
      <c r="K21" s="96" t="s">
        <v>42</v>
      </c>
      <c r="L21" s="151" t="s">
        <v>43</v>
      </c>
      <c r="N21" s="97"/>
    </row>
    <row r="22" spans="1:19" s="2" customFormat="1" ht="22.5" customHeight="1">
      <c r="A22" s="216" t="s">
        <v>44</v>
      </c>
      <c r="B22" s="217"/>
      <c r="C22" s="25" t="s">
        <v>39</v>
      </c>
      <c r="D22" s="160">
        <v>15.7</v>
      </c>
      <c r="E22" s="161">
        <f>D22+E39</f>
        <v>15.7</v>
      </c>
      <c r="F22" s="31"/>
      <c r="G22" s="145">
        <v>0</v>
      </c>
      <c r="H22" s="33">
        <v>0</v>
      </c>
      <c r="I22" s="144">
        <v>0</v>
      </c>
      <c r="J22" s="152">
        <v>0</v>
      </c>
      <c r="K22" s="144">
        <v>0</v>
      </c>
      <c r="L22" s="152">
        <v>0</v>
      </c>
      <c r="N22" s="97"/>
      <c r="O22" s="2">
        <v>0.107</v>
      </c>
      <c r="S22" s="2">
        <v>7.9000000000000001E-2</v>
      </c>
    </row>
    <row r="23" spans="1:19" s="2" customFormat="1" ht="22.5" customHeight="1">
      <c r="A23" s="216" t="s">
        <v>45</v>
      </c>
      <c r="B23" s="217"/>
      <c r="C23" s="34" t="s">
        <v>46</v>
      </c>
      <c r="D23" s="35">
        <v>8844</v>
      </c>
      <c r="E23" s="36">
        <v>8934</v>
      </c>
      <c r="F23" s="31"/>
      <c r="G23" s="145">
        <v>5.0000000000000001E-3</v>
      </c>
      <c r="H23" s="33">
        <v>0.127</v>
      </c>
      <c r="I23" s="144">
        <f>O22</f>
        <v>0.107</v>
      </c>
      <c r="J23" s="153">
        <f t="shared" ref="J23:J34" si="0">((I23/19.32)*10)</f>
        <v>5.538302277432712E-2</v>
      </c>
      <c r="K23" s="98">
        <f>S22</f>
        <v>7.9000000000000001E-2</v>
      </c>
      <c r="L23" s="153">
        <f t="shared" ref="L23:L34" si="1">((K23/19.32)*10)</f>
        <v>4.089026915113872E-2</v>
      </c>
      <c r="N23" s="97"/>
      <c r="O23" s="2">
        <v>0.16400000000000001</v>
      </c>
      <c r="S23" s="2">
        <v>0.14599999999999999</v>
      </c>
    </row>
    <row r="24" spans="1:19" s="2" customFormat="1" ht="22.5" customHeight="1">
      <c r="A24" s="216" t="s">
        <v>47</v>
      </c>
      <c r="B24" s="217"/>
      <c r="C24" s="34" t="s">
        <v>46</v>
      </c>
      <c r="D24" s="167">
        <v>3838</v>
      </c>
      <c r="E24" s="37">
        <f>D24</f>
        <v>3838</v>
      </c>
      <c r="F24" s="38"/>
      <c r="G24" s="145">
        <v>2.5000000000000001E-2</v>
      </c>
      <c r="H24" s="33">
        <v>0.63500000000000001</v>
      </c>
      <c r="I24" s="144">
        <f t="shared" ref="I24:I34" si="2">O23</f>
        <v>0.16400000000000001</v>
      </c>
      <c r="J24" s="153">
        <f t="shared" si="0"/>
        <v>8.4886128364389232E-2</v>
      </c>
      <c r="K24" s="98">
        <f t="shared" ref="K24:K34" si="3">S23</f>
        <v>0.14599999999999999</v>
      </c>
      <c r="L24" s="153">
        <f t="shared" si="1"/>
        <v>7.5569358178053825E-2</v>
      </c>
      <c r="N24" s="97"/>
      <c r="O24" s="2">
        <v>0.21</v>
      </c>
      <c r="S24" s="2">
        <v>0.193</v>
      </c>
    </row>
    <row r="25" spans="1:19" s="2" customFormat="1" ht="22.5" customHeight="1">
      <c r="A25" s="216" t="s">
        <v>48</v>
      </c>
      <c r="B25" s="217"/>
      <c r="C25" s="34" t="s">
        <v>46</v>
      </c>
      <c r="D25" s="39">
        <f>+D23-D24</f>
        <v>5006</v>
      </c>
      <c r="E25" s="40">
        <f>E23-E24</f>
        <v>5096</v>
      </c>
      <c r="F25" s="41"/>
      <c r="G25" s="145">
        <v>0.05</v>
      </c>
      <c r="H25" s="33">
        <v>1.27</v>
      </c>
      <c r="I25" s="144">
        <f t="shared" si="2"/>
        <v>0.21</v>
      </c>
      <c r="J25" s="153">
        <f t="shared" si="0"/>
        <v>0.10869565217391304</v>
      </c>
      <c r="K25" s="98">
        <f t="shared" si="3"/>
        <v>0.193</v>
      </c>
      <c r="L25" s="153">
        <f t="shared" si="1"/>
        <v>9.9896480331262943E-2</v>
      </c>
      <c r="N25" s="97"/>
      <c r="O25" s="2">
        <v>0.249</v>
      </c>
      <c r="S25" s="2">
        <v>0.22500000000000001</v>
      </c>
    </row>
    <row r="26" spans="1:19" s="2" customFormat="1" ht="22.5" customHeight="1">
      <c r="A26" s="216" t="s">
        <v>49</v>
      </c>
      <c r="B26" s="217"/>
      <c r="C26" s="34" t="s">
        <v>50</v>
      </c>
      <c r="D26" s="39">
        <f>((PI()*(D21*D21))/4)*D22</f>
        <v>2848.8967492401389</v>
      </c>
      <c r="E26" s="174">
        <f>((PI()*(E21*E21))/4)*E22</f>
        <v>2848.8967492401389</v>
      </c>
      <c r="F26" s="41"/>
      <c r="G26" s="145">
        <v>7.4999999999999997E-2</v>
      </c>
      <c r="H26" s="33">
        <v>1.905</v>
      </c>
      <c r="I26" s="144">
        <f t="shared" si="2"/>
        <v>0.249</v>
      </c>
      <c r="J26" s="153">
        <f t="shared" si="0"/>
        <v>0.12888198757763975</v>
      </c>
      <c r="K26" s="98">
        <f t="shared" si="3"/>
        <v>0.22500000000000001</v>
      </c>
      <c r="L26" s="153">
        <f t="shared" si="1"/>
        <v>0.11645962732919254</v>
      </c>
      <c r="N26" s="97"/>
      <c r="O26" s="2">
        <v>0.28100000000000003</v>
      </c>
      <c r="S26" s="2">
        <v>0.24399999999999999</v>
      </c>
    </row>
    <row r="27" spans="1:19" s="2" customFormat="1" ht="22.5" customHeight="1">
      <c r="A27" s="216" t="s">
        <v>51</v>
      </c>
      <c r="B27" s="217"/>
      <c r="C27" s="34" t="s">
        <v>52</v>
      </c>
      <c r="D27" s="42">
        <f>D25/D26</f>
        <v>1.7571714388509188</v>
      </c>
      <c r="E27" s="175">
        <f>E25/E26</f>
        <v>1.7887626153384504</v>
      </c>
      <c r="F27" s="44"/>
      <c r="G27" s="146">
        <v>0.1</v>
      </c>
      <c r="H27" s="45">
        <v>2.54</v>
      </c>
      <c r="I27" s="154">
        <f t="shared" si="2"/>
        <v>0.28100000000000003</v>
      </c>
      <c r="J27" s="155">
        <f t="shared" si="0"/>
        <v>0.14544513457556937</v>
      </c>
      <c r="K27" s="158">
        <f t="shared" si="3"/>
        <v>0.24399999999999999</v>
      </c>
      <c r="L27" s="155">
        <f t="shared" si="1"/>
        <v>0.12629399585921325</v>
      </c>
      <c r="N27" s="97"/>
      <c r="O27" s="2">
        <v>0.307</v>
      </c>
      <c r="S27" s="2">
        <v>0.25900000000000001</v>
      </c>
    </row>
    <row r="28" spans="1:19" s="2" customFormat="1" ht="22.5" customHeight="1" thickBot="1">
      <c r="A28" s="218" t="s">
        <v>53</v>
      </c>
      <c r="B28" s="219"/>
      <c r="C28" s="46" t="s">
        <v>52</v>
      </c>
      <c r="D28" s="47">
        <f>D27/(1+D34/100)</f>
        <v>1.24770979157356</v>
      </c>
      <c r="E28" s="48">
        <f>E27/(1+E34/100)</f>
        <v>1.243067999410554</v>
      </c>
      <c r="F28" s="49"/>
      <c r="G28" s="145">
        <v>0.125</v>
      </c>
      <c r="H28" s="33">
        <v>3.1749999999999998</v>
      </c>
      <c r="I28" s="144">
        <f t="shared" si="2"/>
        <v>0.307</v>
      </c>
      <c r="J28" s="153">
        <f t="shared" si="0"/>
        <v>0.15890269151138714</v>
      </c>
      <c r="K28" s="98">
        <f t="shared" si="3"/>
        <v>0.25900000000000001</v>
      </c>
      <c r="L28" s="153">
        <f t="shared" si="1"/>
        <v>0.13405797101449274</v>
      </c>
      <c r="N28" s="97"/>
      <c r="O28" s="2">
        <v>0.33200000000000002</v>
      </c>
      <c r="S28" s="2">
        <v>0.27</v>
      </c>
    </row>
    <row r="29" spans="1:19" s="2" customFormat="1" ht="22.5" customHeight="1" thickBot="1">
      <c r="A29" s="207" t="s">
        <v>54</v>
      </c>
      <c r="B29" s="208" t="s">
        <v>54</v>
      </c>
      <c r="C29" s="208"/>
      <c r="D29" s="208"/>
      <c r="E29" s="209"/>
      <c r="F29" s="49"/>
      <c r="G29" s="147">
        <v>0.15</v>
      </c>
      <c r="H29" s="33">
        <v>3.81</v>
      </c>
      <c r="I29" s="144">
        <f t="shared" si="2"/>
        <v>0.33200000000000002</v>
      </c>
      <c r="J29" s="153">
        <f t="shared" si="0"/>
        <v>0.17184265010351968</v>
      </c>
      <c r="K29" s="98">
        <f t="shared" si="3"/>
        <v>0.27</v>
      </c>
      <c r="L29" s="153">
        <f>((K29/19.32)*10)</f>
        <v>0.13975155279503107</v>
      </c>
      <c r="N29" s="97"/>
      <c r="O29" s="2">
        <v>0.35099999999999998</v>
      </c>
      <c r="S29" s="2">
        <v>0.27800000000000002</v>
      </c>
    </row>
    <row r="30" spans="1:19" s="2" customFormat="1" ht="22.5" customHeight="1">
      <c r="A30" s="258" t="s">
        <v>55</v>
      </c>
      <c r="B30" s="259"/>
      <c r="C30" s="50"/>
      <c r="D30" s="51">
        <v>682</v>
      </c>
      <c r="E30" s="52">
        <v>369</v>
      </c>
      <c r="F30" s="44"/>
      <c r="G30" s="145">
        <v>0.17499999999999999</v>
      </c>
      <c r="H30" s="33">
        <v>4.4450000000000003</v>
      </c>
      <c r="I30" s="144">
        <f t="shared" si="2"/>
        <v>0.35099999999999998</v>
      </c>
      <c r="J30" s="153">
        <f t="shared" si="0"/>
        <v>0.18167701863354035</v>
      </c>
      <c r="K30" s="98">
        <f t="shared" si="3"/>
        <v>0.27800000000000002</v>
      </c>
      <c r="L30" s="153">
        <f t="shared" si="1"/>
        <v>0.14389233954451347</v>
      </c>
      <c r="N30" s="97"/>
      <c r="O30" s="2">
        <v>0.36499999999999999</v>
      </c>
      <c r="S30" s="2">
        <v>0.28599999999999998</v>
      </c>
    </row>
    <row r="31" spans="1:19" s="2" customFormat="1" ht="22.5" customHeight="1">
      <c r="A31" s="216" t="s">
        <v>56</v>
      </c>
      <c r="B31" s="217"/>
      <c r="C31" s="25" t="s">
        <v>46</v>
      </c>
      <c r="D31" s="53">
        <v>208.56</v>
      </c>
      <c r="E31" s="54">
        <v>890.25</v>
      </c>
      <c r="F31" s="41"/>
      <c r="G31" s="146">
        <v>0.2</v>
      </c>
      <c r="H31" s="45">
        <v>5.08</v>
      </c>
      <c r="I31" s="154">
        <f t="shared" si="2"/>
        <v>0.36499999999999999</v>
      </c>
      <c r="J31" s="155">
        <f t="shared" si="0"/>
        <v>0.18892339544513456</v>
      </c>
      <c r="K31" s="158">
        <f t="shared" si="3"/>
        <v>0.28599999999999998</v>
      </c>
      <c r="L31" s="155">
        <f t="shared" si="1"/>
        <v>0.14803312629399584</v>
      </c>
      <c r="N31" s="97"/>
      <c r="O31" s="2">
        <v>0.41699999999999998</v>
      </c>
      <c r="S31" s="2">
        <v>0.30599999999999999</v>
      </c>
    </row>
    <row r="32" spans="1:19" s="2" customFormat="1" ht="22.5" customHeight="1">
      <c r="A32" s="216" t="s">
        <v>57</v>
      </c>
      <c r="B32" s="217"/>
      <c r="C32" s="25" t="s">
        <v>46</v>
      </c>
      <c r="D32" s="53">
        <v>159.37</v>
      </c>
      <c r="E32" s="54">
        <v>649.41999999999996</v>
      </c>
      <c r="F32" s="49"/>
      <c r="G32" s="145">
        <v>0.3</v>
      </c>
      <c r="H32" s="33">
        <v>7.62</v>
      </c>
      <c r="I32" s="144">
        <f t="shared" si="2"/>
        <v>0.41699999999999998</v>
      </c>
      <c r="J32" s="153">
        <f t="shared" si="0"/>
        <v>0.21583850931677018</v>
      </c>
      <c r="K32" s="98">
        <f t="shared" si="3"/>
        <v>0.30599999999999999</v>
      </c>
      <c r="L32" s="153">
        <f t="shared" si="1"/>
        <v>0.15838509316770188</v>
      </c>
      <c r="N32" s="97"/>
      <c r="O32" s="2">
        <v>0.45100000000000001</v>
      </c>
      <c r="S32" s="2">
        <v>0.32400000000000001</v>
      </c>
    </row>
    <row r="33" spans="1:19" s="2" customFormat="1" ht="22.5" customHeight="1">
      <c r="A33" s="216" t="s">
        <v>58</v>
      </c>
      <c r="B33" s="217"/>
      <c r="C33" s="25" t="s">
        <v>46</v>
      </c>
      <c r="D33" s="53">
        <v>38.9</v>
      </c>
      <c r="E33" s="54">
        <v>100.82</v>
      </c>
      <c r="F33" s="49"/>
      <c r="G33" s="145">
        <v>0.4</v>
      </c>
      <c r="H33" s="33">
        <v>10.16</v>
      </c>
      <c r="I33" s="144">
        <f t="shared" si="2"/>
        <v>0.45100000000000001</v>
      </c>
      <c r="J33" s="153">
        <f t="shared" si="0"/>
        <v>0.2334368530020704</v>
      </c>
      <c r="K33" s="98">
        <f t="shared" si="3"/>
        <v>0.32400000000000001</v>
      </c>
      <c r="L33" s="153">
        <f t="shared" si="1"/>
        <v>0.16770186335403728</v>
      </c>
      <c r="N33" s="97"/>
      <c r="O33" s="2">
        <v>0.48099999999999998</v>
      </c>
      <c r="S33" s="2">
        <v>0.34399999999999997</v>
      </c>
    </row>
    <row r="34" spans="1:19" s="2" customFormat="1" ht="22.5" customHeight="1" thickBot="1">
      <c r="A34" s="218" t="s">
        <v>59</v>
      </c>
      <c r="B34" s="219"/>
      <c r="C34" s="46" t="s">
        <v>60</v>
      </c>
      <c r="D34" s="47">
        <f>((D31-D32)/(D32-D33))*100</f>
        <v>40.831742342491907</v>
      </c>
      <c r="E34" s="48">
        <f>((E31-E32)/(E32-E33))*100</f>
        <v>43.899015676266878</v>
      </c>
      <c r="F34" s="49"/>
      <c r="G34" s="148">
        <v>0.5</v>
      </c>
      <c r="H34" s="149">
        <v>12.7</v>
      </c>
      <c r="I34" s="156">
        <f t="shared" si="2"/>
        <v>0.48099999999999998</v>
      </c>
      <c r="J34" s="157">
        <f t="shared" si="0"/>
        <v>0.24896480331262938</v>
      </c>
      <c r="K34" s="159">
        <f t="shared" si="3"/>
        <v>0.34399999999999997</v>
      </c>
      <c r="L34" s="157">
        <f t="shared" si="1"/>
        <v>0.17805383022774324</v>
      </c>
      <c r="N34" s="97"/>
    </row>
    <row r="35" spans="1:19" s="2" customFormat="1" ht="11.25" customHeight="1" thickBot="1">
      <c r="A35" s="55"/>
      <c r="B35" s="56"/>
      <c r="C35" s="57"/>
      <c r="D35" s="58"/>
      <c r="E35" s="58"/>
      <c r="F35" s="59"/>
      <c r="G35" s="58"/>
      <c r="H35" s="58"/>
      <c r="I35" s="58"/>
      <c r="J35" s="58"/>
      <c r="K35" s="58"/>
      <c r="L35" s="99"/>
      <c r="N35" s="97"/>
    </row>
    <row r="36" spans="1:19" s="2" customFormat="1" ht="22.5" customHeight="1" thickBot="1">
      <c r="A36" s="247" t="s">
        <v>61</v>
      </c>
      <c r="B36" s="248"/>
      <c r="C36" s="248"/>
      <c r="D36" s="248"/>
      <c r="E36" s="249"/>
      <c r="F36" s="60"/>
      <c r="G36" s="60"/>
      <c r="H36" s="207" t="s">
        <v>62</v>
      </c>
      <c r="I36" s="208"/>
      <c r="J36" s="208"/>
      <c r="K36" s="209"/>
      <c r="L36" s="100"/>
    </row>
    <row r="37" spans="1:19" s="2" customFormat="1" ht="22.5" customHeight="1" thickBot="1">
      <c r="A37" s="250" t="s">
        <v>63</v>
      </c>
      <c r="B37" s="251"/>
      <c r="C37" s="61" t="s">
        <v>64</v>
      </c>
      <c r="D37" s="277">
        <v>0.502</v>
      </c>
      <c r="E37" s="278"/>
      <c r="F37" s="62"/>
      <c r="G37" s="62"/>
      <c r="H37" s="63" t="s">
        <v>65</v>
      </c>
      <c r="I37" s="101" t="s">
        <v>86</v>
      </c>
      <c r="J37" s="63" t="s">
        <v>66</v>
      </c>
      <c r="K37" s="102" t="s">
        <v>67</v>
      </c>
      <c r="L37" s="99"/>
    </row>
    <row r="38" spans="1:19" s="2" customFormat="1" ht="22.5" customHeight="1" thickBot="1">
      <c r="A38" s="224" t="s">
        <v>68</v>
      </c>
      <c r="B38" s="225"/>
      <c r="C38" s="64" t="s">
        <v>64</v>
      </c>
      <c r="D38" s="279">
        <v>0.50649999999999995</v>
      </c>
      <c r="E38" s="280"/>
      <c r="F38" s="62"/>
      <c r="G38" s="62"/>
      <c r="H38" s="256" t="s">
        <v>69</v>
      </c>
      <c r="I38" s="257"/>
      <c r="J38" s="256" t="s">
        <v>70</v>
      </c>
      <c r="K38" s="257"/>
      <c r="L38" s="99"/>
    </row>
    <row r="39" spans="1:19" s="2" customFormat="1" ht="22.5" customHeight="1" thickBot="1">
      <c r="A39" s="224" t="s">
        <v>71</v>
      </c>
      <c r="B39" s="225"/>
      <c r="C39" s="65" t="s">
        <v>39</v>
      </c>
      <c r="D39" s="226">
        <f>(D38-D37)*2.54</f>
        <v>1.1429999999999869E-2</v>
      </c>
      <c r="E39" s="227"/>
      <c r="F39" s="31"/>
      <c r="G39" s="31"/>
      <c r="H39" s="163" t="s">
        <v>72</v>
      </c>
      <c r="I39" s="164">
        <v>4555</v>
      </c>
      <c r="J39" s="275">
        <v>4</v>
      </c>
      <c r="K39" s="229"/>
      <c r="L39" s="99"/>
    </row>
    <row r="40" spans="1:19" s="2" customFormat="1" ht="22.5" customHeight="1" thickBot="1">
      <c r="A40" s="230" t="s">
        <v>73</v>
      </c>
      <c r="B40" s="231"/>
      <c r="C40" s="67" t="s">
        <v>60</v>
      </c>
      <c r="D40" s="232">
        <f>IF(D39&lt;&gt;"",IF(D22&lt;&gt;"",D39/D22*100,""),"")</f>
        <v>7.2802547770699805E-2</v>
      </c>
      <c r="E40" s="233"/>
      <c r="F40" s="68"/>
      <c r="G40" s="68"/>
      <c r="H40" s="165" t="s">
        <v>33</v>
      </c>
      <c r="I40" s="166">
        <v>4555</v>
      </c>
      <c r="J40" s="276">
        <v>4</v>
      </c>
      <c r="K40" s="235"/>
      <c r="L40" s="99"/>
      <c r="P40" s="105"/>
      <c r="Q40" s="105"/>
      <c r="R40" s="134"/>
    </row>
    <row r="41" spans="1:19" s="2" customFormat="1" ht="33" customHeight="1" thickBot="1">
      <c r="A41" s="70"/>
      <c r="B41" s="58"/>
      <c r="C41" s="58"/>
      <c r="D41" s="58"/>
      <c r="E41" s="58"/>
      <c r="F41" s="71"/>
      <c r="G41" s="58"/>
      <c r="H41" s="70"/>
      <c r="I41" s="58"/>
      <c r="J41" s="107" t="str">
        <f>I19</f>
        <v>ANTES DE INMERSIÓN</v>
      </c>
      <c r="K41" s="107" t="str">
        <f>K19</f>
        <v xml:space="preserve">DESPUÉS DE INMERSIÓN </v>
      </c>
      <c r="L41" s="108"/>
      <c r="M41" s="20"/>
      <c r="P41" s="109"/>
      <c r="Q41" s="135"/>
      <c r="R41" s="136"/>
    </row>
    <row r="42" spans="1:19" s="2" customFormat="1" ht="22.5" customHeight="1">
      <c r="A42" s="70"/>
      <c r="B42" s="58"/>
      <c r="C42" s="58"/>
      <c r="D42" s="58"/>
      <c r="E42" s="58"/>
      <c r="F42" s="58"/>
      <c r="G42" s="58"/>
      <c r="H42" s="21" t="s">
        <v>74</v>
      </c>
      <c r="I42" s="110" t="s">
        <v>60</v>
      </c>
      <c r="J42" s="111">
        <f>(J27/6.9)*100</f>
        <v>2.1079005010952079</v>
      </c>
      <c r="K42" s="112">
        <f>(L27/6.9)*100</f>
        <v>1.8303477660755543</v>
      </c>
      <c r="L42" s="99"/>
      <c r="P42" s="113"/>
      <c r="Q42" s="137"/>
      <c r="R42" s="136"/>
    </row>
    <row r="43" spans="1:19" s="2" customFormat="1" ht="22.5" customHeight="1" thickBot="1">
      <c r="A43" s="70"/>
      <c r="B43" s="73"/>
      <c r="C43" s="58"/>
      <c r="D43" s="58"/>
      <c r="E43" s="58"/>
      <c r="F43" s="58"/>
      <c r="G43" s="58"/>
      <c r="H43" s="74" t="s">
        <v>75</v>
      </c>
      <c r="I43" s="114" t="s">
        <v>60</v>
      </c>
      <c r="J43" s="115">
        <f>(J31/10.3)*100</f>
        <v>1.8342077227682965</v>
      </c>
      <c r="K43" s="116">
        <f>(L31/10.3)*100</f>
        <v>1.4372148183883091</v>
      </c>
      <c r="L43" s="99"/>
      <c r="P43" s="117"/>
      <c r="Q43" s="138"/>
      <c r="R43" s="139"/>
    </row>
    <row r="44" spans="1:19" s="2" customFormat="1" ht="22.5" customHeight="1" thickBot="1">
      <c r="A44" s="70"/>
      <c r="B44" s="73"/>
      <c r="C44" s="73"/>
      <c r="D44" s="73"/>
      <c r="E44" s="58"/>
      <c r="F44" s="58"/>
      <c r="G44" s="58"/>
      <c r="H44" s="74" t="s">
        <v>76</v>
      </c>
      <c r="I44" s="114"/>
      <c r="J44" s="118">
        <f>IF(J42&lt;J43,J42,J43)</f>
        <v>1.8342077227682965</v>
      </c>
      <c r="K44" s="119">
        <f>IF(K42&lt;K43,K42,K43)</f>
        <v>1.4372148183883091</v>
      </c>
      <c r="L44" s="120"/>
      <c r="M44" s="121"/>
    </row>
    <row r="45" spans="1:19" s="2" customFormat="1" ht="22.5" customHeight="1">
      <c r="A45" s="70"/>
      <c r="B45" s="58"/>
      <c r="C45" s="58"/>
      <c r="D45" s="59"/>
      <c r="E45" s="59"/>
      <c r="F45" s="59"/>
      <c r="G45" s="58"/>
      <c r="H45" s="4"/>
      <c r="I45" s="122"/>
      <c r="J45" s="122"/>
      <c r="K45" s="122"/>
      <c r="L45" s="99"/>
    </row>
    <row r="46" spans="1:19" s="2" customFormat="1" ht="22.5" customHeight="1">
      <c r="A46" s="70"/>
      <c r="B46" s="58"/>
      <c r="C46" s="58"/>
      <c r="D46" s="59"/>
      <c r="E46" s="59"/>
      <c r="F46" s="59"/>
      <c r="G46" s="58"/>
      <c r="H46" s="222" t="s">
        <v>77</v>
      </c>
      <c r="I46" s="222"/>
      <c r="J46" s="222" t="s">
        <v>78</v>
      </c>
      <c r="K46" s="222"/>
      <c r="L46" s="223"/>
    </row>
    <row r="47" spans="1:19" s="2" customFormat="1" ht="22.5" customHeight="1">
      <c r="A47" s="70"/>
      <c r="B47" s="56"/>
      <c r="C47" s="75"/>
      <c r="D47" s="76"/>
      <c r="E47" s="59"/>
      <c r="F47" s="59"/>
      <c r="G47" s="59"/>
      <c r="H47" s="77"/>
      <c r="I47" s="123"/>
      <c r="J47" s="77"/>
      <c r="K47" s="123"/>
      <c r="L47" s="124"/>
    </row>
    <row r="48" spans="1:19" s="2" customFormat="1" ht="22.5" customHeight="1">
      <c r="A48" s="70"/>
      <c r="B48" s="56"/>
      <c r="C48" s="75"/>
      <c r="D48" s="76"/>
      <c r="E48" s="59"/>
      <c r="F48" s="59"/>
      <c r="G48" s="59"/>
      <c r="H48" s="77"/>
      <c r="I48" s="123"/>
      <c r="J48" s="77"/>
      <c r="K48" s="123"/>
      <c r="L48" s="124"/>
    </row>
    <row r="49" spans="1:15" s="2" customFormat="1" ht="22.5" customHeight="1">
      <c r="A49" s="70"/>
      <c r="B49" s="56"/>
      <c r="C49" s="75"/>
      <c r="D49" s="76"/>
      <c r="E49" s="59"/>
      <c r="F49" s="59"/>
      <c r="G49" s="59"/>
      <c r="H49" s="77"/>
      <c r="I49" s="123"/>
      <c r="J49" s="77"/>
      <c r="K49"/>
      <c r="L49" s="124"/>
    </row>
    <row r="50" spans="1:15" s="2" customFormat="1" ht="22.5" customHeight="1">
      <c r="A50" s="70"/>
      <c r="B50" s="56"/>
      <c r="C50" s="75"/>
      <c r="D50" s="76"/>
      <c r="E50" s="59"/>
      <c r="F50" s="59"/>
      <c r="G50" s="59"/>
      <c r="H50" s="78"/>
      <c r="I50" s="78"/>
      <c r="J50" s="77"/>
      <c r="K50" s="123"/>
      <c r="L50" s="124"/>
    </row>
    <row r="51" spans="1:15" s="2" customFormat="1" ht="22.5" customHeight="1">
      <c r="A51" s="70"/>
      <c r="B51" s="56"/>
      <c r="C51" s="75"/>
      <c r="D51" s="76"/>
      <c r="E51" s="59"/>
      <c r="F51" s="59"/>
      <c r="G51" s="59"/>
      <c r="H51" s="220" t="s">
        <v>79</v>
      </c>
      <c r="I51" s="220"/>
      <c r="J51" s="220" t="s">
        <v>87</v>
      </c>
      <c r="K51" s="220"/>
      <c r="L51" s="221"/>
    </row>
    <row r="52" spans="1:15" s="2" customFormat="1" ht="22.5" customHeight="1">
      <c r="A52" s="70"/>
      <c r="B52" s="56"/>
      <c r="C52" s="75"/>
      <c r="D52" s="76"/>
      <c r="E52" s="59"/>
      <c r="F52" s="59"/>
      <c r="G52" s="59"/>
      <c r="H52" s="222" t="s">
        <v>80</v>
      </c>
      <c r="I52" s="222"/>
      <c r="J52" s="222" t="s">
        <v>81</v>
      </c>
      <c r="K52" s="222"/>
      <c r="L52" s="223"/>
    </row>
    <row r="53" spans="1:15" s="2" customFormat="1" ht="22.5" customHeight="1">
      <c r="A53" s="70"/>
      <c r="B53" s="56"/>
      <c r="C53" s="75"/>
      <c r="D53" s="76"/>
      <c r="E53" s="59"/>
      <c r="F53" s="59"/>
      <c r="G53" s="59"/>
      <c r="H53" s="186"/>
      <c r="I53" s="186"/>
      <c r="J53" s="186"/>
      <c r="K53" s="186"/>
      <c r="L53" s="99"/>
    </row>
    <row r="54" spans="1:15" s="2" customFormat="1" ht="22.5" customHeight="1">
      <c r="A54" s="70"/>
      <c r="B54" s="56"/>
      <c r="C54" s="75"/>
      <c r="D54" s="76"/>
      <c r="E54" s="59"/>
      <c r="F54" s="59"/>
      <c r="G54" s="59"/>
      <c r="H54" s="58"/>
      <c r="I54" s="58"/>
      <c r="J54" s="125"/>
      <c r="K54" s="58"/>
      <c r="L54" s="99"/>
      <c r="M54" s="126"/>
      <c r="N54" s="3"/>
    </row>
    <row r="55" spans="1:15" s="2" customFormat="1" ht="22.5" customHeight="1">
      <c r="A55" s="70"/>
      <c r="B55" s="56"/>
      <c r="C55" s="75"/>
      <c r="D55" s="76"/>
      <c r="E55" s="59"/>
      <c r="F55" s="59"/>
      <c r="G55" s="59"/>
      <c r="H55" s="58"/>
      <c r="I55" s="58"/>
      <c r="J55" s="127"/>
      <c r="K55" s="125"/>
      <c r="L55" s="128"/>
      <c r="M55" s="129"/>
      <c r="N55" s="3"/>
    </row>
    <row r="56" spans="1:15" s="2" customFormat="1" ht="22.5" customHeight="1">
      <c r="A56" s="264" t="s">
        <v>82</v>
      </c>
      <c r="B56" s="265"/>
      <c r="C56" s="265"/>
      <c r="D56" s="265"/>
      <c r="E56" s="265"/>
      <c r="F56" s="265"/>
      <c r="G56" s="265"/>
      <c r="H56" s="265"/>
      <c r="I56" s="265"/>
      <c r="J56" s="265"/>
      <c r="K56" s="265"/>
      <c r="L56" s="266"/>
      <c r="M56" s="130"/>
      <c r="N56" s="3"/>
      <c r="O56" s="3"/>
    </row>
    <row r="57" spans="1:15" s="2" customFormat="1" ht="22.5" customHeight="1">
      <c r="A57" s="261" t="s">
        <v>83</v>
      </c>
      <c r="B57" s="262"/>
      <c r="C57" s="262"/>
      <c r="D57" s="262"/>
      <c r="E57" s="262"/>
      <c r="F57" s="262"/>
      <c r="G57" s="262"/>
      <c r="H57" s="262"/>
      <c r="I57" s="262"/>
      <c r="J57" s="262"/>
      <c r="K57" s="262"/>
      <c r="L57" s="263"/>
      <c r="M57" s="3"/>
      <c r="N57" s="3"/>
      <c r="O57" s="3"/>
    </row>
    <row r="58" spans="1:15" s="2" customFormat="1" ht="22.5" customHeight="1">
      <c r="A58" s="261"/>
      <c r="B58" s="262"/>
      <c r="C58" s="262"/>
      <c r="D58" s="262"/>
      <c r="E58" s="262"/>
      <c r="F58" s="262"/>
      <c r="G58" s="262"/>
      <c r="H58" s="262"/>
      <c r="I58" s="262"/>
      <c r="J58" s="262"/>
      <c r="K58" s="262"/>
      <c r="L58" s="263"/>
      <c r="M58" s="3"/>
      <c r="N58" s="3"/>
      <c r="O58" s="3"/>
    </row>
    <row r="59" spans="1:15" ht="15" thickBot="1">
      <c r="A59" s="267" t="s">
        <v>84</v>
      </c>
      <c r="B59" s="268"/>
      <c r="C59" s="268"/>
      <c r="D59" s="268"/>
      <c r="E59" s="268"/>
      <c r="F59" s="268"/>
      <c r="G59" s="268"/>
      <c r="H59" s="268"/>
      <c r="I59" s="268"/>
      <c r="J59" s="268"/>
      <c r="K59" s="268"/>
      <c r="L59" s="269"/>
    </row>
    <row r="63" spans="1:15">
      <c r="I63" s="79"/>
      <c r="J63" s="79"/>
      <c r="K63" s="79"/>
      <c r="L63" s="79"/>
      <c r="M63" s="79"/>
      <c r="N63" s="79"/>
    </row>
    <row r="64" spans="1:15" ht="15" customHeight="1">
      <c r="E64" s="79"/>
      <c r="F64" s="79"/>
      <c r="G64" s="79"/>
      <c r="H64" s="79"/>
      <c r="I64" s="131"/>
      <c r="J64" s="131"/>
      <c r="K64" s="131"/>
      <c r="L64" s="131"/>
      <c r="M64" s="131"/>
      <c r="N64" s="131"/>
    </row>
    <row r="65" spans="2:18" ht="15" customHeight="1">
      <c r="E65" s="131"/>
      <c r="F65" s="131"/>
      <c r="G65" s="131"/>
      <c r="H65" s="131"/>
      <c r="I65" s="131"/>
      <c r="J65" s="131"/>
      <c r="K65" s="131"/>
      <c r="L65" s="131"/>
      <c r="M65" s="131"/>
      <c r="N65" s="131"/>
    </row>
    <row r="66" spans="2:18" ht="15" customHeight="1">
      <c r="E66" s="131"/>
      <c r="F66" s="131"/>
      <c r="G66" s="131"/>
      <c r="H66" s="131"/>
      <c r="I66" s="131"/>
      <c r="J66" s="131"/>
      <c r="K66" s="131"/>
      <c r="L66" s="131"/>
      <c r="M66" s="131"/>
      <c r="N66" s="131"/>
    </row>
    <row r="67" spans="2:18" ht="30.75" customHeight="1">
      <c r="E67" s="131"/>
      <c r="F67" s="131"/>
      <c r="G67" s="131"/>
      <c r="H67" s="131"/>
      <c r="I67" s="140"/>
      <c r="J67" s="140"/>
      <c r="K67" s="140"/>
      <c r="L67" s="140"/>
      <c r="M67" s="140"/>
      <c r="N67" s="140"/>
    </row>
    <row r="68" spans="2:18" ht="15" customHeight="1">
      <c r="E68" s="140"/>
      <c r="F68" s="140"/>
      <c r="G68" s="140"/>
      <c r="H68" s="140"/>
      <c r="I68" s="140"/>
      <c r="J68" s="140"/>
      <c r="K68" s="140"/>
      <c r="L68" s="140"/>
      <c r="M68" s="140"/>
      <c r="N68" s="140"/>
    </row>
    <row r="69" spans="2:18" ht="15" customHeight="1">
      <c r="E69" s="140"/>
      <c r="F69" s="140"/>
      <c r="G69" s="140"/>
      <c r="H69" s="140"/>
    </row>
    <row r="70" spans="2:18" ht="31.5" customHeight="1">
      <c r="E70" s="270"/>
      <c r="F70" s="270"/>
      <c r="G70" s="270"/>
      <c r="H70" s="270"/>
      <c r="I70" s="270"/>
      <c r="J70" s="270"/>
      <c r="K70" s="270"/>
      <c r="L70" s="270"/>
      <c r="M70" s="270"/>
      <c r="N70" s="270"/>
      <c r="O70" s="270"/>
      <c r="P70" s="270"/>
    </row>
    <row r="71" spans="2:18" ht="24" customHeight="1">
      <c r="B71" s="141"/>
      <c r="C71" s="142"/>
      <c r="D71" s="142"/>
      <c r="E71" s="142"/>
      <c r="F71" s="142"/>
      <c r="G71" s="142"/>
      <c r="H71" s="142"/>
      <c r="I71" s="142"/>
      <c r="J71" s="142"/>
      <c r="K71" s="142"/>
      <c r="L71" s="142"/>
      <c r="M71" s="142"/>
      <c r="N71" s="142"/>
      <c r="O71" s="142"/>
      <c r="P71" s="142"/>
      <c r="Q71" s="142"/>
      <c r="R71" s="142"/>
    </row>
    <row r="72" spans="2:18" ht="15" customHeight="1">
      <c r="B72" s="142"/>
      <c r="C72" s="142"/>
      <c r="D72" s="260"/>
      <c r="E72" s="260"/>
      <c r="F72" s="260"/>
      <c r="G72" s="260"/>
      <c r="H72" s="260"/>
      <c r="I72" s="260"/>
      <c r="J72" s="260"/>
      <c r="K72" s="260"/>
      <c r="L72" s="260"/>
      <c r="M72" s="260"/>
      <c r="N72" s="260"/>
      <c r="O72" s="260"/>
      <c r="P72" s="142"/>
      <c r="Q72" s="142"/>
      <c r="R72" s="142"/>
    </row>
    <row r="73" spans="2:18">
      <c r="D73" s="260"/>
      <c r="E73" s="260"/>
      <c r="F73" s="260"/>
      <c r="G73" s="260"/>
      <c r="H73" s="260"/>
      <c r="I73" s="260"/>
      <c r="J73" s="260"/>
      <c r="K73" s="260"/>
      <c r="L73" s="260"/>
      <c r="M73" s="260"/>
      <c r="N73" s="260"/>
      <c r="O73" s="260"/>
    </row>
  </sheetData>
  <sheetProtection formatCells="0" formatColumns="0" insertColumns="0" insertRows="0" deleteColumns="0" deleteRows="0"/>
  <mergeCells count="74">
    <mergeCell ref="D72:O73"/>
    <mergeCell ref="H46:I46"/>
    <mergeCell ref="J46:L46"/>
    <mergeCell ref="H51:I51"/>
    <mergeCell ref="J51:L51"/>
    <mergeCell ref="H52:I52"/>
    <mergeCell ref="J52:L52"/>
    <mergeCell ref="H53:K53"/>
    <mergeCell ref="A56:L56"/>
    <mergeCell ref="A57:L58"/>
    <mergeCell ref="A59:L59"/>
    <mergeCell ref="E70:P70"/>
    <mergeCell ref="A39:B39"/>
    <mergeCell ref="D39:E39"/>
    <mergeCell ref="J39:K39"/>
    <mergeCell ref="A40:B40"/>
    <mergeCell ref="D40:E40"/>
    <mergeCell ref="J40:K40"/>
    <mergeCell ref="A38:B38"/>
    <mergeCell ref="D38:E38"/>
    <mergeCell ref="H38:I38"/>
    <mergeCell ref="J38:K38"/>
    <mergeCell ref="A28:B28"/>
    <mergeCell ref="A29:E29"/>
    <mergeCell ref="A30:B30"/>
    <mergeCell ref="A31:B31"/>
    <mergeCell ref="A32:B32"/>
    <mergeCell ref="A33:B33"/>
    <mergeCell ref="A34:B34"/>
    <mergeCell ref="A36:E36"/>
    <mergeCell ref="H36:K36"/>
    <mergeCell ref="A37:B37"/>
    <mergeCell ref="D37:E37"/>
    <mergeCell ref="A27:B27"/>
    <mergeCell ref="A19:C19"/>
    <mergeCell ref="G19:H20"/>
    <mergeCell ref="I19:J19"/>
    <mergeCell ref="K19:L19"/>
    <mergeCell ref="A20:B20"/>
    <mergeCell ref="A21:B21"/>
    <mergeCell ref="A22:B22"/>
    <mergeCell ref="A23:B23"/>
    <mergeCell ref="A24:B24"/>
    <mergeCell ref="A25:B25"/>
    <mergeCell ref="A26:B26"/>
    <mergeCell ref="A18:E18"/>
    <mergeCell ref="G18:L18"/>
    <mergeCell ref="C8:G8"/>
    <mergeCell ref="H8:I8"/>
    <mergeCell ref="J8:L8"/>
    <mergeCell ref="C9:G9"/>
    <mergeCell ref="H9:I9"/>
    <mergeCell ref="C10:G10"/>
    <mergeCell ref="H10:I10"/>
    <mergeCell ref="J10:L10"/>
    <mergeCell ref="B11:K11"/>
    <mergeCell ref="F12:G12"/>
    <mergeCell ref="H12:I12"/>
    <mergeCell ref="C13:L13"/>
    <mergeCell ref="A16:L16"/>
    <mergeCell ref="B5:K5"/>
    <mergeCell ref="C6:G6"/>
    <mergeCell ref="H6:I6"/>
    <mergeCell ref="J6:L6"/>
    <mergeCell ref="C7:G7"/>
    <mergeCell ref="H7:I7"/>
    <mergeCell ref="J7:L7"/>
    <mergeCell ref="A1:B4"/>
    <mergeCell ref="C1:J1"/>
    <mergeCell ref="K1:L1"/>
    <mergeCell ref="C2:J4"/>
    <mergeCell ref="K2:L2"/>
    <mergeCell ref="K3:L3"/>
    <mergeCell ref="K4:L4"/>
  </mergeCells>
  <conditionalFormatting sqref="C6:G10">
    <cfRule type="containsBlanks" dxfId="9" priority="10">
      <formula>LEN(TRIM(C6))=0</formula>
    </cfRule>
  </conditionalFormatting>
  <conditionalFormatting sqref="C13:L13">
    <cfRule type="containsBlanks" dxfId="8" priority="9">
      <formula>LEN(TRIM(C13))=0</formula>
    </cfRule>
  </conditionalFormatting>
  <conditionalFormatting sqref="D20:D24">
    <cfRule type="containsBlanks" dxfId="7" priority="4">
      <formula>LEN(TRIM(D20))=0</formula>
    </cfRule>
  </conditionalFormatting>
  <conditionalFormatting sqref="D37:D38">
    <cfRule type="containsBlanks" dxfId="6" priority="3">
      <formula>LEN(TRIM(D37))=0</formula>
    </cfRule>
  </conditionalFormatting>
  <conditionalFormatting sqref="D30:E33">
    <cfRule type="containsBlanks" dxfId="5" priority="1">
      <formula>LEN(TRIM(D30))=0</formula>
    </cfRule>
  </conditionalFormatting>
  <conditionalFormatting sqref="E23">
    <cfRule type="containsBlanks" dxfId="4" priority="5">
      <formula>LEN(TRIM(E23))=0</formula>
    </cfRule>
  </conditionalFormatting>
  <conditionalFormatting sqref="F12:G12">
    <cfRule type="containsBlanks" dxfId="3" priority="8">
      <formula>LEN(TRIM(F12))=0</formula>
    </cfRule>
  </conditionalFormatting>
  <conditionalFormatting sqref="I22:I34">
    <cfRule type="containsBlanks" dxfId="2" priority="7">
      <formula>LEN(TRIM(I22))=0</formula>
    </cfRule>
  </conditionalFormatting>
  <conditionalFormatting sqref="I37">
    <cfRule type="containsBlanks" dxfId="1" priority="2">
      <formula>LEN(TRIM(I37))=0</formula>
    </cfRule>
  </conditionalFormatting>
  <conditionalFormatting sqref="K22:K34">
    <cfRule type="containsBlanks" dxfId="0" priority="6">
      <formula>LEN(TRIM(K22))=0</formula>
    </cfRule>
  </conditionalFormatting>
  <dataValidations count="2">
    <dataValidation type="list" allowBlank="1" showInputMessage="1" showErrorMessage="1" sqref="I37" xr:uid="{A424DE65-0033-43A1-B871-C6BE8CEC1E97}">
      <formula1>"5 kN, 50 kN"</formula1>
    </dataValidation>
    <dataValidation type="list" allowBlank="1" showInputMessage="1" showErrorMessage="1" sqref="C12" xr:uid="{821462C5-0C86-4BB6-85F4-EA633100921B}">
      <formula1>$T$6:$T$13</formula1>
    </dataValidation>
  </dataValidations>
  <printOptions horizontalCentered="1" verticalCentered="1"/>
  <pageMargins left="0.31496062992126" right="0.31496062992126" top="0.15748031496063" bottom="0.55118110236220497" header="0" footer="0.118110236220472"/>
  <pageSetup scale="42" fitToWidth="0" fitToHeight="0" orientation="landscape" r:id="rId1"/>
  <headerFooter>
    <oddFooter>&amp;C&amp;"Arial,Normal"&amp;10GEODELTA S.A.S. Calle 68 B bis No 70 C 95, Móvil: 318 7902368 Bogotá DC - Colombia
e-mail: laboratoriogeodelta@gmail.com</oddFooter>
  </headerFooter>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23</vt:i4>
      </vt:variant>
      <vt:variant>
        <vt:lpstr>Rangos con nombre</vt:lpstr>
      </vt:variant>
      <vt:variant>
        <vt:i4>23</vt:i4>
      </vt:variant>
    </vt:vector>
  </HeadingPairs>
  <TitlesOfParts>
    <vt:vector size="46" baseType="lpstr">
      <vt:lpstr>GUIA</vt:lpstr>
      <vt:lpstr>CAV-S1-AP2-M2</vt:lpstr>
      <vt:lpstr>CAV-S2-AP4-M2</vt:lpstr>
      <vt:lpstr>CAV-AP4-M4</vt:lpstr>
      <vt:lpstr>PALMASECA AP1 M4</vt:lpstr>
      <vt:lpstr>PALMASECA AP2 M3</vt:lpstr>
      <vt:lpstr>PALMASECA AP3 M3</vt:lpstr>
      <vt:lpstr>ESTAMBUL AP1 M3</vt:lpstr>
      <vt:lpstr>CIAT AP2 M2</vt:lpstr>
      <vt:lpstr>CIAT AP1 M3</vt:lpstr>
      <vt:lpstr>P-VILARICA AP2 M2</vt:lpstr>
      <vt:lpstr>P-VILARICA AP4 M3</vt:lpstr>
      <vt:lpstr>P-VILARICA AP6 M3</vt:lpstr>
      <vt:lpstr>P-VILARICA AP5 M3</vt:lpstr>
      <vt:lpstr>P-ROZO AP1 M3</vt:lpstr>
      <vt:lpstr>P-CERRITO AP2 M2</vt:lpstr>
      <vt:lpstr>LA TORRE VARIANTE ROZO AP1 M4</vt:lpstr>
      <vt:lpstr>LA TORRE VARIANTE ROZO AP3 M3</vt:lpstr>
      <vt:lpstr>TARDES CALEÑAS AP4 M2</vt:lpstr>
      <vt:lpstr>UNIVALLE AP1 M3</vt:lpstr>
      <vt:lpstr>UNIVALLE AP2 M3</vt:lpstr>
      <vt:lpstr>UNIVALLE AP3 M3</vt:lpstr>
      <vt:lpstr>UNIVALLE AP4 M3</vt:lpstr>
      <vt:lpstr>'CAV-AP4-M4'!Área_de_impresión</vt:lpstr>
      <vt:lpstr>'CAV-S1-AP2-M2'!Área_de_impresión</vt:lpstr>
      <vt:lpstr>'CAV-S2-AP4-M2'!Área_de_impresión</vt:lpstr>
      <vt:lpstr>'CIAT AP1 M3'!Área_de_impresión</vt:lpstr>
      <vt:lpstr>'CIAT AP2 M2'!Área_de_impresión</vt:lpstr>
      <vt:lpstr>'ESTAMBUL AP1 M3'!Área_de_impresión</vt:lpstr>
      <vt:lpstr>GUIA!Área_de_impresión</vt:lpstr>
      <vt:lpstr>'LA TORRE VARIANTE ROZO AP1 M4'!Área_de_impresión</vt:lpstr>
      <vt:lpstr>'LA TORRE VARIANTE ROZO AP3 M3'!Área_de_impresión</vt:lpstr>
      <vt:lpstr>'PALMASECA AP1 M4'!Área_de_impresión</vt:lpstr>
      <vt:lpstr>'PALMASECA AP2 M3'!Área_de_impresión</vt:lpstr>
      <vt:lpstr>'PALMASECA AP3 M3'!Área_de_impresión</vt:lpstr>
      <vt:lpstr>'P-CERRITO AP2 M2'!Área_de_impresión</vt:lpstr>
      <vt:lpstr>'P-ROZO AP1 M3'!Área_de_impresión</vt:lpstr>
      <vt:lpstr>'P-VILARICA AP2 M2'!Área_de_impresión</vt:lpstr>
      <vt:lpstr>'P-VILARICA AP4 M3'!Área_de_impresión</vt:lpstr>
      <vt:lpstr>'P-VILARICA AP5 M3'!Área_de_impresión</vt:lpstr>
      <vt:lpstr>'P-VILARICA AP6 M3'!Área_de_impresión</vt:lpstr>
      <vt:lpstr>'TARDES CALEÑAS AP4 M2'!Área_de_impresión</vt:lpstr>
      <vt:lpstr>'UNIVALLE AP1 M3'!Área_de_impresión</vt:lpstr>
      <vt:lpstr>'UNIVALLE AP2 M3'!Área_de_impresión</vt:lpstr>
      <vt:lpstr>'UNIVALLE AP3 M3'!Área_de_impresión</vt:lpstr>
      <vt:lpstr>'UNIVALLE AP4 M3'!Área_de_impresión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DCM-03</dc:creator>
  <cp:lastModifiedBy>GeoDelta Líneas</cp:lastModifiedBy>
  <cp:lastPrinted>2026-02-03T18:40:22Z</cp:lastPrinted>
  <dcterms:created xsi:type="dcterms:W3CDTF">2019-08-12T12:19:00Z</dcterms:created>
  <dcterms:modified xsi:type="dcterms:W3CDTF">2026-04-23T20:06:24Z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F5651BB2D25340399F9D94EF897E1EE1_12</vt:lpwstr>
  </property>
  <property fmtid="{D5CDD505-2E9C-101B-9397-08002B2CF9AE}" pid="3" name="KSOProductBuildVer">
    <vt:lpwstr>2058-12.2.0.21179</vt:lpwstr>
  </property>
</Properties>
</file>