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Users\GeoDelta Líneas\Dropbox\14. GEODELTA\014 FORMATOS ACTUALIZADOS 2026\FORMATOS PARA DIGITAR ACTUALIZADOS 2026\"/>
    </mc:Choice>
  </mc:AlternateContent>
  <xr:revisionPtr revIDLastSave="0" documentId="13_ncr:1_{10236C32-61FA-4022-914E-5B6DC034EDFF}" xr6:coauthVersionLast="47" xr6:coauthVersionMax="47" xr10:uidLastSave="{00000000-0000-0000-0000-000000000000}"/>
  <bookViews>
    <workbookView xWindow="-120" yWindow="-120" windowWidth="20730" windowHeight="11040" xr2:uid="{00000000-000D-0000-FFFF-FFFF00000000}"/>
  </bookViews>
  <sheets>
    <sheet name="Hoja1" sheetId="1" r:id="rId1"/>
    <sheet name="CONTROL DE CAMBIOS" sheetId="2" r:id="rId2"/>
  </sheets>
  <functionGroups builtInGroupCount="19"/>
  <externalReferences>
    <externalReference r:id="rId3"/>
  </externalReferences>
  <definedNames>
    <definedName name="__123Graph_AYO">#REF!</definedName>
    <definedName name="__123Graph_XYO">#REF!</definedName>
    <definedName name="_Fill">#REF!</definedName>
    <definedName name="_Regression_Out">[1]L!#REF!</definedName>
    <definedName name="_Regression_X">#REF!</definedName>
    <definedName name="_Regression_Y">#REF!</definedName>
    <definedName name="_xlnm.Print_Area" localSheetId="0">Hoja1!$A$1:$AH$67</definedName>
    <definedName name="GFDGSD">[1]L!#REF!</definedName>
    <definedName name="S1M18">#REF!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8" roundtripDataChecksum="xfGq7LmHT0ytB8DH3dc9vh8r/xFSRngLye8xomFIcI0="/>
    </ext>
  </extLst>
</workbook>
</file>

<file path=xl/calcChain.xml><?xml version="1.0" encoding="utf-8"?>
<calcChain xmlns="http://schemas.openxmlformats.org/spreadsheetml/2006/main">
  <c r="K10" i="1" l="1"/>
  <c r="AB10" i="1" s="1"/>
  <c r="AB9" i="1"/>
  <c r="AP86" i="1"/>
  <c r="AQ86" i="1" s="1"/>
  <c r="AN86" i="1"/>
  <c r="AO86" i="1" s="1"/>
  <c r="AL86" i="1"/>
  <c r="AM86" i="1" s="1"/>
  <c r="AJ86" i="1"/>
  <c r="AK86" i="1" s="1"/>
  <c r="AP85" i="1"/>
  <c r="AQ85" i="1" s="1"/>
  <c r="AN85" i="1"/>
  <c r="AO85" i="1" s="1"/>
  <c r="AL85" i="1"/>
  <c r="AM85" i="1" s="1"/>
  <c r="AJ85" i="1"/>
  <c r="AK85" i="1" s="1"/>
  <c r="L85" i="1"/>
  <c r="AQ84" i="1"/>
  <c r="AP84" i="1"/>
  <c r="AO84" i="1"/>
  <c r="AN84" i="1"/>
  <c r="AM84" i="1"/>
  <c r="AL84" i="1"/>
  <c r="AK84" i="1"/>
  <c r="AJ84" i="1"/>
  <c r="AQ83" i="1"/>
  <c r="AP83" i="1"/>
  <c r="AO83" i="1"/>
  <c r="AN83" i="1"/>
  <c r="AM83" i="1"/>
  <c r="AL83" i="1"/>
  <c r="AK83" i="1"/>
  <c r="AJ83" i="1"/>
  <c r="AP82" i="1"/>
  <c r="AQ82" i="1" s="1"/>
  <c r="AN82" i="1"/>
  <c r="AO82" i="1" s="1"/>
  <c r="AL82" i="1"/>
  <c r="AM82" i="1" s="1"/>
  <c r="AJ82" i="1"/>
  <c r="AK82" i="1" s="1"/>
  <c r="AP81" i="1"/>
  <c r="AQ81" i="1" s="1"/>
  <c r="AN81" i="1"/>
  <c r="AO81" i="1" s="1"/>
  <c r="AL81" i="1"/>
  <c r="AM81" i="1" s="1"/>
  <c r="AJ81" i="1"/>
  <c r="AK81" i="1" s="1"/>
  <c r="AP80" i="1"/>
  <c r="AQ80" i="1" s="1"/>
  <c r="AN80" i="1"/>
  <c r="AO80" i="1" s="1"/>
  <c r="AL80" i="1"/>
  <c r="AM80" i="1" s="1"/>
  <c r="AJ80" i="1"/>
  <c r="AK80" i="1" s="1"/>
  <c r="AP79" i="1"/>
  <c r="AQ79" i="1" s="1"/>
  <c r="AD40" i="1" s="1"/>
  <c r="AD42" i="1" s="1"/>
  <c r="AL94" i="1" s="1"/>
  <c r="AN79" i="1"/>
  <c r="AO79" i="1" s="1"/>
  <c r="AA40" i="1" s="1"/>
  <c r="AA42" i="1" s="1"/>
  <c r="AK94" i="1" s="1"/>
  <c r="AL79" i="1"/>
  <c r="AM79" i="1" s="1"/>
  <c r="W40" i="1" s="1"/>
  <c r="W42" i="1" s="1"/>
  <c r="AJ94" i="1" s="1"/>
  <c r="AJ79" i="1"/>
  <c r="AK79" i="1" s="1"/>
  <c r="AP78" i="1"/>
  <c r="AQ78" i="1" s="1"/>
  <c r="AN78" i="1"/>
  <c r="AO78" i="1" s="1"/>
  <c r="AL78" i="1"/>
  <c r="AM78" i="1" s="1"/>
  <c r="AJ78" i="1"/>
  <c r="AK78" i="1" s="1"/>
  <c r="D78" i="1"/>
  <c r="M34" i="1" s="1"/>
  <c r="AQ77" i="1"/>
  <c r="AP77" i="1"/>
  <c r="AN77" i="1"/>
  <c r="AO77" i="1" s="1"/>
  <c r="AM77" i="1"/>
  <c r="AL77" i="1"/>
  <c r="AJ77" i="1"/>
  <c r="AK77" i="1" s="1"/>
  <c r="AQ76" i="1"/>
  <c r="AP76" i="1"/>
  <c r="AN76" i="1"/>
  <c r="AO76" i="1" s="1"/>
  <c r="AM76" i="1"/>
  <c r="AL76" i="1"/>
  <c r="AJ76" i="1"/>
  <c r="AK76" i="1" s="1"/>
  <c r="AQ75" i="1"/>
  <c r="AP75" i="1"/>
  <c r="AN75" i="1"/>
  <c r="AO75" i="1" s="1"/>
  <c r="AM75" i="1"/>
  <c r="AL75" i="1"/>
  <c r="AJ75" i="1"/>
  <c r="AK75" i="1" s="1"/>
  <c r="AH48" i="1"/>
  <c r="AH47" i="1"/>
  <c r="AG47" i="1"/>
  <c r="AG48" i="1" s="1"/>
  <c r="AF47" i="1"/>
  <c r="AF48" i="1" s="1"/>
  <c r="X47" i="1"/>
  <c r="S47" i="1"/>
  <c r="R47" i="1"/>
  <c r="Q47" i="1"/>
  <c r="M42" i="1"/>
  <c r="AD41" i="1"/>
  <c r="AA41" i="1"/>
  <c r="W41" i="1"/>
  <c r="M41" i="1"/>
  <c r="M43" i="1" s="1"/>
  <c r="S40" i="1"/>
  <c r="R40" i="1"/>
  <c r="Q40" i="1"/>
  <c r="M39" i="1"/>
  <c r="AG37" i="1"/>
  <c r="AC37" i="1"/>
  <c r="Y37" i="1"/>
  <c r="V37" i="1"/>
  <c r="M37" i="1"/>
  <c r="X45" i="1" s="1"/>
  <c r="H36" i="1"/>
  <c r="H37" i="1" s="1"/>
  <c r="F36" i="1"/>
  <c r="F37" i="1" s="1"/>
  <c r="AG35" i="1"/>
  <c r="AC35" i="1"/>
  <c r="Y35" i="1"/>
  <c r="V35" i="1"/>
  <c r="AG34" i="1"/>
  <c r="AC34" i="1"/>
  <c r="Y34" i="1"/>
  <c r="V34" i="1"/>
  <c r="H34" i="1"/>
  <c r="G34" i="1"/>
  <c r="F34" i="1"/>
  <c r="E34" i="1"/>
  <c r="AG33" i="1"/>
  <c r="AC33" i="1"/>
  <c r="Y33" i="1"/>
  <c r="V33" i="1"/>
  <c r="M33" i="1"/>
  <c r="AG31" i="1"/>
  <c r="AC31" i="1"/>
  <c r="Y31" i="1"/>
  <c r="V31" i="1"/>
  <c r="M31" i="1"/>
  <c r="AG30" i="1"/>
  <c r="AC30" i="1"/>
  <c r="Y30" i="1"/>
  <c r="V30" i="1"/>
  <c r="M30" i="1"/>
  <c r="AG28" i="1"/>
  <c r="AC28" i="1"/>
  <c r="Y28" i="1"/>
  <c r="V28" i="1"/>
  <c r="S28" i="1"/>
  <c r="S30" i="1" s="1"/>
  <c r="S31" i="1" s="1"/>
  <c r="AL91" i="1" s="1"/>
  <c r="R28" i="1"/>
  <c r="R30" i="1" s="1"/>
  <c r="R31" i="1" s="1"/>
  <c r="AK91" i="1" s="1"/>
  <c r="Q28" i="1"/>
  <c r="Q30" i="1" s="1"/>
  <c r="Q31" i="1" s="1"/>
  <c r="AJ91" i="1" s="1"/>
  <c r="AG26" i="1"/>
  <c r="AC26" i="1"/>
  <c r="Y26" i="1"/>
  <c r="V26" i="1"/>
  <c r="M26" i="1"/>
  <c r="M28" i="1" s="1"/>
  <c r="AG25" i="1"/>
  <c r="AC25" i="1"/>
  <c r="Y25" i="1"/>
  <c r="V25" i="1"/>
  <c r="H25" i="1"/>
  <c r="G25" i="1"/>
  <c r="G36" i="1" s="1"/>
  <c r="G37" i="1" s="1"/>
  <c r="F25" i="1"/>
  <c r="E25" i="1"/>
  <c r="E36" i="1" s="1"/>
  <c r="E37" i="1" s="1"/>
  <c r="AG24" i="1"/>
  <c r="AC24" i="1"/>
  <c r="Y24" i="1"/>
  <c r="V24" i="1"/>
  <c r="AG23" i="1"/>
  <c r="AC23" i="1"/>
  <c r="Y23" i="1"/>
  <c r="V23" i="1"/>
  <c r="AG22" i="1"/>
  <c r="AC22" i="1"/>
  <c r="Y22" i="1"/>
  <c r="V22" i="1"/>
  <c r="M20" i="1"/>
  <c r="AE19" i="1"/>
  <c r="AB53" i="1" s="1"/>
  <c r="AA19" i="1"/>
  <c r="AK90" i="1" s="1"/>
  <c r="W19" i="1"/>
  <c r="AJ90" i="1" s="1"/>
  <c r="Q13" i="1"/>
  <c r="AF12" i="1"/>
  <c r="AC12" i="1"/>
  <c r="V12" i="1"/>
  <c r="Q12" i="1"/>
  <c r="W10" i="1"/>
  <c r="Q10" i="1"/>
  <c r="O10" i="1"/>
  <c r="W9" i="1"/>
  <c r="Q9" i="1"/>
  <c r="O9" i="1"/>
  <c r="AV8" i="1"/>
  <c r="AB8" i="1"/>
  <c r="W8" i="1"/>
  <c r="Q8" i="1"/>
  <c r="O8" i="1"/>
  <c r="AB7" i="1"/>
  <c r="W7" i="1"/>
  <c r="Q7" i="1"/>
  <c r="O7" i="1"/>
  <c r="AB6" i="1"/>
  <c r="W6" i="1"/>
  <c r="Q6" i="1"/>
  <c r="O6" i="1"/>
  <c r="R1" i="1"/>
  <c r="I84" i="1" l="1"/>
  <c r="I83" i="1" s="1"/>
  <c r="H84" i="1"/>
  <c r="H83" i="1" s="1"/>
  <c r="G84" i="1"/>
  <c r="G83" i="1" s="1"/>
  <c r="J84" i="1"/>
  <c r="J83" i="1" s="1"/>
  <c r="X46" i="1"/>
  <c r="M40" i="1"/>
  <c r="AB51" i="1"/>
  <c r="E83" i="1"/>
  <c r="AL90" i="1"/>
  <c r="S92" i="1"/>
  <c r="AB5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L9" authorId="0" shapeId="0" xr:uid="{00000000-0006-0000-0000-000002000000}">
      <text>
        <r>
          <rPr>
            <sz val="11"/>
            <color theme="1"/>
            <rFont val="Calibri"/>
            <scheme val="minor"/>
          </rPr>
          <t>======
ID#AAABgnipfY4
user    (2025-04-11 13:40:56)
CONSECUTIVO DE INGRESO</t>
        </r>
      </text>
    </comment>
    <comment ref="M9" authorId="0" shapeId="0" xr:uid="{00000000-0006-0000-0000-000001000000}">
      <text>
        <r>
          <rPr>
            <sz val="11"/>
            <color theme="1"/>
            <rFont val="Calibri"/>
            <scheme val="minor"/>
          </rPr>
          <t>======
ID#AAABgnipfYw
user    (2025-04-11 13:40:56)
DOS ÚLTIMOS DÍGITOS DEL AÑO DE INGRESO</t>
        </r>
      </text>
    </comment>
    <comment ref="F12" authorId="0" shapeId="0" xr:uid="{00000000-0006-0000-0000-000003000000}">
      <text>
        <r>
          <rPr>
            <sz val="11"/>
            <color theme="1"/>
            <rFont val="Calibri"/>
            <scheme val="minor"/>
          </rPr>
          <t>======
ID#AAABgnipfYs
user    (2025-04-11 13:40:56)
# DE LA PERFORACIÓN</t>
        </r>
      </text>
    </comment>
    <comment ref="M34" authorId="0" shapeId="0" xr:uid="{00000000-0006-0000-0000-000004000000}">
      <text>
        <r>
          <rPr>
            <sz val="11"/>
            <color theme="1"/>
            <rFont val="Calibri"/>
            <scheme val="minor"/>
          </rPr>
          <t>======
ID#AAABgnipfY0
user    (2025-04-11 13:40:56)
GRAVEDAD ESPECIFICA CELDA B71</t>
        </r>
      </text>
    </comment>
  </commentList>
  <extLst>
    <ext xmlns:r="http://schemas.openxmlformats.org/officeDocument/2006/relationships" uri="GoogleSheetsCustomDataVersion2">
      <go:sheetsCustomData xmlns:go="http://customooxmlschemas.google.com/" r:id="rId1" roundtripDataSignature="AMtx7mhQrbkZqVxs2BV4KZB4tg3dSAAA5w=="/>
    </ext>
  </extLst>
</comments>
</file>

<file path=xl/sharedStrings.xml><?xml version="1.0" encoding="utf-8"?>
<sst xmlns="http://schemas.openxmlformats.org/spreadsheetml/2006/main" count="257" uniqueCount="193">
  <si>
    <t>INFORME DE RESULTADOS</t>
  </si>
  <si>
    <t>CÓDIGO: GDA-FLC-002</t>
  </si>
  <si>
    <t>CÓDIGO: GDA-FLC-002 A</t>
  </si>
  <si>
    <t xml:space="preserve">GOLPES </t>
  </si>
  <si>
    <t xml:space="preserve">MARTILLOS DE COMPACTACIÓN </t>
  </si>
  <si>
    <t>ALTURA DE CAÍDA</t>
  </si>
  <si>
    <t xml:space="preserve">MOLDE USADO </t>
  </si>
  <si>
    <t xml:space="preserve">corrección </t>
  </si>
  <si>
    <t xml:space="preserve">PASA TAMIZ </t>
  </si>
  <si>
    <t>ENSAYO PARA LA RELACIÓN DE HUMEDAD - PESO UNITARIO SECO DE LOS SUELOS (ENSAYO MODIFICADO DE COMPACTACIÓN)              INV.- E- 142-13</t>
  </si>
  <si>
    <t>VERSIÓN: 02</t>
  </si>
  <si>
    <t>ENSAYO PARA LA DETERMINACIÓN DEL CBR DE LOS SUELOS COMPACTADOS EN EL LABORATORIO Y SOBRE MUESTRA INALTERADA INV.- E - 148-13</t>
  </si>
  <si>
    <t>PÁGINA: 1 DE 1</t>
  </si>
  <si>
    <t xml:space="preserve">tipo de perforación </t>
  </si>
  <si>
    <t>4,536 Kg</t>
  </si>
  <si>
    <t>18 ± 0,05 in</t>
  </si>
  <si>
    <t>6,00 in</t>
  </si>
  <si>
    <t>SI</t>
  </si>
  <si>
    <t>⅜</t>
  </si>
  <si>
    <t>FECHA: 19-04-2024</t>
  </si>
  <si>
    <t>2,495 Kg</t>
  </si>
  <si>
    <t>12 ± 0,05 in</t>
  </si>
  <si>
    <t>4,00 in</t>
  </si>
  <si>
    <t xml:space="preserve">NO </t>
  </si>
  <si>
    <t>¾</t>
  </si>
  <si>
    <t>N.4</t>
  </si>
  <si>
    <t>CLIENTE:</t>
  </si>
  <si>
    <t>FECHA DE RECEPCIÓN:</t>
  </si>
  <si>
    <t>SONDEO</t>
  </si>
  <si>
    <t>PROYECTO:</t>
  </si>
  <si>
    <t xml:space="preserve">FECHA DE EJECUCIÓN: </t>
  </si>
  <si>
    <t>APIQUE</t>
  </si>
  <si>
    <t>CORREO ELECTRÓNICO:</t>
  </si>
  <si>
    <t>FECHA DE EMISIÓN:</t>
  </si>
  <si>
    <t>TRINCHERA</t>
  </si>
  <si>
    <t>LOCALIZACIÓN:</t>
  </si>
  <si>
    <t xml:space="preserve">ORDEN INTERNA: </t>
  </si>
  <si>
    <t>GDA</t>
  </si>
  <si>
    <t>NQ</t>
  </si>
  <si>
    <t>MUESTRA TOMADA POR:</t>
  </si>
  <si>
    <t>INFORME ID No:</t>
  </si>
  <si>
    <t>N/A</t>
  </si>
  <si>
    <t>PERFORACIÓN:</t>
  </si>
  <si>
    <t>MUESTRA No. :</t>
  </si>
  <si>
    <t xml:space="preserve">PROFUNDIDAD: </t>
  </si>
  <si>
    <t>-</t>
  </si>
  <si>
    <t xml:space="preserve">DESCRIPCIÓN VISUAL: </t>
  </si>
  <si>
    <t xml:space="preserve">MÉTODO DE COMPACTACIÓN </t>
  </si>
  <si>
    <t xml:space="preserve">MÉTODO PREPARACIÓN MUESTRA </t>
  </si>
  <si>
    <t xml:space="preserve">NORMA APLICADA PARA LA COMPACTACIÓN </t>
  </si>
  <si>
    <t>RANGO</t>
  </si>
  <si>
    <t xml:space="preserve">VELOCIDAD </t>
  </si>
  <si>
    <r>
      <rPr>
        <sz val="18"/>
        <color rgb="FF002060"/>
        <rFont val="Arial"/>
        <family val="2"/>
      </rPr>
      <t>ø</t>
    </r>
    <r>
      <rPr>
        <sz val="12"/>
        <color rgb="FF002060"/>
        <rFont val="Arial"/>
        <family val="2"/>
      </rPr>
      <t xml:space="preserve">   PISTÓN </t>
    </r>
  </si>
  <si>
    <t xml:space="preserve">  A                    B                    C</t>
  </si>
  <si>
    <t xml:space="preserve">   VÍA SECA</t>
  </si>
  <si>
    <t xml:space="preserve">  VÍA HÚMEDA</t>
  </si>
  <si>
    <t xml:space="preserve">                                                   </t>
  </si>
  <si>
    <t xml:space="preserve">           A                   B                    C</t>
  </si>
  <si>
    <t xml:space="preserve">INV. - E - 141-13                    INV. - E - 142-13  </t>
  </si>
  <si>
    <t>50  KN</t>
  </si>
  <si>
    <t>1,27 mm/min</t>
  </si>
  <si>
    <t>49,63 (mm)</t>
  </si>
  <si>
    <t xml:space="preserve">DATOS INICIALES </t>
  </si>
  <si>
    <t>MASA MARTILLO USADO</t>
  </si>
  <si>
    <t xml:space="preserve">Penetración </t>
  </si>
  <si>
    <t xml:space="preserve">No. GOLPES </t>
  </si>
  <si>
    <t xml:space="preserve">ALTURA DE CAÍDA </t>
  </si>
  <si>
    <t>MOLDE No.</t>
  </si>
  <si>
    <t xml:space="preserve">Fuerza </t>
  </si>
  <si>
    <t>Esfuerzo</t>
  </si>
  <si>
    <t>Fuerza</t>
  </si>
  <si>
    <t xml:space="preserve">No. CAPAS  </t>
  </si>
  <si>
    <t xml:space="preserve">DIÁMETRO DEL MOLDE </t>
  </si>
  <si>
    <t xml:space="preserve">No. CAPAS </t>
  </si>
  <si>
    <t>(in)</t>
  </si>
  <si>
    <t>(mm)</t>
  </si>
  <si>
    <t>kN</t>
  </si>
  <si>
    <t>MPa</t>
  </si>
  <si>
    <t>MASA MUESTRA HÚMEDA + MOLDE (g)</t>
  </si>
  <si>
    <t>MASA MUESTRA + MOLDE (g)</t>
  </si>
  <si>
    <t>MASA MOLDE  (g)</t>
  </si>
  <si>
    <t>CORRECCIÓN DEL PESO UNITARIO Y CONTENIDO DE AGUA DE SOBRE TAMAÑOS                                INV. E - 143 -13</t>
  </si>
  <si>
    <t>MASA DEL MOLDE (g)</t>
  </si>
  <si>
    <t>VOLUMEN MOLDE (cm³)</t>
  </si>
  <si>
    <t>ALTURA DE LA MUESTRA (cm)</t>
  </si>
  <si>
    <t>MASA MUESTRA HÚMEDA  (g)</t>
  </si>
  <si>
    <t xml:space="preserve">% RETENIDO EN EL TAMIZ  </t>
  </si>
  <si>
    <t>DIÁMETRO DE LA MUESTRA (cm)</t>
  </si>
  <si>
    <t xml:space="preserve">FRACCIÓN GRUESA </t>
  </si>
  <si>
    <t>PFG             %</t>
  </si>
  <si>
    <t xml:space="preserve">HUMEDAD DE COMPACTACIÓN </t>
  </si>
  <si>
    <t>VOLUMEN DEL MOLDE cm³</t>
  </si>
  <si>
    <t>RECIPIENTE No.</t>
  </si>
  <si>
    <t xml:space="preserve">FRACCIÓN DE ENSAYO </t>
  </si>
  <si>
    <t>PFE           %</t>
  </si>
  <si>
    <t>MASA DE LA MUESTRA (g)</t>
  </si>
  <si>
    <t>MASA HUMEDAD + RECIPIENTE (g)</t>
  </si>
  <si>
    <t xml:space="preserve">PESO UNITARIO SECO DE LA FRACCIÓN FINA  </t>
  </si>
  <si>
    <t>DF       kN/m³</t>
  </si>
  <si>
    <t xml:space="preserve">DENSIDAD  MUESTRA HÚMEDA (g/cm³) </t>
  </si>
  <si>
    <t>MASA SECA + RECIPIENTE  (g)</t>
  </si>
  <si>
    <t xml:space="preserve">GRAVEDAD ESPECIFICA DE SOBRE TAMAÑOS </t>
  </si>
  <si>
    <r>
      <rPr>
        <b/>
        <sz val="12"/>
        <color theme="1"/>
        <rFont val="Arial"/>
        <family val="2"/>
      </rPr>
      <t>G</t>
    </r>
    <r>
      <rPr>
        <b/>
        <vertAlign val="subscript"/>
        <sz val="12"/>
        <color theme="1"/>
        <rFont val="Arial"/>
        <family val="2"/>
      </rPr>
      <t>M</t>
    </r>
  </si>
  <si>
    <t>DENSIDAD MUESTRA  SECA (g/cm³)</t>
  </si>
  <si>
    <t>MASA RECIPIENTE  (g)</t>
  </si>
  <si>
    <t xml:space="preserve">PESO UNITARIO DEL AGUA </t>
  </si>
  <si>
    <r>
      <rPr>
        <b/>
        <sz val="12"/>
        <color theme="1"/>
        <rFont val="Arial"/>
        <family val="2"/>
      </rPr>
      <t>D</t>
    </r>
    <r>
      <rPr>
        <b/>
        <vertAlign val="subscript"/>
        <sz val="12"/>
        <color theme="1"/>
        <rFont val="Arial"/>
        <family val="2"/>
      </rPr>
      <t>W</t>
    </r>
  </si>
  <si>
    <t xml:space="preserve">% HUMEDAD </t>
  </si>
  <si>
    <t xml:space="preserve">VALOR DE LA GRAVEDAD ESPECIFICA </t>
  </si>
  <si>
    <r>
      <rPr>
        <b/>
        <sz val="12"/>
        <color theme="1"/>
        <rFont val="Arial"/>
        <family val="2"/>
      </rPr>
      <t>G</t>
    </r>
    <r>
      <rPr>
        <b/>
        <vertAlign val="subscript"/>
        <sz val="12"/>
        <color theme="1"/>
        <rFont val="Arial"/>
        <family val="2"/>
      </rPr>
      <t>S</t>
    </r>
  </si>
  <si>
    <t>MASA HÚMEDA Y RECIPIENTE (g)</t>
  </si>
  <si>
    <t>DENSIDAD MUESTRA HÚMEDA  (g/cm³)</t>
  </si>
  <si>
    <t xml:space="preserve">RESULTADOS DEL ENSAYO </t>
  </si>
  <si>
    <t>DENSIDAD MUESTRA SECA  (g/cm³)</t>
  </si>
  <si>
    <t xml:space="preserve">DENSIDAD MÁXIMA </t>
  </si>
  <si>
    <t>g/cm³</t>
  </si>
  <si>
    <t>MASA SECA Y RECIPIENTE (g)</t>
  </si>
  <si>
    <t>MASA  RECIPIENTE (g)</t>
  </si>
  <si>
    <r>
      <rPr>
        <sz val="12"/>
        <color theme="1"/>
        <rFont val="Arial"/>
        <family val="2"/>
      </rPr>
      <t xml:space="preserve">DENSIDAD MÁXIMA </t>
    </r>
    <r>
      <rPr>
        <b/>
        <vertAlign val="subscript"/>
        <sz val="12"/>
        <color theme="1"/>
        <rFont val="Arial"/>
        <family val="2"/>
      </rPr>
      <t>CORREGIDA</t>
    </r>
  </si>
  <si>
    <t xml:space="preserve"> g/cm³</t>
  </si>
  <si>
    <t>DENSIDAD MÁXIMA</t>
  </si>
  <si>
    <t xml:space="preserve"> kN/m³</t>
  </si>
  <si>
    <t>C.B.R 0,100 plg      %</t>
  </si>
  <si>
    <r>
      <rPr>
        <sz val="12"/>
        <color theme="1"/>
        <rFont val="Arial"/>
        <family val="2"/>
      </rPr>
      <t xml:space="preserve">DENSIDAD MÁXIMA </t>
    </r>
    <r>
      <rPr>
        <vertAlign val="subscript"/>
        <sz val="12"/>
        <color theme="1"/>
        <rFont val="Arial"/>
        <family val="2"/>
      </rPr>
      <t>CORREGIDA</t>
    </r>
  </si>
  <si>
    <t xml:space="preserve">HUMEDAD DE PENETRACIÓN </t>
  </si>
  <si>
    <t>C.B.R 0,200 plg      %</t>
  </si>
  <si>
    <t xml:space="preserve">HUMEDAD OPTIMA </t>
  </si>
  <si>
    <t>%</t>
  </si>
  <si>
    <t>C.B.R.</t>
  </si>
  <si>
    <r>
      <rPr>
        <sz val="12"/>
        <color theme="1"/>
        <rFont val="Arial"/>
        <family val="2"/>
      </rPr>
      <t xml:space="preserve">HUMEDAD OPTIMA </t>
    </r>
    <r>
      <rPr>
        <b/>
        <vertAlign val="subscript"/>
        <sz val="12"/>
        <color theme="1"/>
        <rFont val="Arial"/>
        <family val="2"/>
      </rPr>
      <t>CORREGIDA</t>
    </r>
  </si>
  <si>
    <t xml:space="preserve">DATOS DE COMPACTACIÓN </t>
  </si>
  <si>
    <t xml:space="preserve">DATOS DE EXPANSIÓN </t>
  </si>
  <si>
    <t>LECTURA INICIAL (in)</t>
  </si>
  <si>
    <t>APROBÓ</t>
  </si>
  <si>
    <t>LECTURA FINAL (in)</t>
  </si>
  <si>
    <r>
      <rPr>
        <sz val="12"/>
        <color theme="1"/>
        <rFont val="Arial"/>
        <family val="2"/>
      </rPr>
      <t xml:space="preserve">RETENIDO EN EL TAMIZ </t>
    </r>
    <r>
      <rPr>
        <sz val="18"/>
        <color theme="1"/>
        <rFont val="Arial"/>
        <family val="2"/>
      </rPr>
      <t xml:space="preserve">  </t>
    </r>
    <r>
      <rPr>
        <sz val="18"/>
        <color theme="1"/>
        <rFont val="Calibri"/>
        <family val="2"/>
      </rPr>
      <t>¾</t>
    </r>
  </si>
  <si>
    <t>EXPANSIÓN TOTAL (cm)</t>
  </si>
  <si>
    <t>EXPANSIÓN TOTAL %</t>
  </si>
  <si>
    <t>PESAS DE SOBRE CARGA (g)</t>
  </si>
  <si>
    <t xml:space="preserve">TIEMPO DE INMERSIÓN (Días) </t>
  </si>
  <si>
    <t>Ing. SERGIO DURAN NÚÑEZ</t>
  </si>
  <si>
    <t>Director Técnico</t>
  </si>
  <si>
    <t>REVISÓ</t>
  </si>
  <si>
    <t xml:space="preserve">Jefe laboratorio </t>
  </si>
  <si>
    <t>OBSERVACIONES:</t>
  </si>
  <si>
    <t>DESCARGO DE RESPONSABILIDADES  GEODELTA INGENIERIA S.A.S.</t>
  </si>
  <si>
    <t xml:space="preserve"> El presente ensayo no podrá ser reproducido ni parcial ni totalmente sin previa autorización escrita del laboratorio que lo emite. Los resultados de este ensayo solo son aplicables a las muestras ensayadas. Este informe es valido únicamente si presenta firma de quien Reviso y/o Aprobó. El laboratorio es reponsable de toda la información suministrada en es presente inform, excepto cuando la información es suministrada por el cliente. El laboraorio no es responsable por la inforcaión suministrada por el cliente, misma que puede afectar la validez de los resultados. (DATOS SUMINISTRADOS POR EL CLIENTE: PROCEDENCIA, PROFUNDIDAD, NUMERO DE PERFORACIÓN Y FECHA DE TOMA)</t>
  </si>
  <si>
    <t xml:space="preserve"> --------------------FIN DEL INFORME--------------------</t>
  </si>
  <si>
    <t xml:space="preserve">MUESTRAS TOTALES </t>
  </si>
  <si>
    <t xml:space="preserve">VALORES GRAVEDAD ESPECIFICA </t>
  </si>
  <si>
    <t xml:space="preserve">12 GOLPES </t>
  </si>
  <si>
    <t>26 GOLPES</t>
  </si>
  <si>
    <t xml:space="preserve">56 GOLPES </t>
  </si>
  <si>
    <r>
      <rPr>
        <b/>
        <sz val="12"/>
        <color theme="1"/>
        <rFont val="Arial"/>
        <family val="2"/>
      </rPr>
      <t>A:</t>
    </r>
    <r>
      <rPr>
        <sz val="12"/>
        <color theme="1"/>
        <rFont val="Arial"/>
        <family val="2"/>
      </rPr>
      <t xml:space="preserve"> Peso al aire de la muestra seca (g)</t>
    </r>
  </si>
  <si>
    <t>PESO UNITARIO DEL AGUA kN/m³</t>
  </si>
  <si>
    <r>
      <rPr>
        <b/>
        <sz val="12"/>
        <color theme="1"/>
        <rFont val="Arial"/>
        <family val="2"/>
      </rPr>
      <t xml:space="preserve">B: </t>
    </r>
    <r>
      <rPr>
        <sz val="12"/>
        <color theme="1"/>
        <rFont val="Arial"/>
        <family val="2"/>
      </rPr>
      <t>Peso picnómetro aforado lleno de agua (g)</t>
    </r>
  </si>
  <si>
    <t>%  RETENIDO EN EL TAMIZ 3/8".</t>
  </si>
  <si>
    <r>
      <rPr>
        <b/>
        <sz val="12"/>
        <color theme="1"/>
        <rFont val="Arial"/>
        <family val="2"/>
      </rPr>
      <t>C:</t>
    </r>
    <r>
      <rPr>
        <sz val="12"/>
        <color theme="1"/>
        <rFont val="Arial"/>
        <family val="2"/>
      </rPr>
      <t xml:space="preserve"> Peso picnómetro aforado + agua + muestra (g)</t>
    </r>
  </si>
  <si>
    <t>A</t>
  </si>
  <si>
    <r>
      <rPr>
        <b/>
        <sz val="12"/>
        <color theme="1"/>
        <rFont val="Arial"/>
        <family val="2"/>
      </rPr>
      <t xml:space="preserve">T: </t>
    </r>
    <r>
      <rPr>
        <sz val="12"/>
        <color theme="1"/>
        <rFont val="Arial"/>
        <family val="2"/>
      </rPr>
      <t>Temperatura de ensayo   °C</t>
    </r>
  </si>
  <si>
    <t>B</t>
  </si>
  <si>
    <r>
      <rPr>
        <b/>
        <sz val="12"/>
        <color theme="1"/>
        <rFont val="Arial"/>
        <family val="2"/>
      </rPr>
      <t>D:</t>
    </r>
    <r>
      <rPr>
        <sz val="12"/>
        <color theme="1"/>
        <rFont val="Arial"/>
        <family val="2"/>
      </rPr>
      <t xml:space="preserve"> Peso específico del agua</t>
    </r>
  </si>
  <si>
    <t>C</t>
  </si>
  <si>
    <r>
      <rPr>
        <b/>
        <sz val="12"/>
        <color theme="1"/>
        <rFont val="Arial"/>
        <family val="2"/>
      </rPr>
      <t>V:</t>
    </r>
    <r>
      <rPr>
        <sz val="12"/>
        <color theme="1"/>
        <rFont val="Arial"/>
        <family val="2"/>
      </rPr>
      <t xml:space="preserve"> Volumen probeta (cm</t>
    </r>
    <r>
      <rPr>
        <vertAlign val="superscript"/>
        <sz val="12"/>
        <color theme="1"/>
        <rFont val="Arial"/>
        <family val="2"/>
      </rPr>
      <t>3</t>
    </r>
    <r>
      <rPr>
        <sz val="12"/>
        <color theme="1"/>
        <rFont val="Arial"/>
        <family val="2"/>
      </rPr>
      <t>)</t>
    </r>
  </si>
  <si>
    <t>GRAVEDAD ESPECÍFICA</t>
  </si>
  <si>
    <t>CORRECCIÓN</t>
  </si>
  <si>
    <t>Gm</t>
  </si>
  <si>
    <t>DATOS SATURACIÓN 100%</t>
  </si>
  <si>
    <t>GM (Gravedad especifica de fracción gruesa tomada en el laboratorio en Kg/m3)</t>
  </si>
  <si>
    <t>ƳF (Peso unitario seco de la fracción fina, determinado en el ensayo de compactación en el laboratorio en Kg/m3)</t>
  </si>
  <si>
    <t>Ƴw (Peso unitario del agua,  999,52 Kg/m3)</t>
  </si>
  <si>
    <t xml:space="preserve">PESO ESPECIFICO FRACCIÓN GRUESA </t>
  </si>
  <si>
    <t>Wf (Contenido de agua de la fracción Fina ó Humedad del Proctor sin corregir)</t>
  </si>
  <si>
    <t>Wc (Contenido de agua de la fracción Gruesa ó Humedad del agregado grueso tomada en el laboratorio)</t>
  </si>
  <si>
    <t>CBR CORREGIDO</t>
  </si>
  <si>
    <t>PFE (Porcentaje de la fracción fina por masa)</t>
  </si>
  <si>
    <t>PFG (Porcentaje de la fracción fina por masa)</t>
  </si>
  <si>
    <t>¾ "</t>
  </si>
  <si>
    <t>⅜ "</t>
  </si>
  <si>
    <t>CONTROL DE CAMBIOS</t>
  </si>
  <si>
    <t>Versión No.</t>
  </si>
  <si>
    <t>Fecha del cambio</t>
  </si>
  <si>
    <t>Modificaciones</t>
  </si>
  <si>
    <t>00</t>
  </si>
  <si>
    <t>21/11/2022</t>
  </si>
  <si>
    <t>Creación del documento</t>
  </si>
  <si>
    <t>01</t>
  </si>
  <si>
    <t>23/11/2023</t>
  </si>
  <si>
    <t>Se cambia de versión por cambios en la estructura y nombre del formato</t>
  </si>
  <si>
    <t>02</t>
  </si>
  <si>
    <t>19/04/2024</t>
  </si>
  <si>
    <t>Se cambia de versión por cambios en la estructura del formato</t>
  </si>
  <si>
    <t>MIGUEL BARÓN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</si>
</sst>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200A]d&quot; de &quot;mmmm&quot; de &quot;yyyy"/>
    <numFmt numFmtId="166" formatCode="@\ &quot;-&quot;"/>
    <numFmt numFmtId="167" formatCode="0.00&quot; m&quot;"/>
    <numFmt numFmtId="168" formatCode="0.000"/>
    <numFmt numFmtId="169" formatCode="0.0000"/>
    <numFmt numFmtId="170" formatCode="0.0"/>
    <numFmt numFmtId="171" formatCode="0.000000"/>
  </numFmts>
  <fonts count="25" x14ac:knownFonts="1">
    <font>
      <sz val="11"/>
      <color theme="1"/>
      <name val="Calibri"/>
      <scheme val="minor"/>
    </font>
    <font>
      <sz val="12"/>
      <color theme="1"/>
      <name val="Arial"/>
      <family val="2"/>
    </font>
    <font>
      <b/>
      <sz val="12"/>
      <color theme="1"/>
      <name val="Arial"/>
      <family val="2"/>
    </font>
    <font>
      <sz val="11"/>
      <name val="Calibri"/>
      <family val="2"/>
    </font>
    <font>
      <sz val="11"/>
      <color theme="1"/>
      <name val="Arial"/>
      <family val="2"/>
    </font>
    <font>
      <b/>
      <sz val="14"/>
      <color theme="1"/>
      <name val="Arial"/>
      <family val="2"/>
    </font>
    <font>
      <sz val="12"/>
      <color rgb="FFFF0000"/>
      <name val="Arial"/>
      <family val="2"/>
    </font>
    <font>
      <sz val="12"/>
      <color rgb="FF002060"/>
      <name val="Arial"/>
      <family val="2"/>
    </font>
    <font>
      <b/>
      <sz val="14"/>
      <color rgb="FF002060"/>
      <name val="Arial"/>
      <family val="2"/>
    </font>
    <font>
      <b/>
      <sz val="11"/>
      <color theme="1"/>
      <name val="Arial"/>
      <family val="2"/>
    </font>
    <font>
      <b/>
      <sz val="12"/>
      <color rgb="FF002060"/>
      <name val="Arial"/>
      <family val="2"/>
    </font>
    <font>
      <b/>
      <sz val="11"/>
      <color rgb="FF002060"/>
      <name val="Arial"/>
      <family val="2"/>
    </font>
    <font>
      <sz val="14"/>
      <color theme="1"/>
      <name val="Arial"/>
      <family val="2"/>
    </font>
    <font>
      <b/>
      <sz val="12"/>
      <color rgb="FFFF0000"/>
      <name val="Arial"/>
      <family val="2"/>
    </font>
    <font>
      <sz val="9"/>
      <color theme="1"/>
      <name val="Arial"/>
      <family val="2"/>
    </font>
    <font>
      <sz val="12"/>
      <color rgb="FF040C28"/>
      <name val="Arial"/>
      <family val="2"/>
    </font>
    <font>
      <b/>
      <sz val="12"/>
      <color theme="0"/>
      <name val="Arial"/>
      <family val="2"/>
    </font>
    <font>
      <sz val="14"/>
      <color rgb="FFFF0000"/>
      <name val="Arial"/>
      <family val="2"/>
    </font>
    <font>
      <sz val="16"/>
      <color theme="1"/>
      <name val="Calibri"/>
      <family val="2"/>
    </font>
    <font>
      <sz val="18"/>
      <color rgb="FF002060"/>
      <name val="Arial"/>
      <family val="2"/>
    </font>
    <font>
      <b/>
      <vertAlign val="subscript"/>
      <sz val="12"/>
      <color theme="1"/>
      <name val="Arial"/>
      <family val="2"/>
    </font>
    <font>
      <vertAlign val="subscript"/>
      <sz val="12"/>
      <color theme="1"/>
      <name val="Arial"/>
      <family val="2"/>
    </font>
    <font>
      <sz val="18"/>
      <color theme="1"/>
      <name val="Arial"/>
      <family val="2"/>
    </font>
    <font>
      <sz val="18"/>
      <color theme="1"/>
      <name val="Calibri"/>
      <family val="2"/>
    </font>
    <font>
      <vertAlign val="superscript"/>
      <sz val="12"/>
      <color theme="1"/>
      <name val="Arial"/>
      <family val="2"/>
    </font>
  </fonts>
  <fills count="18">
    <fill>
      <patternFill patternType="none"/>
    </fill>
    <fill>
      <patternFill patternType="gray125"/>
    </fill>
    <fill>
      <patternFill patternType="solid">
        <fgColor theme="0"/>
        <bgColor theme="0"/>
      </patternFill>
    </fill>
    <fill>
      <patternFill patternType="solid">
        <fgColor rgb="FFD0CECE"/>
        <bgColor rgb="FFD0CECE"/>
      </patternFill>
    </fill>
    <fill>
      <patternFill patternType="solid">
        <fgColor rgb="FFF2F2F2"/>
        <bgColor rgb="FFF2F2F2"/>
      </patternFill>
    </fill>
    <fill>
      <patternFill patternType="solid">
        <fgColor rgb="FFE2EFD9"/>
        <bgColor rgb="FFE2EFD9"/>
      </patternFill>
    </fill>
    <fill>
      <patternFill patternType="solid">
        <fgColor rgb="FFC5E0B3"/>
        <bgColor rgb="FFC5E0B3"/>
      </patternFill>
    </fill>
    <fill>
      <patternFill patternType="solid">
        <fgColor rgb="FFFFFF00"/>
        <bgColor rgb="FFFFFF00"/>
      </patternFill>
    </fill>
    <fill>
      <patternFill patternType="solid">
        <fgColor rgb="FF7F7F7F"/>
        <bgColor rgb="FF7F7F7F"/>
      </patternFill>
    </fill>
    <fill>
      <patternFill patternType="solid">
        <fgColor rgb="FFD8D8D8"/>
        <bgColor rgb="FFD8D8D8"/>
      </patternFill>
    </fill>
    <fill>
      <patternFill patternType="solid">
        <fgColor rgb="FFBFBFBF"/>
        <bgColor rgb="FFBFBFBF"/>
      </patternFill>
    </fill>
    <fill>
      <patternFill patternType="solid">
        <fgColor rgb="FFA8D08D"/>
        <bgColor rgb="FFA8D08D"/>
      </patternFill>
    </fill>
    <fill>
      <patternFill patternType="solid">
        <fgColor rgb="FFFF0000"/>
        <bgColor rgb="FFFF0000"/>
      </patternFill>
    </fill>
    <fill>
      <patternFill patternType="solid">
        <fgColor rgb="FF92D050"/>
        <bgColor rgb="FF92D050"/>
      </patternFill>
    </fill>
    <fill>
      <patternFill patternType="solid">
        <fgColor rgb="FF8EAADB"/>
        <bgColor rgb="FF8EAADB"/>
      </patternFill>
    </fill>
    <fill>
      <patternFill patternType="solid">
        <fgColor rgb="FFBDD6EE"/>
        <bgColor rgb="FFBDD6EE"/>
      </patternFill>
    </fill>
    <fill>
      <patternFill patternType="solid">
        <fgColor rgb="FFB4C6E7"/>
        <bgColor rgb="FFB4C6E7"/>
      </patternFill>
    </fill>
    <fill>
      <patternFill patternType="solid">
        <fgColor rgb="FFDEEAF6"/>
        <bgColor rgb="FFDEEAF6"/>
      </patternFill>
    </fill>
  </fills>
  <borders count="146">
    <border>
      <left/>
      <right/>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7F7F7F"/>
      </left>
      <right/>
      <top/>
      <bottom/>
      <diagonal/>
    </border>
    <border>
      <left style="medium">
        <color rgb="FF000000"/>
      </left>
      <right/>
      <top/>
      <bottom/>
      <diagonal/>
    </border>
    <border>
      <left/>
      <right style="medium">
        <color rgb="FF000000"/>
      </right>
      <top/>
      <bottom/>
      <diagonal/>
    </border>
    <border>
      <left/>
      <right/>
      <top style="thin">
        <color rgb="FF7F7F7F"/>
      </top>
      <bottom style="thin">
        <color rgb="FF7F7F7F"/>
      </bottom>
      <diagonal/>
    </border>
    <border>
      <left style="thin">
        <color rgb="FF7F7F7F"/>
      </left>
      <right/>
      <top style="thin">
        <color rgb="FF7F7F7F"/>
      </top>
      <bottom style="thin">
        <color rgb="FF7F7F7F"/>
      </bottom>
      <diagonal/>
    </border>
    <border>
      <left style="thin">
        <color rgb="FF7F7F7F"/>
      </left>
      <right style="thin">
        <color rgb="FF7F7F7F"/>
      </right>
      <top style="thin">
        <color rgb="FF7F7F7F"/>
      </top>
      <bottom style="thin">
        <color rgb="FF7F7F7F"/>
      </bottom>
      <diagonal/>
    </border>
    <border>
      <left style="medium">
        <color rgb="FF7F7F7F"/>
      </left>
      <right/>
      <top/>
      <bottom style="medium">
        <color rgb="FF7F7F7F"/>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style="medium">
        <color rgb="FF7F7F7F"/>
      </top>
      <bottom style="thin">
        <color rgb="FF7F7F7F"/>
      </bottom>
      <diagonal/>
    </border>
    <border>
      <left/>
      <right/>
      <top/>
      <bottom/>
      <diagonal/>
    </border>
    <border>
      <left/>
      <right/>
      <top/>
      <bottom/>
      <diagonal/>
    </border>
    <border>
      <left/>
      <right/>
      <top style="thin">
        <color rgb="FF7F7F7F"/>
      </top>
      <bottom style="thin">
        <color rgb="FF7F7F7F"/>
      </bottom>
      <diagonal/>
    </border>
    <border>
      <left/>
      <right/>
      <top/>
      <bottom style="thin">
        <color rgb="FF7F7F7F"/>
      </bottom>
      <diagonal/>
    </border>
    <border>
      <left/>
      <right/>
      <top/>
      <bottom style="medium">
        <color rgb="FF7F7F7F"/>
      </bottom>
      <diagonal/>
    </border>
    <border>
      <left/>
      <right/>
      <top style="thin">
        <color rgb="FF7F7F7F"/>
      </top>
      <bottom style="medium">
        <color rgb="FF7F7F7F"/>
      </bottom>
      <diagonal/>
    </border>
    <border>
      <left/>
      <right/>
      <top style="medium">
        <color rgb="FF7F7F7F"/>
      </top>
      <bottom style="thin">
        <color rgb="FF7F7F7F"/>
      </bottom>
      <diagonal/>
    </border>
    <border>
      <left/>
      <right style="medium">
        <color rgb="FF7F7F7F"/>
      </right>
      <top style="medium">
        <color rgb="FF7F7F7F"/>
      </top>
      <bottom style="thin">
        <color rgb="FF7F7F7F"/>
      </bottom>
      <diagonal/>
    </border>
    <border>
      <left/>
      <right style="medium">
        <color rgb="FF7F7F7F"/>
      </right>
      <top/>
      <bottom style="thin">
        <color rgb="FF7F7F7F"/>
      </bottom>
      <diagonal/>
    </border>
    <border>
      <left/>
      <right/>
      <top/>
      <bottom style="medium">
        <color rgb="FF7F7F7F"/>
      </bottom>
      <diagonal/>
    </border>
    <border>
      <left style="medium">
        <color rgb="FF7F7F7F"/>
      </left>
      <right/>
      <top style="medium">
        <color rgb="FF7F7F7F"/>
      </top>
      <bottom/>
      <diagonal/>
    </border>
    <border>
      <left/>
      <right/>
      <top style="medium">
        <color rgb="FF7F7F7F"/>
      </top>
      <bottom/>
      <diagonal/>
    </border>
    <border>
      <left style="medium">
        <color rgb="FF7F7F7F"/>
      </left>
      <right style="thin">
        <color rgb="FF000000"/>
      </right>
      <top style="medium">
        <color rgb="FF7F7F7F"/>
      </top>
      <bottom/>
      <diagonal/>
    </border>
    <border>
      <left style="thin">
        <color rgb="FF000000"/>
      </left>
      <right style="thin">
        <color rgb="FF000000"/>
      </right>
      <top style="medium">
        <color rgb="FF7F7F7F"/>
      </top>
      <bottom/>
      <diagonal/>
    </border>
    <border>
      <left style="thin">
        <color rgb="FF000000"/>
      </left>
      <right style="medium">
        <color rgb="FF7F7F7F"/>
      </right>
      <top style="medium">
        <color rgb="FF7F7F7F"/>
      </top>
      <bottom/>
      <diagonal/>
    </border>
    <border>
      <left style="medium">
        <color rgb="FF7F7F7F"/>
      </left>
      <right/>
      <top style="medium">
        <color rgb="FF7F7F7F"/>
      </top>
      <bottom style="medium">
        <color rgb="FF7F7F7F"/>
      </bottom>
      <diagonal/>
    </border>
    <border>
      <left/>
      <right/>
      <top style="medium">
        <color rgb="FF7F7F7F"/>
      </top>
      <bottom style="medium">
        <color rgb="FF7F7F7F"/>
      </bottom>
      <diagonal/>
    </border>
    <border>
      <left/>
      <right style="medium">
        <color rgb="FF7F7F7F"/>
      </right>
      <top style="medium">
        <color rgb="FF7F7F7F"/>
      </top>
      <bottom style="medium">
        <color rgb="FF7F7F7F"/>
      </bottom>
      <diagonal/>
    </border>
    <border>
      <left style="medium">
        <color rgb="FF7F7F7F"/>
      </left>
      <right/>
      <top style="medium">
        <color rgb="FF7F7F7F"/>
      </top>
      <bottom style="thin">
        <color rgb="FF7F7F7F"/>
      </bottom>
      <diagonal/>
    </border>
    <border>
      <left/>
      <right style="thin">
        <color rgb="FF7F7F7F"/>
      </right>
      <top style="medium">
        <color rgb="FF7F7F7F"/>
      </top>
      <bottom style="thin">
        <color rgb="FF7F7F7F"/>
      </bottom>
      <diagonal/>
    </border>
    <border>
      <left style="thin">
        <color rgb="FF7F7F7F"/>
      </left>
      <right style="thin">
        <color rgb="FF7F7F7F"/>
      </right>
      <top style="medium">
        <color rgb="FF7F7F7F"/>
      </top>
      <bottom style="thin">
        <color rgb="FF7F7F7F"/>
      </bottom>
      <diagonal/>
    </border>
    <border>
      <left style="thin">
        <color rgb="FF7F7F7F"/>
      </left>
      <right style="medium">
        <color rgb="FF7F7F7F"/>
      </right>
      <top style="medium">
        <color rgb="FF7F7F7F"/>
      </top>
      <bottom style="thin">
        <color rgb="FF7F7F7F"/>
      </bottom>
      <diagonal/>
    </border>
    <border>
      <left style="medium">
        <color rgb="FF7F7F7F"/>
      </left>
      <right/>
      <top/>
      <bottom/>
      <diagonal/>
    </border>
    <border>
      <left style="medium">
        <color rgb="FF7F7F7F"/>
      </left>
      <right style="medium">
        <color rgb="FF7F7F7F"/>
      </right>
      <top style="medium">
        <color rgb="FF7F7F7F"/>
      </top>
      <bottom/>
      <diagonal/>
    </border>
    <border>
      <left style="medium">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7F7F7F"/>
      </left>
      <right style="medium">
        <color rgb="FF7F7F7F"/>
      </right>
      <top style="thin">
        <color rgb="FF7F7F7F"/>
      </top>
      <bottom style="thin">
        <color rgb="FF7F7F7F"/>
      </bottom>
      <diagonal/>
    </border>
    <border>
      <left style="medium">
        <color rgb="FF7F7F7F"/>
      </left>
      <right style="thin">
        <color rgb="FF7F7F7F"/>
      </right>
      <top style="medium">
        <color rgb="FF7F7F7F"/>
      </top>
      <bottom style="thin">
        <color rgb="FF7F7F7F"/>
      </bottom>
      <diagonal/>
    </border>
    <border>
      <left style="thin">
        <color rgb="FF7F7F7F"/>
      </left>
      <right/>
      <top style="medium">
        <color rgb="FF7F7F7F"/>
      </top>
      <bottom style="thin">
        <color rgb="FF7F7F7F"/>
      </bottom>
      <diagonal/>
    </border>
    <border>
      <left style="medium">
        <color rgb="FF7F7F7F"/>
      </left>
      <right style="thin">
        <color rgb="FF7F7F7F"/>
      </right>
      <top style="thin">
        <color rgb="FF7F7F7F"/>
      </top>
      <bottom style="thin">
        <color rgb="FF7F7F7F"/>
      </bottom>
      <diagonal/>
    </border>
    <border>
      <left/>
      <right style="medium">
        <color rgb="FF7F7F7F"/>
      </right>
      <top style="thin">
        <color rgb="FF7F7F7F"/>
      </top>
      <bottom style="thin">
        <color rgb="FF7F7F7F"/>
      </bottom>
      <diagonal/>
    </border>
    <border>
      <left style="medium">
        <color rgb="FF7F7F7F"/>
      </left>
      <right/>
      <top style="thin">
        <color rgb="FF7F7F7F"/>
      </top>
      <bottom style="medium">
        <color rgb="FF7F7F7F"/>
      </bottom>
      <diagonal/>
    </border>
    <border>
      <left/>
      <right style="thin">
        <color rgb="FF7F7F7F"/>
      </right>
      <top style="thin">
        <color rgb="FF7F7F7F"/>
      </top>
      <bottom style="medium">
        <color rgb="FF7F7F7F"/>
      </bottom>
      <diagonal/>
    </border>
    <border>
      <left style="thin">
        <color rgb="FF7F7F7F"/>
      </left>
      <right style="thin">
        <color rgb="FF7F7F7F"/>
      </right>
      <top style="thin">
        <color rgb="FF7F7F7F"/>
      </top>
      <bottom style="medium">
        <color rgb="FF7F7F7F"/>
      </bottom>
      <diagonal/>
    </border>
    <border>
      <left style="thin">
        <color rgb="FF7F7F7F"/>
      </left>
      <right style="medium">
        <color rgb="FF7F7F7F"/>
      </right>
      <top style="thin">
        <color rgb="FF7F7F7F"/>
      </top>
      <bottom style="medium">
        <color rgb="FF7F7F7F"/>
      </bottom>
      <diagonal/>
    </border>
    <border>
      <left/>
      <right style="medium">
        <color rgb="FF7F7F7F"/>
      </right>
      <top style="medium">
        <color rgb="FF7F7F7F"/>
      </top>
      <bottom style="medium">
        <color rgb="FF7F7F7F"/>
      </bottom>
      <diagonal/>
    </border>
    <border>
      <left style="medium">
        <color rgb="FF7F7F7F"/>
      </left>
      <right/>
      <top style="thin">
        <color rgb="FF7F7F7F"/>
      </top>
      <bottom/>
      <diagonal/>
    </border>
    <border>
      <left/>
      <right style="thin">
        <color rgb="FF7F7F7F"/>
      </right>
      <top style="thin">
        <color rgb="FF7F7F7F"/>
      </top>
      <bottom/>
      <diagonal/>
    </border>
    <border>
      <left style="thin">
        <color rgb="FF7F7F7F"/>
      </left>
      <right style="thin">
        <color rgb="FF7F7F7F"/>
      </right>
      <top style="thin">
        <color rgb="FF7F7F7F"/>
      </top>
      <bottom/>
      <diagonal/>
    </border>
    <border>
      <left style="thin">
        <color rgb="FF7F7F7F"/>
      </left>
      <right style="medium">
        <color rgb="FF7F7F7F"/>
      </right>
      <top style="thin">
        <color rgb="FF7F7F7F"/>
      </top>
      <bottom/>
      <diagonal/>
    </border>
    <border>
      <left/>
      <right style="medium">
        <color rgb="FF7F7F7F"/>
      </right>
      <top/>
      <bottom/>
      <diagonal/>
    </border>
    <border>
      <left style="medium">
        <color rgb="FF7F7F7F"/>
      </left>
      <right/>
      <top/>
      <bottom style="thin">
        <color rgb="FF7F7F7F"/>
      </bottom>
      <diagonal/>
    </border>
    <border>
      <left/>
      <right style="thin">
        <color rgb="FF7F7F7F"/>
      </right>
      <top/>
      <bottom style="thin">
        <color rgb="FF7F7F7F"/>
      </bottom>
      <diagonal/>
    </border>
    <border>
      <left style="thin">
        <color rgb="FF7F7F7F"/>
      </left>
      <right style="thin">
        <color rgb="FF7F7F7F"/>
      </right>
      <top/>
      <bottom style="thin">
        <color rgb="FF7F7F7F"/>
      </bottom>
      <diagonal/>
    </border>
    <border>
      <left style="thin">
        <color rgb="FF7F7F7F"/>
      </left>
      <right style="medium">
        <color rgb="FF7F7F7F"/>
      </right>
      <top/>
      <bottom style="thin">
        <color rgb="FF7F7F7F"/>
      </bottom>
      <diagonal/>
    </border>
    <border>
      <left style="medium">
        <color rgb="FF7F7F7F"/>
      </left>
      <right style="thin">
        <color rgb="FF7F7F7F"/>
      </right>
      <top style="thin">
        <color rgb="FF7F7F7F"/>
      </top>
      <bottom/>
      <diagonal/>
    </border>
    <border>
      <left style="thin">
        <color rgb="FF7F7F7F"/>
      </left>
      <right/>
      <top style="thin">
        <color rgb="FF7F7F7F"/>
      </top>
      <bottom/>
      <diagonal/>
    </border>
    <border>
      <left style="medium">
        <color rgb="FF7F7F7F"/>
      </left>
      <right style="thin">
        <color rgb="FF7F7F7F"/>
      </right>
      <top/>
      <bottom style="thin">
        <color rgb="FF7F7F7F"/>
      </bottom>
      <diagonal/>
    </border>
    <border>
      <left style="thin">
        <color rgb="FF7F7F7F"/>
      </left>
      <right/>
      <top/>
      <bottom style="thin">
        <color rgb="FF7F7F7F"/>
      </bottom>
      <diagonal/>
    </border>
    <border>
      <left/>
      <right/>
      <top style="thin">
        <color rgb="FF7F7F7F"/>
      </top>
      <bottom/>
      <diagonal/>
    </border>
    <border>
      <left/>
      <right style="medium">
        <color rgb="FF7F7F7F"/>
      </right>
      <top style="medium">
        <color rgb="FF7F7F7F"/>
      </top>
      <bottom/>
      <diagonal/>
    </border>
    <border>
      <left style="medium">
        <color rgb="FF7F7F7F"/>
      </left>
      <right style="thin">
        <color rgb="FF7F7F7F"/>
      </right>
      <top style="thin">
        <color rgb="FF7F7F7F"/>
      </top>
      <bottom style="medium">
        <color rgb="FF7F7F7F"/>
      </bottom>
      <diagonal/>
    </border>
    <border>
      <left style="thin">
        <color rgb="FF7F7F7F"/>
      </left>
      <right/>
      <top style="thin">
        <color rgb="FF7F7F7F"/>
      </top>
      <bottom style="medium">
        <color rgb="FF7F7F7F"/>
      </bottom>
      <diagonal/>
    </border>
    <border>
      <left/>
      <right/>
      <top style="medium">
        <color rgb="FF7F7F7F"/>
      </top>
      <bottom style="medium">
        <color rgb="FF7F7F7F"/>
      </bottom>
      <diagonal/>
    </border>
    <border>
      <left/>
      <right style="medium">
        <color rgb="FF7F7F7F"/>
      </right>
      <top style="thin">
        <color rgb="FF7F7F7F"/>
      </top>
      <bottom style="medium">
        <color rgb="FF7F7F7F"/>
      </bottom>
      <diagonal/>
    </border>
    <border>
      <left/>
      <right/>
      <top/>
      <bottom/>
      <diagonal/>
    </border>
    <border>
      <left/>
      <right/>
      <top/>
      <bottom/>
      <diagonal/>
    </border>
    <border>
      <left/>
      <right/>
      <top/>
      <bottom style="thin">
        <color rgb="FF000000"/>
      </bottom>
      <diagonal/>
    </border>
    <border>
      <left/>
      <right/>
      <top style="thin">
        <color rgb="FF000000"/>
      </top>
      <bottom/>
      <diagonal/>
    </border>
    <border>
      <left style="medium">
        <color rgb="FF000000"/>
      </left>
      <right style="medium">
        <color rgb="FF000000"/>
      </right>
      <top style="medium">
        <color rgb="FF000000"/>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medium">
        <color rgb="FF7F7F7F"/>
      </left>
      <right style="medium">
        <color rgb="FF7F7F7F"/>
      </right>
      <top style="medium">
        <color rgb="FF7F7F7F"/>
      </top>
      <bottom style="medium">
        <color rgb="FF7F7F7F"/>
      </bottom>
      <diagonal/>
    </border>
    <border>
      <left style="medium">
        <color rgb="FF7F7F7F"/>
      </left>
      <right style="thin">
        <color rgb="FF000000"/>
      </right>
      <top style="medium">
        <color rgb="FF7F7F7F"/>
      </top>
      <bottom style="thin">
        <color rgb="FF000000"/>
      </bottom>
      <diagonal/>
    </border>
    <border>
      <left style="thin">
        <color rgb="FF000000"/>
      </left>
      <right style="medium">
        <color rgb="FF7F7F7F"/>
      </right>
      <top style="medium">
        <color rgb="FF7F7F7F"/>
      </top>
      <bottom style="thin">
        <color rgb="FF000000"/>
      </bottom>
      <diagonal/>
    </border>
    <border>
      <left style="medium">
        <color rgb="FF7F7F7F"/>
      </left>
      <right style="thin">
        <color rgb="FF000000"/>
      </right>
      <top style="medium">
        <color rgb="FF7F7F7F"/>
      </top>
      <bottom style="medium">
        <color rgb="FF7F7F7F"/>
      </bottom>
      <diagonal/>
    </border>
    <border>
      <left style="thin">
        <color rgb="FF000000"/>
      </left>
      <right style="medium">
        <color rgb="FF7F7F7F"/>
      </right>
      <top style="medium">
        <color rgb="FF7F7F7F"/>
      </top>
      <bottom style="medium">
        <color rgb="FF7F7F7F"/>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medium">
        <color rgb="FF7F7F7F"/>
      </left>
      <right style="thin">
        <color rgb="FF000000"/>
      </right>
      <top style="thin">
        <color rgb="FF000000"/>
      </top>
      <bottom style="medium">
        <color rgb="FF7F7F7F"/>
      </bottom>
      <diagonal/>
    </border>
    <border>
      <left style="thin">
        <color rgb="FF000000"/>
      </left>
      <right style="medium">
        <color rgb="FF7F7F7F"/>
      </right>
      <top style="thin">
        <color rgb="FF000000"/>
      </top>
      <bottom style="medium">
        <color rgb="FF7F7F7F"/>
      </bottom>
      <diagonal/>
    </border>
    <border>
      <left style="thin">
        <color rgb="FF000000"/>
      </left>
      <right style="thin">
        <color rgb="FF000000"/>
      </right>
      <top style="thin">
        <color rgb="FF000000"/>
      </top>
      <bottom style="thin">
        <color rgb="FF000000"/>
      </bottom>
      <diagonal/>
    </border>
    <border>
      <left style="medium">
        <color rgb="FF7F7F7F"/>
      </left>
      <right style="thin">
        <color rgb="FF000000"/>
      </right>
      <top/>
      <bottom style="thin">
        <color rgb="FF000000"/>
      </bottom>
      <diagonal/>
    </border>
    <border>
      <left style="thin">
        <color rgb="FF000000"/>
      </left>
      <right style="medium">
        <color rgb="FF7F7F7F"/>
      </right>
      <top/>
      <bottom style="thin">
        <color rgb="FF000000"/>
      </bottom>
      <diagonal/>
    </border>
    <border>
      <left style="thin">
        <color rgb="FF000000"/>
      </left>
      <right/>
      <top style="thin">
        <color rgb="FF000000"/>
      </top>
      <bottom style="thin">
        <color rgb="FF000000"/>
      </bottom>
      <diagonal/>
    </border>
    <border>
      <left style="medium">
        <color rgb="FF7F7F7F"/>
      </left>
      <right style="medium">
        <color rgb="FF7F7F7F"/>
      </right>
      <top/>
      <bottom style="medium">
        <color rgb="FF7F7F7F"/>
      </bottom>
      <diagonal/>
    </border>
    <border>
      <left style="medium">
        <color rgb="FF7F7F7F"/>
      </left>
      <right style="thin">
        <color rgb="FF000000"/>
      </right>
      <top style="thin">
        <color rgb="FF000000"/>
      </top>
      <bottom style="thin">
        <color rgb="FF000000"/>
      </bottom>
      <diagonal/>
    </border>
    <border>
      <left style="thin">
        <color rgb="FF000000"/>
      </left>
      <right style="medium">
        <color rgb="FF7F7F7F"/>
      </right>
      <top style="thin">
        <color rgb="FF000000"/>
      </top>
      <bottom style="thin">
        <color rgb="FF000000"/>
      </bottom>
      <diagonal/>
    </border>
    <border>
      <left style="medium">
        <color rgb="FF000000"/>
      </left>
      <right/>
      <top/>
      <bottom/>
      <diagonal/>
    </border>
    <border>
      <left/>
      <right style="medium">
        <color rgb="FF000000"/>
      </right>
      <top/>
      <bottom/>
      <diagonal/>
    </border>
    <border>
      <left style="double">
        <color rgb="FF000000"/>
      </left>
      <right style="double">
        <color rgb="FF000000"/>
      </right>
      <top style="double">
        <color rgb="FF000000"/>
      </top>
      <bottom style="double">
        <color rgb="FF000000"/>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medium">
        <color rgb="FF7F7F7F"/>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theme="0" tint="-0.499984740745262"/>
      </left>
      <right style="thin">
        <color theme="0" tint="-0.499984740745262"/>
      </right>
      <top/>
      <bottom style="thin">
        <color theme="0" tint="-0.499984740745262"/>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top style="medium">
        <color theme="0" tint="-0.499984740745262"/>
      </top>
      <bottom style="thin">
        <color rgb="FF7F7F7F"/>
      </bottom>
      <diagonal/>
    </border>
    <border>
      <left/>
      <right style="medium">
        <color theme="0" tint="-0.499984740745262"/>
      </right>
      <top style="medium">
        <color theme="0" tint="-0.499984740745262"/>
      </top>
      <bottom style="thin">
        <color rgb="FF7F7F7F"/>
      </bottom>
      <diagonal/>
    </border>
    <border>
      <left style="medium">
        <color theme="0" tint="-0.499984740745262"/>
      </left>
      <right/>
      <top/>
      <bottom/>
      <diagonal/>
    </border>
    <border>
      <left/>
      <right style="medium">
        <color theme="0" tint="-0.499984740745262"/>
      </right>
      <top style="thin">
        <color rgb="FF7F7F7F"/>
      </top>
      <bottom style="thin">
        <color rgb="FF7F7F7F"/>
      </bottom>
      <diagonal/>
    </border>
    <border>
      <left style="medium">
        <color theme="0" tint="-0.499984740745262"/>
      </left>
      <right/>
      <top/>
      <bottom style="medium">
        <color rgb="FF7F7F7F"/>
      </bottom>
      <diagonal/>
    </border>
    <border>
      <left/>
      <right style="medium">
        <color theme="0" tint="-0.499984740745262"/>
      </right>
      <top/>
      <bottom style="medium">
        <color rgb="FF7F7F7F"/>
      </bottom>
      <diagonal/>
    </border>
    <border>
      <left style="medium">
        <color theme="0" tint="-0.499984740745262"/>
      </left>
      <right/>
      <top style="medium">
        <color rgb="FF7F7F7F"/>
      </top>
      <bottom/>
      <diagonal/>
    </border>
    <border>
      <left/>
      <right style="medium">
        <color theme="0" tint="-0.499984740745262"/>
      </right>
      <top style="medium">
        <color rgb="FF7F7F7F"/>
      </top>
      <bottom style="thin">
        <color rgb="FF7F7F7F"/>
      </bottom>
      <diagonal/>
    </border>
    <border>
      <left/>
      <right style="medium">
        <color theme="0" tint="-0.499984740745262"/>
      </right>
      <top/>
      <bottom/>
      <diagonal/>
    </border>
    <border>
      <left/>
      <right style="medium">
        <color theme="0" tint="-0.499984740745262"/>
      </right>
      <top/>
      <bottom style="thin">
        <color rgb="FF7F7F7F"/>
      </bottom>
      <diagonal/>
    </border>
    <border>
      <left/>
      <right style="medium">
        <color theme="0" tint="-0.499984740745262"/>
      </right>
      <top style="medium">
        <color rgb="FF7F7F7F"/>
      </top>
      <bottom/>
      <diagonal/>
    </border>
    <border>
      <left/>
      <right style="medium">
        <color theme="0" tint="-0.499984740745262"/>
      </right>
      <top style="medium">
        <color rgb="FF7F7F7F"/>
      </top>
      <bottom style="medium">
        <color rgb="FF7F7F7F"/>
      </bottom>
      <diagonal/>
    </border>
    <border>
      <left style="medium">
        <color theme="0" tint="-0.499984740745262"/>
      </left>
      <right/>
      <top style="thin">
        <color theme="0" tint="-0.499984740745262"/>
      </top>
      <bottom style="medium">
        <color theme="0" tint="-0.499984740745262"/>
      </bottom>
      <diagonal/>
    </border>
    <border>
      <left style="medium">
        <color theme="0" tint="-0.499984740745262"/>
      </left>
      <right/>
      <top style="medium">
        <color rgb="FF7F7F7F"/>
      </top>
      <bottom style="thin">
        <color rgb="FF7F7F7F"/>
      </bottom>
      <diagonal/>
    </border>
    <border>
      <left style="medium">
        <color theme="0" tint="-0.499984740745262"/>
      </left>
      <right/>
      <top style="thin">
        <color rgb="FF7F7F7F"/>
      </top>
      <bottom style="thin">
        <color rgb="FF7F7F7F"/>
      </bottom>
      <diagonal/>
    </border>
    <border>
      <left style="medium">
        <color theme="0" tint="-0.499984740745262"/>
      </left>
      <right/>
      <top style="thin">
        <color rgb="FF7F7F7F"/>
      </top>
      <bottom/>
      <diagonal/>
    </border>
    <border>
      <left style="medium">
        <color theme="0" tint="-0.499984740745262"/>
      </left>
      <right/>
      <top/>
      <bottom style="thin">
        <color rgb="FF7F7F7F"/>
      </bottom>
      <diagonal/>
    </border>
    <border>
      <left style="medium">
        <color theme="0" tint="-0.499984740745262"/>
      </left>
      <right/>
      <top style="thin">
        <color rgb="FF7F7F7F"/>
      </top>
      <bottom style="medium">
        <color rgb="FF7F7F7F"/>
      </bottom>
      <diagonal/>
    </border>
    <border>
      <left style="medium">
        <color theme="0" tint="-0.499984740745262"/>
      </left>
      <right/>
      <top style="medium">
        <color rgb="FF7F7F7F"/>
      </top>
      <bottom style="medium">
        <color rgb="FF7F7F7F"/>
      </bottom>
      <diagonal/>
    </border>
    <border>
      <left style="thin">
        <color rgb="FF7F7F7F"/>
      </left>
      <right style="medium">
        <color theme="0" tint="-0.499984740745262"/>
      </right>
      <top style="medium">
        <color rgb="FF7F7F7F"/>
      </top>
      <bottom style="thin">
        <color rgb="FF7F7F7F"/>
      </bottom>
      <diagonal/>
    </border>
    <border>
      <left style="thin">
        <color rgb="FF7F7F7F"/>
      </left>
      <right style="medium">
        <color theme="0" tint="-0.499984740745262"/>
      </right>
      <top style="thin">
        <color rgb="FF7F7F7F"/>
      </top>
      <bottom style="thin">
        <color rgb="FF7F7F7F"/>
      </bottom>
      <diagonal/>
    </border>
    <border>
      <left style="thin">
        <color rgb="FF7F7F7F"/>
      </left>
      <right style="medium">
        <color theme="0" tint="-0.499984740745262"/>
      </right>
      <top style="thin">
        <color rgb="FF7F7F7F"/>
      </top>
      <bottom style="medium">
        <color rgb="FF7F7F7F"/>
      </bottom>
      <diagonal/>
    </border>
    <border>
      <left/>
      <right style="medium">
        <color theme="0" tint="-0.499984740745262"/>
      </right>
      <top style="thin">
        <color rgb="FF7F7F7F"/>
      </top>
      <bottom style="medium">
        <color rgb="FF7F7F7F"/>
      </bottom>
      <diagonal/>
    </border>
    <border>
      <left/>
      <right style="medium">
        <color theme="0" tint="-0.499984740745262"/>
      </right>
      <top style="thin">
        <color rgb="FF000000"/>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right/>
      <top style="thin">
        <color rgb="FF7F7F7F"/>
      </top>
      <bottom style="medium">
        <color theme="0" tint="-0.499984740745262"/>
      </bottom>
      <diagonal/>
    </border>
    <border>
      <left/>
      <right style="medium">
        <color theme="0" tint="-0.499984740745262"/>
      </right>
      <top style="thin">
        <color rgb="FF7F7F7F"/>
      </top>
      <bottom style="medium">
        <color theme="0" tint="-0.499984740745262"/>
      </bottom>
      <diagonal/>
    </border>
    <border>
      <left/>
      <right style="medium">
        <color theme="0" tint="-0.499984740745262"/>
      </right>
      <top style="medium">
        <color theme="0" tint="-0.499984740745262"/>
      </top>
      <bottom/>
      <diagonal/>
    </border>
    <border>
      <left style="medium">
        <color theme="0" tint="-0.499984740745262"/>
      </left>
      <right/>
      <top style="medium">
        <color theme="0" tint="-0.499984740745262"/>
      </top>
      <bottom style="thin">
        <color rgb="FF7F7F7F"/>
      </bottom>
      <diagonal/>
    </border>
  </borders>
  <cellStyleXfs count="1">
    <xf numFmtId="0" fontId="0" fillId="0" borderId="0"/>
  </cellStyleXfs>
  <cellXfs count="432">
    <xf numFmtId="0" fontId="0" fillId="0" borderId="0" xfId="0"/>
    <xf numFmtId="0" fontId="1" fillId="0" borderId="0" xfId="0" applyFont="1" applyAlignment="1">
      <alignment vertical="center"/>
    </xf>
    <xf numFmtId="0" fontId="1" fillId="0" borderId="0" xfId="0" applyFont="1" applyAlignment="1">
      <alignment horizontal="center" vertical="center"/>
    </xf>
    <xf numFmtId="0" fontId="1" fillId="0" borderId="3" xfId="0" applyFont="1" applyBorder="1" applyAlignment="1">
      <alignment vertical="center"/>
    </xf>
    <xf numFmtId="0" fontId="6" fillId="0" borderId="0" xfId="0" applyFont="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8" xfId="0" applyFont="1" applyBorder="1" applyAlignment="1">
      <alignment vertical="center"/>
    </xf>
    <xf numFmtId="0" fontId="1" fillId="2" borderId="19" xfId="0" applyFont="1" applyFill="1" applyBorder="1" applyAlignment="1">
      <alignment horizontal="left" vertical="center"/>
    </xf>
    <xf numFmtId="0" fontId="1" fillId="2" borderId="19" xfId="0" applyFont="1" applyFill="1" applyBorder="1" applyAlignment="1">
      <alignment horizontal="center" vertical="center"/>
    </xf>
    <xf numFmtId="167" fontId="1" fillId="2" borderId="19" xfId="0" applyNumberFormat="1" applyFont="1" applyFill="1" applyBorder="1" applyAlignment="1">
      <alignment horizontal="left" vertical="center"/>
    </xf>
    <xf numFmtId="167" fontId="1" fillId="2" borderId="19" xfId="0" applyNumberFormat="1" applyFont="1" applyFill="1" applyBorder="1" applyAlignment="1">
      <alignment horizontal="center" vertical="center"/>
    </xf>
    <xf numFmtId="0" fontId="2" fillId="2" borderId="22" xfId="0" applyFont="1" applyFill="1" applyBorder="1" applyAlignment="1">
      <alignment horizontal="left" vertical="center"/>
    </xf>
    <xf numFmtId="0" fontId="1" fillId="2" borderId="22" xfId="0" applyFont="1" applyFill="1" applyBorder="1" applyAlignment="1">
      <alignment horizontal="left" vertical="center"/>
    </xf>
    <xf numFmtId="0" fontId="2" fillId="0" borderId="17" xfId="0" applyFont="1" applyBorder="1" applyAlignment="1">
      <alignment vertical="center"/>
    </xf>
    <xf numFmtId="0" fontId="1" fillId="0" borderId="21" xfId="0" applyFont="1" applyBorder="1" applyAlignment="1">
      <alignment horizontal="center" vertical="center"/>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center" vertical="center"/>
    </xf>
    <xf numFmtId="0" fontId="1" fillId="0" borderId="33" xfId="0" applyFont="1" applyBorder="1" applyAlignment="1">
      <alignment horizontal="center" vertical="center"/>
    </xf>
    <xf numFmtId="0" fontId="1" fillId="0" borderId="34" xfId="0" applyFont="1" applyBorder="1" applyAlignment="1">
      <alignment horizontal="center" vertical="center"/>
    </xf>
    <xf numFmtId="0" fontId="4" fillId="2" borderId="36" xfId="0" applyFont="1" applyFill="1" applyBorder="1" applyAlignment="1">
      <alignment horizontal="center" vertical="center"/>
    </xf>
    <xf numFmtId="0" fontId="1" fillId="0" borderId="39" xfId="0" applyFont="1" applyBorder="1" applyAlignment="1">
      <alignment horizontal="center" vertical="center"/>
    </xf>
    <xf numFmtId="0" fontId="4" fillId="2" borderId="40" xfId="0" applyFont="1" applyFill="1" applyBorder="1" applyAlignment="1">
      <alignment horizontal="center" vertical="center"/>
    </xf>
    <xf numFmtId="0" fontId="4" fillId="2" borderId="33" xfId="0" applyFont="1" applyFill="1" applyBorder="1" applyAlignment="1">
      <alignment horizontal="center" vertical="center"/>
    </xf>
    <xf numFmtId="0" fontId="4" fillId="2" borderId="34" xfId="0" applyFont="1" applyFill="1" applyBorder="1" applyAlignment="1">
      <alignment horizontal="center" vertical="center"/>
    </xf>
    <xf numFmtId="2" fontId="1" fillId="0" borderId="39" xfId="0" applyNumberFormat="1" applyFont="1" applyBorder="1" applyAlignment="1">
      <alignment horizontal="center" vertical="center"/>
    </xf>
    <xf numFmtId="168" fontId="4" fillId="2" borderId="42" xfId="0" applyNumberFormat="1" applyFont="1" applyFill="1" applyBorder="1" applyAlignment="1">
      <alignment horizontal="center" vertical="center"/>
    </xf>
    <xf numFmtId="168" fontId="4" fillId="2" borderId="8" xfId="0" applyNumberFormat="1" applyFont="1" applyFill="1" applyBorder="1" applyAlignment="1">
      <alignment horizontal="center" vertical="center"/>
    </xf>
    <xf numFmtId="168" fontId="4" fillId="2" borderId="43" xfId="0" applyNumberFormat="1" applyFont="1" applyFill="1" applyBorder="1" applyAlignment="1">
      <alignment horizontal="center" vertical="center"/>
    </xf>
    <xf numFmtId="0" fontId="1" fillId="0" borderId="46" xfId="0" applyFont="1" applyBorder="1" applyAlignment="1">
      <alignment horizontal="center" vertical="center"/>
    </xf>
    <xf numFmtId="0" fontId="1" fillId="0" borderId="47" xfId="0" applyFont="1" applyBorder="1" applyAlignment="1">
      <alignment horizontal="center" vertical="center"/>
    </xf>
    <xf numFmtId="2" fontId="1" fillId="0" borderId="47" xfId="0" applyNumberFormat="1" applyFont="1" applyBorder="1" applyAlignment="1">
      <alignment horizontal="center" vertical="center"/>
    </xf>
    <xf numFmtId="2" fontId="1" fillId="0" borderId="8" xfId="0" applyNumberFormat="1" applyFont="1" applyBorder="1" applyAlignment="1">
      <alignment horizontal="center" vertical="center"/>
    </xf>
    <xf numFmtId="169" fontId="1" fillId="0" borderId="46" xfId="0" applyNumberFormat="1" applyFont="1" applyBorder="1" applyAlignment="1">
      <alignment horizontal="center" vertical="center"/>
    </xf>
    <xf numFmtId="169" fontId="1" fillId="0" borderId="47" xfId="0" applyNumberFormat="1" applyFont="1" applyBorder="1" applyAlignment="1">
      <alignment horizontal="center" vertical="center"/>
    </xf>
    <xf numFmtId="0" fontId="1" fillId="0" borderId="0" xfId="0" applyFont="1" applyAlignment="1">
      <alignment horizontal="center" vertical="center" wrapText="1"/>
    </xf>
    <xf numFmtId="168" fontId="4" fillId="4" borderId="42" xfId="0" applyNumberFormat="1" applyFont="1" applyFill="1" applyBorder="1" applyAlignment="1">
      <alignment horizontal="center" vertical="center"/>
    </xf>
    <xf numFmtId="168" fontId="4" fillId="4" borderId="8" xfId="0" applyNumberFormat="1" applyFont="1" applyFill="1" applyBorder="1" applyAlignment="1">
      <alignment horizontal="center" vertical="center"/>
    </xf>
    <xf numFmtId="168" fontId="4" fillId="4" borderId="43" xfId="0" applyNumberFormat="1" applyFont="1" applyFill="1" applyBorder="1" applyAlignment="1">
      <alignment horizontal="center" vertical="center"/>
    </xf>
    <xf numFmtId="2" fontId="1" fillId="0" borderId="46" xfId="0" applyNumberFormat="1" applyFont="1" applyBorder="1" applyAlignment="1">
      <alignment horizontal="center" vertical="center"/>
    </xf>
    <xf numFmtId="0" fontId="2" fillId="0" borderId="3" xfId="0" applyFont="1" applyBorder="1" applyAlignment="1">
      <alignment vertical="center"/>
    </xf>
    <xf numFmtId="0" fontId="1" fillId="0" borderId="56" xfId="0" applyFont="1" applyBorder="1" applyAlignment="1">
      <alignment horizontal="center" vertical="center"/>
    </xf>
    <xf numFmtId="0" fontId="1" fillId="0" borderId="57" xfId="0" applyFont="1" applyBorder="1" applyAlignment="1">
      <alignment horizontal="center" vertical="center"/>
    </xf>
    <xf numFmtId="2" fontId="1" fillId="0" borderId="0" xfId="0" applyNumberFormat="1" applyFont="1" applyAlignment="1">
      <alignment horizontal="center" vertical="center"/>
    </xf>
    <xf numFmtId="169" fontId="1" fillId="0" borderId="33" xfId="0" applyNumberFormat="1" applyFont="1" applyBorder="1" applyAlignment="1">
      <alignment horizontal="center" vertical="center"/>
    </xf>
    <xf numFmtId="169" fontId="1" fillId="0" borderId="34" xfId="0" applyNumberFormat="1" applyFont="1" applyBorder="1" applyAlignment="1">
      <alignment horizontal="center" vertical="center"/>
    </xf>
    <xf numFmtId="168" fontId="4" fillId="2" borderId="64" xfId="0" applyNumberFormat="1" applyFont="1" applyFill="1" applyBorder="1" applyAlignment="1">
      <alignment horizontal="center" vertical="center"/>
    </xf>
    <xf numFmtId="168" fontId="4" fillId="2" borderId="46" xfId="0" applyNumberFormat="1" applyFont="1" applyFill="1" applyBorder="1" applyAlignment="1">
      <alignment horizontal="center" vertical="center"/>
    </xf>
    <xf numFmtId="0" fontId="1" fillId="5" borderId="69" xfId="0" applyFont="1" applyFill="1" applyBorder="1" applyAlignment="1">
      <alignment horizontal="center" vertical="center"/>
    </xf>
    <xf numFmtId="0" fontId="4" fillId="0" borderId="0" xfId="0" applyFont="1" applyAlignment="1">
      <alignment vertical="center"/>
    </xf>
    <xf numFmtId="168" fontId="2" fillId="0" borderId="0" xfId="0" applyNumberFormat="1" applyFont="1" applyAlignment="1">
      <alignment horizontal="center" vertical="center"/>
    </xf>
    <xf numFmtId="2" fontId="2" fillId="0" borderId="46" xfId="0" applyNumberFormat="1" applyFont="1" applyBorder="1" applyAlignment="1">
      <alignment horizontal="center" vertical="center"/>
    </xf>
    <xf numFmtId="0" fontId="1" fillId="0" borderId="46" xfId="0" applyFont="1" applyBorder="1" applyAlignment="1">
      <alignment vertical="center"/>
    </xf>
    <xf numFmtId="0" fontId="9" fillId="0" borderId="0" xfId="0" applyFont="1" applyAlignment="1">
      <alignment vertical="center"/>
    </xf>
    <xf numFmtId="0" fontId="1" fillId="0" borderId="70" xfId="0" applyFont="1" applyBorder="1" applyAlignment="1">
      <alignment vertical="center"/>
    </xf>
    <xf numFmtId="0" fontId="1" fillId="0" borderId="72" xfId="0" applyFont="1" applyBorder="1" applyAlignment="1">
      <alignment vertical="center"/>
    </xf>
    <xf numFmtId="0" fontId="13" fillId="0" borderId="75" xfId="0" applyFont="1" applyBorder="1" applyAlignment="1">
      <alignment vertical="center"/>
    </xf>
    <xf numFmtId="0" fontId="9" fillId="2" borderId="76" xfId="0" applyFont="1" applyFill="1" applyBorder="1" applyAlignment="1">
      <alignment horizontal="center" vertical="center"/>
    </xf>
    <xf numFmtId="0" fontId="9" fillId="2" borderId="77" xfId="0" applyFont="1" applyFill="1" applyBorder="1" applyAlignment="1">
      <alignment horizontal="center" vertical="center"/>
    </xf>
    <xf numFmtId="0" fontId="9" fillId="2" borderId="78" xfId="0" applyFont="1" applyFill="1" applyBorder="1" applyAlignment="1">
      <alignment horizontal="center" vertical="center" wrapText="1"/>
    </xf>
    <xf numFmtId="0" fontId="9" fillId="2" borderId="79" xfId="0" applyFont="1" applyFill="1" applyBorder="1" applyAlignment="1">
      <alignment horizontal="center" vertical="center" wrapText="1"/>
    </xf>
    <xf numFmtId="170" fontId="1" fillId="6" borderId="81" xfId="0" applyNumberFormat="1" applyFont="1" applyFill="1" applyBorder="1" applyAlignment="1">
      <alignment horizontal="center" vertical="center"/>
    </xf>
    <xf numFmtId="0" fontId="14" fillId="0" borderId="8" xfId="0" applyFont="1" applyBorder="1" applyAlignment="1">
      <alignment horizontal="center" vertical="center" wrapText="1"/>
    </xf>
    <xf numFmtId="0" fontId="9" fillId="2" borderId="82" xfId="0" applyFont="1" applyFill="1" applyBorder="1" applyAlignment="1">
      <alignment horizontal="center" vertical="center"/>
    </xf>
    <xf numFmtId="0" fontId="9" fillId="2" borderId="83" xfId="0" applyFont="1" applyFill="1" applyBorder="1" applyAlignment="1">
      <alignment horizontal="center" vertical="center"/>
    </xf>
    <xf numFmtId="0" fontId="9" fillId="2" borderId="75" xfId="0" applyFont="1" applyFill="1" applyBorder="1" applyAlignment="1">
      <alignment horizontal="center" vertical="center"/>
    </xf>
    <xf numFmtId="170" fontId="1" fillId="0" borderId="84" xfId="0" applyNumberFormat="1" applyFont="1" applyBorder="1" applyAlignment="1">
      <alignment horizontal="center" vertical="center"/>
    </xf>
    <xf numFmtId="0" fontId="15" fillId="0" borderId="8" xfId="0" applyFont="1" applyBorder="1"/>
    <xf numFmtId="0" fontId="4" fillId="2" borderId="85" xfId="0" applyFont="1" applyFill="1" applyBorder="1" applyAlignment="1">
      <alignment horizontal="center" vertical="center"/>
    </xf>
    <xf numFmtId="0" fontId="4" fillId="2" borderId="81" xfId="0" applyFont="1" applyFill="1" applyBorder="1" applyAlignment="1">
      <alignment horizontal="center" vertical="center"/>
    </xf>
    <xf numFmtId="0" fontId="4" fillId="2" borderId="86" xfId="0" applyFont="1" applyFill="1" applyBorder="1" applyAlignment="1">
      <alignment horizontal="center" vertical="center"/>
    </xf>
    <xf numFmtId="170" fontId="1" fillId="6" borderId="87" xfId="0" applyNumberFormat="1" applyFont="1" applyFill="1" applyBorder="1" applyAlignment="1">
      <alignment horizontal="center" vertical="center"/>
    </xf>
    <xf numFmtId="2" fontId="2" fillId="0" borderId="40" xfId="0" applyNumberFormat="1" applyFont="1" applyBorder="1" applyAlignment="1">
      <alignment horizontal="center" vertical="center"/>
    </xf>
    <xf numFmtId="0" fontId="1" fillId="0" borderId="34" xfId="0" applyFont="1" applyBorder="1" applyAlignment="1">
      <alignment vertical="center"/>
    </xf>
    <xf numFmtId="0" fontId="1" fillId="0" borderId="75" xfId="0" applyFont="1" applyBorder="1" applyAlignment="1">
      <alignment vertical="center"/>
    </xf>
    <xf numFmtId="1" fontId="1" fillId="6" borderId="87" xfId="0" applyNumberFormat="1" applyFont="1" applyFill="1" applyBorder="1" applyAlignment="1">
      <alignment horizontal="center" vertical="center"/>
    </xf>
    <xf numFmtId="0" fontId="2" fillId="0" borderId="42" xfId="0" applyFont="1" applyBorder="1" applyAlignment="1">
      <alignment horizontal="center" vertical="center"/>
    </xf>
    <xf numFmtId="0" fontId="1" fillId="0" borderId="39" xfId="0" applyFont="1" applyBorder="1" applyAlignment="1">
      <alignment vertical="center"/>
    </xf>
    <xf numFmtId="0" fontId="1" fillId="0" borderId="88" xfId="0" applyFont="1" applyBorder="1" applyAlignment="1">
      <alignment vertical="center"/>
    </xf>
    <xf numFmtId="168" fontId="4" fillId="2" borderId="89" xfId="0" applyNumberFormat="1" applyFont="1" applyFill="1" applyBorder="1" applyAlignment="1">
      <alignment horizontal="center" vertical="center"/>
    </xf>
    <xf numFmtId="168" fontId="4" fillId="2" borderId="84" xfId="0" applyNumberFormat="1" applyFont="1" applyFill="1" applyBorder="1" applyAlignment="1">
      <alignment horizontal="center" vertical="center"/>
    </xf>
    <xf numFmtId="168" fontId="4" fillId="5" borderId="84" xfId="0" applyNumberFormat="1" applyFont="1" applyFill="1" applyBorder="1" applyAlignment="1">
      <alignment horizontal="center" vertical="center"/>
    </xf>
    <xf numFmtId="168" fontId="4" fillId="2" borderId="90" xfId="0" applyNumberFormat="1" applyFont="1" applyFill="1" applyBorder="1" applyAlignment="1">
      <alignment horizontal="center" vertical="center"/>
    </xf>
    <xf numFmtId="171" fontId="1" fillId="0" borderId="73" xfId="0" applyNumberFormat="1" applyFont="1" applyBorder="1" applyAlignment="1">
      <alignment horizontal="center" vertical="center"/>
    </xf>
    <xf numFmtId="0" fontId="2" fillId="0" borderId="64" xfId="0" applyFont="1" applyBorder="1" applyAlignment="1">
      <alignment horizontal="center" vertical="center"/>
    </xf>
    <xf numFmtId="0" fontId="1" fillId="0" borderId="47" xfId="0" applyFont="1" applyBorder="1" applyAlignment="1">
      <alignment vertical="center"/>
    </xf>
    <xf numFmtId="170" fontId="1" fillId="6" borderId="84" xfId="0" applyNumberFormat="1" applyFont="1" applyFill="1" applyBorder="1" applyAlignment="1">
      <alignment horizontal="center" vertical="center"/>
    </xf>
    <xf numFmtId="0" fontId="16" fillId="8" borderId="93" xfId="0" applyFont="1" applyFill="1" applyBorder="1" applyAlignment="1">
      <alignment horizontal="center" vertical="center"/>
    </xf>
    <xf numFmtId="168" fontId="1" fillId="9" borderId="84" xfId="0" applyNumberFormat="1" applyFont="1" applyFill="1" applyBorder="1" applyAlignment="1">
      <alignment horizontal="center" vertical="center"/>
    </xf>
    <xf numFmtId="171" fontId="1" fillId="0" borderId="93" xfId="0" applyNumberFormat="1" applyFont="1" applyBorder="1" applyAlignment="1">
      <alignment horizontal="center" vertical="center"/>
    </xf>
    <xf numFmtId="168" fontId="4" fillId="4" borderId="84" xfId="0" applyNumberFormat="1" applyFont="1" applyFill="1" applyBorder="1" applyAlignment="1">
      <alignment horizontal="center" vertical="center"/>
    </xf>
    <xf numFmtId="168" fontId="4" fillId="4" borderId="90" xfId="0" applyNumberFormat="1" applyFont="1" applyFill="1" applyBorder="1" applyAlignment="1">
      <alignment horizontal="center" vertical="center"/>
    </xf>
    <xf numFmtId="0" fontId="6" fillId="7" borderId="99" xfId="0" applyFont="1" applyFill="1" applyBorder="1" applyAlignment="1">
      <alignment horizontal="center" vertical="center"/>
    </xf>
    <xf numFmtId="0" fontId="17" fillId="0" borderId="0" xfId="0" applyFont="1" applyAlignment="1">
      <alignment vertical="center"/>
    </xf>
    <xf numFmtId="169" fontId="1" fillId="0" borderId="8" xfId="0" applyNumberFormat="1" applyFont="1" applyBorder="1" applyAlignment="1">
      <alignment horizontal="center" vertical="center"/>
    </xf>
    <xf numFmtId="168" fontId="4" fillId="2" borderId="82" xfId="0" applyNumberFormat="1" applyFont="1" applyFill="1" applyBorder="1" applyAlignment="1">
      <alignment horizontal="center" vertical="center"/>
    </xf>
    <xf numFmtId="168" fontId="4" fillId="2" borderId="106" xfId="0" applyNumberFormat="1" applyFont="1" applyFill="1" applyBorder="1" applyAlignment="1">
      <alignment horizontal="center" vertical="center"/>
    </xf>
    <xf numFmtId="168" fontId="4" fillId="5" borderId="106" xfId="0" applyNumberFormat="1" applyFont="1" applyFill="1" applyBorder="1" applyAlignment="1">
      <alignment horizontal="center" vertical="center"/>
    </xf>
    <xf numFmtId="168" fontId="4" fillId="2" borderId="83" xfId="0" applyNumberFormat="1" applyFont="1" applyFill="1" applyBorder="1" applyAlignment="1">
      <alignment horizontal="center" vertical="center"/>
    </xf>
    <xf numFmtId="0" fontId="4" fillId="0" borderId="8" xfId="0" applyFont="1" applyBorder="1" applyAlignment="1">
      <alignment vertical="center"/>
    </xf>
    <xf numFmtId="0" fontId="4" fillId="0" borderId="0" xfId="0" applyFont="1" applyAlignment="1">
      <alignment horizontal="center" vertical="center"/>
    </xf>
    <xf numFmtId="0" fontId="6" fillId="13" borderId="69" xfId="0" applyFont="1" applyFill="1" applyBorder="1" applyAlignment="1">
      <alignment vertical="center"/>
    </xf>
    <xf numFmtId="0" fontId="6" fillId="14" borderId="69" xfId="0" applyFont="1" applyFill="1" applyBorder="1" applyAlignment="1">
      <alignment vertical="center"/>
    </xf>
    <xf numFmtId="0" fontId="4" fillId="0" borderId="107" xfId="0" applyFont="1" applyBorder="1" applyAlignment="1">
      <alignment horizontal="center" vertical="center"/>
    </xf>
    <xf numFmtId="0" fontId="4" fillId="0" borderId="108" xfId="0" applyFont="1" applyBorder="1" applyAlignment="1">
      <alignment horizontal="center" vertical="center"/>
    </xf>
    <xf numFmtId="0" fontId="4" fillId="0" borderId="109" xfId="0" applyFont="1" applyBorder="1" applyAlignment="1">
      <alignment horizontal="center" vertical="center"/>
    </xf>
    <xf numFmtId="168" fontId="4" fillId="0" borderId="110" xfId="0" applyNumberFormat="1" applyFont="1" applyBorder="1" applyAlignment="1">
      <alignment horizontal="center" vertical="center"/>
    </xf>
    <xf numFmtId="168" fontId="4" fillId="0" borderId="111" xfId="0" applyNumberFormat="1" applyFont="1" applyBorder="1" applyAlignment="1">
      <alignment horizontal="center" vertical="center"/>
    </xf>
    <xf numFmtId="168" fontId="4" fillId="0" borderId="99" xfId="0" applyNumberFormat="1" applyFont="1" applyBorder="1" applyAlignment="1">
      <alignment horizontal="center" vertical="center"/>
    </xf>
    <xf numFmtId="0" fontId="6" fillId="13" borderId="69" xfId="0" applyFont="1" applyFill="1" applyBorder="1" applyAlignment="1">
      <alignment horizontal="center" vertical="center"/>
    </xf>
    <xf numFmtId="2" fontId="6" fillId="15" borderId="69" xfId="0" applyNumberFormat="1" applyFont="1" applyFill="1" applyBorder="1" applyAlignment="1">
      <alignment vertical="center"/>
    </xf>
    <xf numFmtId="170" fontId="1" fillId="11" borderId="34" xfId="0" applyNumberFormat="1" applyFont="1" applyFill="1" applyBorder="1" applyAlignment="1">
      <alignment horizontal="center" vertical="center"/>
    </xf>
    <xf numFmtId="0" fontId="6" fillId="11" borderId="69" xfId="0" applyFont="1" applyFill="1" applyBorder="1" applyAlignment="1">
      <alignment horizontal="center" vertical="center"/>
    </xf>
    <xf numFmtId="2" fontId="6" fillId="16" borderId="69" xfId="0" applyNumberFormat="1" applyFont="1" applyFill="1" applyBorder="1" applyAlignment="1">
      <alignment horizontal="center" vertical="center"/>
    </xf>
    <xf numFmtId="0" fontId="1" fillId="11" borderId="39" xfId="0" applyFont="1" applyFill="1" applyBorder="1" applyAlignment="1">
      <alignment horizontal="center" vertical="center"/>
    </xf>
    <xf numFmtId="168" fontId="1" fillId="0" borderId="75" xfId="0" applyNumberFormat="1" applyFont="1" applyBorder="1" applyAlignment="1">
      <alignment vertical="center"/>
    </xf>
    <xf numFmtId="0" fontId="1" fillId="11" borderId="47" xfId="0" applyFont="1" applyFill="1" applyBorder="1" applyAlignment="1">
      <alignment horizontal="center" vertical="center"/>
    </xf>
    <xf numFmtId="0" fontId="6" fillId="16" borderId="69" xfId="0" applyFont="1" applyFill="1" applyBorder="1" applyAlignment="1">
      <alignment horizontal="center" vertical="center"/>
    </xf>
    <xf numFmtId="168" fontId="1" fillId="0" borderId="0" xfId="0" applyNumberFormat="1" applyFont="1" applyAlignment="1">
      <alignment vertical="center"/>
    </xf>
    <xf numFmtId="0" fontId="6" fillId="17" borderId="69" xfId="0" applyFont="1" applyFill="1" applyBorder="1" applyAlignment="1">
      <alignment horizontal="center" vertical="center"/>
    </xf>
    <xf numFmtId="0" fontId="18" fillId="0" borderId="0" xfId="0" applyFont="1" applyAlignment="1">
      <alignment vertical="center"/>
    </xf>
    <xf numFmtId="0" fontId="1" fillId="0" borderId="0" xfId="0" applyFont="1"/>
    <xf numFmtId="0" fontId="2" fillId="0" borderId="105" xfId="0" applyFont="1" applyBorder="1" applyAlignment="1">
      <alignment horizontal="center"/>
    </xf>
    <xf numFmtId="0" fontId="2" fillId="0" borderId="104" xfId="0" applyFont="1" applyBorder="1" applyAlignment="1">
      <alignment horizontal="center"/>
    </xf>
    <xf numFmtId="49" fontId="1" fillId="0" borderId="105" xfId="0" applyNumberFormat="1" applyFont="1" applyBorder="1" applyAlignment="1">
      <alignment horizontal="center"/>
    </xf>
    <xf numFmtId="49" fontId="1" fillId="0" borderId="104" xfId="0" applyNumberFormat="1" applyFont="1" applyBorder="1" applyAlignment="1">
      <alignment horizontal="center"/>
    </xf>
    <xf numFmtId="0" fontId="1" fillId="0" borderId="104" xfId="0" applyFont="1" applyBorder="1"/>
    <xf numFmtId="0" fontId="1" fillId="0" borderId="104" xfId="0" applyFont="1" applyBorder="1" applyAlignment="1">
      <alignment horizontal="left"/>
    </xf>
    <xf numFmtId="0" fontId="1" fillId="0" borderId="69" xfId="0" applyFont="1" applyBorder="1" applyAlignment="1">
      <alignment vertical="center"/>
    </xf>
    <xf numFmtId="0" fontId="4" fillId="0" borderId="69" xfId="0" applyFont="1" applyBorder="1" applyAlignment="1">
      <alignment vertical="center"/>
    </xf>
    <xf numFmtId="164" fontId="1" fillId="0" borderId="69" xfId="0" applyNumberFormat="1" applyFont="1" applyBorder="1" applyAlignment="1">
      <alignment horizontal="center" vertical="center"/>
    </xf>
    <xf numFmtId="0" fontId="1" fillId="0" borderId="22" xfId="0" applyFont="1" applyBorder="1" applyAlignment="1">
      <alignment horizontal="left" vertical="center"/>
    </xf>
    <xf numFmtId="167" fontId="1" fillId="0" borderId="24" xfId="0" applyNumberFormat="1" applyFont="1" applyBorder="1" applyAlignment="1">
      <alignment horizontal="left" vertical="center"/>
    </xf>
    <xf numFmtId="0" fontId="1" fillId="0" borderId="69" xfId="0" applyFont="1" applyBorder="1" applyAlignment="1">
      <alignment horizontal="left" vertical="center" wrapText="1"/>
    </xf>
    <xf numFmtId="0" fontId="2" fillId="0" borderId="69" xfId="0" applyFont="1" applyBorder="1" applyAlignment="1">
      <alignment horizontal="center" vertical="center"/>
    </xf>
    <xf numFmtId="0" fontId="1" fillId="0" borderId="69" xfId="0" applyFont="1" applyBorder="1" applyAlignment="1">
      <alignment horizontal="center" vertical="center"/>
    </xf>
    <xf numFmtId="0" fontId="2" fillId="0" borderId="69" xfId="0" applyFont="1" applyBorder="1" applyAlignment="1">
      <alignment vertical="center"/>
    </xf>
    <xf numFmtId="2" fontId="1" fillId="0" borderId="69" xfId="0" applyNumberFormat="1" applyFont="1" applyBorder="1" applyAlignment="1">
      <alignment horizontal="center" vertical="center"/>
    </xf>
    <xf numFmtId="0" fontId="10" fillId="0" borderId="69" xfId="0" applyFont="1" applyBorder="1" applyAlignment="1">
      <alignment vertical="center"/>
    </xf>
    <xf numFmtId="0" fontId="1" fillId="0" borderId="112" xfId="0" applyFont="1" applyBorder="1" applyAlignment="1">
      <alignment vertical="center"/>
    </xf>
    <xf numFmtId="0" fontId="1" fillId="0" borderId="113" xfId="0" applyFont="1" applyBorder="1" applyAlignment="1">
      <alignment vertical="center"/>
    </xf>
    <xf numFmtId="0" fontId="1" fillId="0" borderId="117" xfId="0" applyFont="1" applyBorder="1" applyAlignment="1">
      <alignment vertical="center"/>
    </xf>
    <xf numFmtId="0" fontId="1" fillId="0" borderId="119" xfId="0" applyFont="1" applyBorder="1" applyAlignment="1">
      <alignment vertical="center"/>
    </xf>
    <xf numFmtId="0" fontId="1" fillId="0" borderId="120" xfId="0" applyFont="1" applyBorder="1" applyAlignment="1">
      <alignment vertical="center"/>
    </xf>
    <xf numFmtId="0" fontId="1" fillId="0" borderId="121" xfId="0" applyFont="1" applyBorder="1" applyAlignment="1">
      <alignment vertical="center"/>
    </xf>
    <xf numFmtId="165" fontId="1" fillId="2" borderId="16" xfId="0" applyNumberFormat="1" applyFont="1" applyFill="1" applyBorder="1" applyAlignment="1">
      <alignment horizontal="right" vertical="center"/>
    </xf>
    <xf numFmtId="166" fontId="1" fillId="0" borderId="15" xfId="0" applyNumberFormat="1" applyFont="1" applyBorder="1" applyAlignment="1">
      <alignment horizontal="center" vertical="center"/>
    </xf>
    <xf numFmtId="49" fontId="1" fillId="0" borderId="118" xfId="0" applyNumberFormat="1" applyFont="1" applyBorder="1" applyAlignment="1">
      <alignment vertical="center"/>
    </xf>
    <xf numFmtId="0" fontId="1" fillId="2" borderId="120" xfId="0" applyFont="1" applyFill="1" applyBorder="1" applyAlignment="1">
      <alignment vertical="center"/>
    </xf>
    <xf numFmtId="0" fontId="2" fillId="2" borderId="24" xfId="0" applyFont="1" applyFill="1" applyBorder="1" applyAlignment="1">
      <alignment vertical="center"/>
    </xf>
    <xf numFmtId="167" fontId="1" fillId="2" borderId="122" xfId="0" applyNumberFormat="1" applyFont="1" applyFill="1" applyBorder="1" applyAlignment="1">
      <alignment horizontal="left" vertical="center"/>
    </xf>
    <xf numFmtId="0" fontId="1" fillId="2" borderId="120" xfId="0" applyFont="1" applyFill="1" applyBorder="1" applyAlignment="1">
      <alignment horizontal="left" vertical="center"/>
    </xf>
    <xf numFmtId="0" fontId="1" fillId="0" borderId="117" xfId="0" applyFont="1" applyBorder="1" applyAlignment="1">
      <alignment horizontal="center" vertical="center"/>
    </xf>
    <xf numFmtId="0" fontId="7" fillId="0" borderId="69" xfId="0" applyFont="1" applyBorder="1" applyAlignment="1">
      <alignment vertical="center"/>
    </xf>
    <xf numFmtId="0" fontId="1" fillId="0" borderId="123" xfId="0" applyFont="1" applyBorder="1" applyAlignment="1">
      <alignment horizontal="center" vertical="center"/>
    </xf>
    <xf numFmtId="0" fontId="1" fillId="0" borderId="123" xfId="0" applyFont="1" applyBorder="1" applyAlignment="1">
      <alignment vertical="center"/>
    </xf>
    <xf numFmtId="0" fontId="1" fillId="0" borderId="69" xfId="0" applyFont="1" applyBorder="1" applyAlignment="1">
      <alignment horizontal="left" vertical="center"/>
    </xf>
    <xf numFmtId="0" fontId="1" fillId="0" borderId="124" xfId="0" applyFont="1" applyBorder="1" applyAlignment="1">
      <alignment horizontal="center" vertical="center"/>
    </xf>
    <xf numFmtId="0" fontId="2" fillId="4" borderId="126" xfId="0" applyFont="1" applyFill="1" applyBorder="1" applyAlignment="1">
      <alignment horizontal="center" vertical="center"/>
    </xf>
    <xf numFmtId="0" fontId="2" fillId="4" borderId="125" xfId="0" applyFont="1" applyFill="1" applyBorder="1" applyAlignment="1">
      <alignment horizontal="center" vertical="center"/>
    </xf>
    <xf numFmtId="2" fontId="2" fillId="4" borderId="126" xfId="0" applyNumberFormat="1" applyFont="1" applyFill="1" applyBorder="1" applyAlignment="1">
      <alignment horizontal="center" vertical="center"/>
    </xf>
    <xf numFmtId="168" fontId="2" fillId="4" borderId="126" xfId="0" applyNumberFormat="1" applyFont="1" applyFill="1" applyBorder="1" applyAlignment="1">
      <alignment horizontal="center" vertical="center"/>
    </xf>
    <xf numFmtId="0" fontId="1" fillId="0" borderId="69" xfId="0" applyFont="1" applyBorder="1" applyAlignment="1">
      <alignment horizontal="center" vertical="center" wrapText="1"/>
    </xf>
    <xf numFmtId="168" fontId="2" fillId="4" borderId="123" xfId="0" applyNumberFormat="1" applyFont="1" applyFill="1" applyBorder="1" applyAlignment="1">
      <alignment horizontal="center" vertical="center"/>
    </xf>
    <xf numFmtId="168" fontId="2" fillId="4" borderId="120" xfId="0" applyNumberFormat="1" applyFont="1" applyFill="1" applyBorder="1" applyAlignment="1">
      <alignment horizontal="center"/>
    </xf>
    <xf numFmtId="2" fontId="2" fillId="4" borderId="120" xfId="0" applyNumberFormat="1" applyFont="1" applyFill="1" applyBorder="1" applyAlignment="1">
      <alignment horizontal="center"/>
    </xf>
    <xf numFmtId="170" fontId="2" fillId="4" borderId="120" xfId="0" applyNumberFormat="1" applyFont="1" applyFill="1" applyBorder="1" applyAlignment="1">
      <alignment horizontal="center"/>
    </xf>
    <xf numFmtId="0" fontId="2" fillId="0" borderId="123" xfId="0" applyFont="1" applyBorder="1" applyAlignment="1">
      <alignment vertical="center"/>
    </xf>
    <xf numFmtId="0" fontId="1" fillId="0" borderId="69" xfId="0" applyFont="1" applyBorder="1" applyAlignment="1">
      <alignment horizontal="right" vertical="center" wrapText="1"/>
    </xf>
    <xf numFmtId="0" fontId="1" fillId="0" borderId="69" xfId="0" applyFont="1" applyBorder="1" applyAlignment="1">
      <alignment vertical="center" wrapText="1"/>
    </xf>
    <xf numFmtId="0" fontId="4" fillId="0" borderId="15" xfId="0" applyFont="1" applyBorder="1" applyAlignment="1">
      <alignment vertical="center"/>
    </xf>
    <xf numFmtId="0" fontId="4" fillId="0" borderId="118" xfId="0" applyFont="1" applyBorder="1" applyAlignment="1">
      <alignment vertical="center"/>
    </xf>
    <xf numFmtId="0" fontId="1" fillId="0" borderId="19" xfId="0" applyFont="1" applyBorder="1" applyAlignment="1">
      <alignment horizontal="center" vertical="center"/>
    </xf>
    <xf numFmtId="165" fontId="1" fillId="0" borderId="24" xfId="0" applyNumberFormat="1" applyFont="1" applyBorder="1" applyAlignment="1">
      <alignment horizontal="center" vertical="center"/>
    </xf>
    <xf numFmtId="0" fontId="1" fillId="0" borderId="125" xfId="0" applyFont="1" applyBorder="1" applyAlignment="1">
      <alignment vertical="center"/>
    </xf>
    <xf numFmtId="165" fontId="1" fillId="0" borderId="69" xfId="0" applyNumberFormat="1" applyFont="1" applyBorder="1" applyAlignment="1">
      <alignment horizontal="center" vertical="center"/>
    </xf>
    <xf numFmtId="167" fontId="1" fillId="0" borderId="19" xfId="0" applyNumberFormat="1" applyFont="1" applyBorder="1" applyAlignment="1">
      <alignment horizontal="center" vertical="center"/>
    </xf>
    <xf numFmtId="167" fontId="1" fillId="0" borderId="19" xfId="0" applyNumberFormat="1" applyFont="1" applyBorder="1" applyAlignment="1">
      <alignment horizontal="left" vertical="center"/>
    </xf>
    <xf numFmtId="0" fontId="2" fillId="0" borderId="119" xfId="0" applyFont="1" applyBorder="1" applyAlignment="1">
      <alignment vertical="center"/>
    </xf>
    <xf numFmtId="0" fontId="1" fillId="0" borderId="22" xfId="0" applyFont="1" applyBorder="1" applyAlignment="1">
      <alignment vertical="center"/>
    </xf>
    <xf numFmtId="0" fontId="1" fillId="0" borderId="120" xfId="0" applyFont="1" applyBorder="1" applyAlignment="1">
      <alignment horizontal="left" vertical="center"/>
    </xf>
    <xf numFmtId="0" fontId="9" fillId="2" borderId="123" xfId="0" applyFont="1" applyFill="1" applyBorder="1" applyAlignment="1">
      <alignment vertical="center" wrapText="1"/>
    </xf>
    <xf numFmtId="168" fontId="4" fillId="2" borderId="123" xfId="0" applyNumberFormat="1" applyFont="1" applyFill="1" applyBorder="1" applyAlignment="1">
      <alignment vertical="center"/>
    </xf>
    <xf numFmtId="0" fontId="1" fillId="0" borderId="117" xfId="0" applyFont="1" applyBorder="1" applyAlignment="1">
      <alignment horizontal="center" vertical="center" wrapText="1"/>
    </xf>
    <xf numFmtId="169" fontId="1" fillId="0" borderId="69" xfId="0" applyNumberFormat="1" applyFont="1" applyBorder="1" applyAlignment="1">
      <alignment horizontal="center" vertical="center"/>
    </xf>
    <xf numFmtId="168" fontId="4" fillId="2" borderId="67" xfId="0" applyNumberFormat="1" applyFont="1" applyFill="1" applyBorder="1" applyAlignment="1">
      <alignment horizontal="center" vertical="center"/>
    </xf>
    <xf numFmtId="0" fontId="9" fillId="0" borderId="123" xfId="0" applyFont="1" applyBorder="1" applyAlignment="1">
      <alignment vertical="center"/>
    </xf>
    <xf numFmtId="168" fontId="9" fillId="0" borderId="123" xfId="0" applyNumberFormat="1" applyFont="1" applyBorder="1" applyAlignment="1">
      <alignment vertical="center"/>
    </xf>
    <xf numFmtId="168" fontId="11" fillId="0" borderId="123" xfId="0" applyNumberFormat="1" applyFont="1" applyBorder="1" applyAlignment="1">
      <alignment vertical="center"/>
    </xf>
    <xf numFmtId="0" fontId="11" fillId="0" borderId="69" xfId="0" applyFont="1" applyBorder="1" applyAlignment="1">
      <alignment horizontal="center" vertical="center"/>
    </xf>
    <xf numFmtId="168" fontId="11" fillId="0" borderId="69" xfId="0" applyNumberFormat="1" applyFont="1" applyBorder="1" applyAlignment="1">
      <alignment horizontal="center" vertical="center"/>
    </xf>
    <xf numFmtId="168" fontId="11" fillId="0" borderId="123" xfId="0" applyNumberFormat="1" applyFont="1" applyBorder="1" applyAlignment="1">
      <alignment horizontal="center" vertical="center"/>
    </xf>
    <xf numFmtId="0" fontId="1" fillId="0" borderId="134" xfId="0" applyFont="1" applyBorder="1" applyAlignment="1">
      <alignment horizontal="center" vertical="center"/>
    </xf>
    <xf numFmtId="0" fontId="1" fillId="0" borderId="135" xfId="0" applyFont="1" applyBorder="1" applyAlignment="1">
      <alignment horizontal="center" vertical="center"/>
    </xf>
    <xf numFmtId="168" fontId="2" fillId="0" borderId="69" xfId="0" applyNumberFormat="1" applyFont="1" applyBorder="1" applyAlignment="1">
      <alignment horizontal="center" vertical="center"/>
    </xf>
    <xf numFmtId="2" fontId="2" fillId="0" borderId="136" xfId="0" applyNumberFormat="1" applyFont="1" applyBorder="1" applyAlignment="1">
      <alignment horizontal="center" vertical="center"/>
    </xf>
    <xf numFmtId="0" fontId="1" fillId="0" borderId="123" xfId="0" applyFont="1" applyBorder="1" applyAlignment="1">
      <alignment vertical="top"/>
    </xf>
    <xf numFmtId="0" fontId="9" fillId="0" borderId="69" xfId="0" applyFont="1" applyBorder="1" applyAlignment="1">
      <alignment vertical="center"/>
    </xf>
    <xf numFmtId="0" fontId="1" fillId="0" borderId="139" xfId="0" applyFont="1" applyBorder="1" applyAlignment="1">
      <alignment vertical="center"/>
    </xf>
    <xf numFmtId="0" fontId="6" fillId="0" borderId="69" xfId="0" applyFont="1" applyBorder="1" applyAlignment="1">
      <alignment vertical="center"/>
    </xf>
    <xf numFmtId="0" fontId="4" fillId="0" borderId="129" xfId="0" applyFont="1" applyBorder="1" applyAlignment="1">
      <alignment vertical="center"/>
    </xf>
    <xf numFmtId="167" fontId="1" fillId="0" borderId="69" xfId="0" applyNumberFormat="1" applyFont="1" applyBorder="1" applyAlignment="1">
      <alignment horizontal="left" vertical="center"/>
    </xf>
    <xf numFmtId="0" fontId="1" fillId="0" borderId="132" xfId="0" applyFont="1" applyBorder="1" applyAlignment="1">
      <alignment horizontal="center" vertical="center" wrapText="1"/>
    </xf>
    <xf numFmtId="0" fontId="3" fillId="0" borderId="45" xfId="0" applyFont="1" applyBorder="1"/>
    <xf numFmtId="0" fontId="1" fillId="0" borderId="129" xfId="0" applyFont="1" applyBorder="1" applyAlignment="1">
      <alignment horizontal="center" vertical="center" wrapText="1"/>
    </xf>
    <xf numFmtId="0" fontId="3" fillId="0" borderId="38" xfId="0" applyFont="1" applyBorder="1"/>
    <xf numFmtId="170" fontId="2" fillId="4" borderId="66" xfId="0" applyNumberFormat="1" applyFont="1" applyFill="1" applyBorder="1" applyAlignment="1">
      <alignment horizontal="center" vertical="center"/>
    </xf>
    <xf numFmtId="0" fontId="3" fillId="0" borderId="66" xfId="0" applyFont="1" applyBorder="1"/>
    <xf numFmtId="168" fontId="2" fillId="4" borderId="66" xfId="0" applyNumberFormat="1" applyFont="1" applyFill="1" applyBorder="1" applyAlignment="1">
      <alignment horizontal="center" vertical="center"/>
    </xf>
    <xf numFmtId="0" fontId="11" fillId="0" borderId="44" xfId="0" applyFont="1" applyBorder="1" applyAlignment="1">
      <alignment horizontal="center" vertical="center"/>
    </xf>
    <xf numFmtId="0" fontId="3" fillId="0" borderId="67" xfId="0" applyFont="1" applyBorder="1"/>
    <xf numFmtId="0" fontId="1" fillId="0" borderId="24" xfId="0" applyFont="1" applyBorder="1" applyAlignment="1">
      <alignment horizontal="center" vertical="center"/>
    </xf>
    <xf numFmtId="0" fontId="3" fillId="0" borderId="24" xfId="0" applyFont="1" applyBorder="1"/>
    <xf numFmtId="0" fontId="1" fillId="0" borderId="69" xfId="0" applyFont="1" applyBorder="1" applyAlignment="1">
      <alignment horizontal="center" vertical="center"/>
    </xf>
    <xf numFmtId="0" fontId="0" fillId="0" borderId="69" xfId="0" applyBorder="1"/>
    <xf numFmtId="168" fontId="11" fillId="0" borderId="44" xfId="0" applyNumberFormat="1" applyFont="1" applyBorder="1" applyAlignment="1">
      <alignment horizontal="center" vertical="center"/>
    </xf>
    <xf numFmtId="0" fontId="3" fillId="0" borderId="18" xfId="0" applyFont="1" applyBorder="1"/>
    <xf numFmtId="0" fontId="8" fillId="3" borderId="28" xfId="0" applyFont="1" applyFill="1" applyBorder="1" applyAlignment="1">
      <alignment horizontal="center" vertical="center"/>
    </xf>
    <xf numFmtId="0" fontId="3" fillId="0" borderId="48" xfId="0" applyFont="1" applyBorder="1"/>
    <xf numFmtId="168" fontId="9" fillId="0" borderId="16" xfId="0" applyNumberFormat="1" applyFont="1" applyBorder="1" applyAlignment="1">
      <alignment horizontal="center" vertical="center"/>
    </xf>
    <xf numFmtId="0" fontId="3" fillId="0" borderId="16" xfId="0" applyFont="1" applyBorder="1"/>
    <xf numFmtId="0" fontId="3" fillId="0" borderId="55" xfId="0" applyFont="1" applyBorder="1"/>
    <xf numFmtId="0" fontId="8" fillId="3" borderId="121" xfId="0" applyFont="1" applyFill="1" applyBorder="1" applyAlignment="1">
      <alignment horizontal="center" vertical="center"/>
    </xf>
    <xf numFmtId="0" fontId="3" fillId="0" borderId="63" xfId="0" applyFont="1" applyBorder="1"/>
    <xf numFmtId="0" fontId="9" fillId="0" borderId="28" xfId="0" applyFont="1" applyBorder="1" applyAlignment="1">
      <alignment horizontal="center" vertical="center"/>
    </xf>
    <xf numFmtId="0" fontId="9" fillId="0" borderId="54" xfId="0" applyFont="1" applyBorder="1" applyAlignment="1">
      <alignment horizontal="center" vertical="center"/>
    </xf>
    <xf numFmtId="0" fontId="3" fillId="0" borderId="21" xfId="0" applyFont="1" applyBorder="1"/>
    <xf numFmtId="0" fontId="9" fillId="0" borderId="37" xfId="0" applyFont="1" applyBorder="1" applyAlignment="1">
      <alignment horizontal="center" vertical="center"/>
    </xf>
    <xf numFmtId="0" fontId="3" fillId="0" borderId="43" xfId="0" applyFont="1" applyBorder="1"/>
    <xf numFmtId="168" fontId="9" fillId="0" borderId="15" xfId="0" applyNumberFormat="1" applyFont="1" applyBorder="1" applyAlignment="1">
      <alignment horizontal="center" vertical="center"/>
    </xf>
    <xf numFmtId="0" fontId="3" fillId="0" borderId="15" xfId="0" applyFont="1" applyBorder="1"/>
    <xf numFmtId="0" fontId="1" fillId="0" borderId="128" xfId="0" applyFont="1" applyBorder="1" applyAlignment="1">
      <alignment horizontal="center" vertical="center" wrapText="1"/>
    </xf>
    <xf numFmtId="0" fontId="3" fillId="0" borderId="32" xfId="0" applyFont="1" applyBorder="1"/>
    <xf numFmtId="0" fontId="1" fillId="0" borderId="130" xfId="0" applyFont="1" applyBorder="1" applyAlignment="1">
      <alignment horizontal="center" vertical="center" wrapText="1"/>
    </xf>
    <xf numFmtId="0" fontId="3" fillId="0" borderId="50" xfId="0" applyFont="1" applyBorder="1"/>
    <xf numFmtId="0" fontId="3" fillId="0" borderId="131" xfId="0" applyFont="1" applyBorder="1"/>
    <xf numFmtId="0" fontId="1" fillId="0" borderId="51" xfId="0" applyFont="1" applyBorder="1" applyAlignment="1">
      <alignment horizontal="center" vertical="center"/>
    </xf>
    <xf numFmtId="0" fontId="3" fillId="0" borderId="56" xfId="0" applyFont="1" applyBorder="1"/>
    <xf numFmtId="0" fontId="1" fillId="0" borderId="52" xfId="0" applyFont="1" applyBorder="1" applyAlignment="1">
      <alignment horizontal="center" vertical="center"/>
    </xf>
    <xf numFmtId="0" fontId="3" fillId="0" borderId="57" xfId="0" applyFont="1" applyBorder="1"/>
    <xf numFmtId="0" fontId="2" fillId="0" borderId="71" xfId="0" applyFont="1" applyBorder="1" applyAlignment="1">
      <alignment horizontal="center" vertical="center"/>
    </xf>
    <xf numFmtId="0" fontId="3" fillId="0" borderId="71" xfId="0" applyFont="1" applyBorder="1"/>
    <xf numFmtId="0" fontId="3" fillId="0" borderId="138" xfId="0" applyFont="1" applyBorder="1"/>
    <xf numFmtId="0" fontId="3" fillId="0" borderId="123" xfId="0" applyFont="1" applyBorder="1"/>
    <xf numFmtId="0" fontId="1" fillId="0" borderId="28" xfId="0" applyFont="1" applyBorder="1" applyAlignment="1">
      <alignment horizontal="center" vertical="center"/>
    </xf>
    <xf numFmtId="0" fontId="3" fillId="0" borderId="29" xfId="0" applyFont="1" applyBorder="1"/>
    <xf numFmtId="0" fontId="3" fillId="0" borderId="30" xfId="0" applyFont="1" applyBorder="1"/>
    <xf numFmtId="0" fontId="8" fillId="3" borderId="66" xfId="0" applyFont="1" applyFill="1" applyBorder="1" applyAlignment="1">
      <alignment horizontal="center" vertical="center"/>
    </xf>
    <xf numFmtId="168" fontId="9" fillId="0" borderId="41" xfId="0" applyNumberFormat="1" applyFont="1" applyBorder="1" applyAlignment="1">
      <alignment horizontal="center" vertical="center"/>
    </xf>
    <xf numFmtId="0" fontId="3" fillId="0" borderId="19" xfId="0" applyFont="1" applyBorder="1"/>
    <xf numFmtId="0" fontId="3" fillId="0" borderId="20" xfId="0" applyFont="1" applyBorder="1"/>
    <xf numFmtId="168" fontId="9" fillId="0" borderId="7" xfId="0" applyNumberFormat="1" applyFont="1" applyBorder="1" applyAlignment="1">
      <alignment horizontal="center" vertical="center"/>
    </xf>
    <xf numFmtId="168" fontId="11" fillId="0" borderId="65" xfId="0" applyNumberFormat="1" applyFont="1" applyBorder="1" applyAlignment="1">
      <alignment horizontal="center" vertical="center"/>
    </xf>
    <xf numFmtId="0" fontId="8" fillId="3" borderId="23" xfId="0" applyFont="1" applyFill="1" applyBorder="1" applyAlignment="1">
      <alignment horizontal="center" vertical="center"/>
    </xf>
    <xf numFmtId="0" fontId="3" fillId="0" borderId="125" xfId="0" applyFont="1" applyBorder="1"/>
    <xf numFmtId="0" fontId="2" fillId="3" borderId="13" xfId="0" applyFont="1" applyFill="1" applyBorder="1" applyAlignment="1">
      <alignment horizontal="center" vertical="center"/>
    </xf>
    <xf numFmtId="0" fontId="3" fillId="0" borderId="68" xfId="0" applyFont="1" applyBorder="1"/>
    <xf numFmtId="0" fontId="3" fillId="0" borderId="14" xfId="0" applyFont="1" applyBorder="1"/>
    <xf numFmtId="0" fontId="2" fillId="0" borderId="31" xfId="0" applyFont="1" applyBorder="1" applyAlignment="1">
      <alignment horizontal="center" vertical="center"/>
    </xf>
    <xf numFmtId="0" fontId="2" fillId="0" borderId="37" xfId="0" applyFont="1" applyBorder="1" applyAlignment="1">
      <alignment horizontal="center" vertical="center"/>
    </xf>
    <xf numFmtId="0" fontId="2" fillId="0" borderId="37" xfId="0" applyFont="1" applyBorder="1" applyAlignment="1">
      <alignment horizontal="center" vertical="center" wrapText="1"/>
    </xf>
    <xf numFmtId="0" fontId="2" fillId="0" borderId="44" xfId="0" applyFont="1" applyBorder="1" applyAlignment="1">
      <alignment horizontal="center" vertical="center"/>
    </xf>
    <xf numFmtId="0" fontId="2" fillId="0" borderId="117" xfId="0" applyFont="1" applyBorder="1" applyAlignment="1">
      <alignment horizontal="center" vertical="center"/>
    </xf>
    <xf numFmtId="0" fontId="9" fillId="0" borderId="117" xfId="0" applyFont="1" applyBorder="1" applyAlignment="1">
      <alignment horizontal="center" vertical="center" wrapText="1"/>
    </xf>
    <xf numFmtId="0" fontId="0" fillId="0" borderId="117" xfId="0" applyBorder="1"/>
    <xf numFmtId="0" fontId="6" fillId="0" borderId="139" xfId="0" applyFont="1" applyBorder="1" applyAlignment="1">
      <alignment horizontal="center" vertical="center"/>
    </xf>
    <xf numFmtId="0" fontId="3" fillId="0" borderId="140" xfId="0" applyFont="1" applyBorder="1"/>
    <xf numFmtId="0" fontId="3" fillId="0" borderId="141" xfId="0" applyFont="1" applyBorder="1"/>
    <xf numFmtId="0" fontId="8" fillId="3" borderId="28" xfId="0" applyFont="1" applyFill="1" applyBorder="1" applyAlignment="1">
      <alignment horizontal="center" vertical="center" wrapText="1"/>
    </xf>
    <xf numFmtId="0" fontId="3" fillId="0" borderId="126" xfId="0" applyFont="1" applyBorder="1"/>
    <xf numFmtId="0" fontId="1" fillId="0" borderId="54" xfId="0" applyFont="1" applyBorder="1" applyAlignment="1">
      <alignment horizontal="center" vertical="center"/>
    </xf>
    <xf numFmtId="0" fontId="1" fillId="0" borderId="41" xfId="0" applyFont="1" applyBorder="1" applyAlignment="1">
      <alignment horizontal="center" vertical="center"/>
    </xf>
    <xf numFmtId="0" fontId="3" fillId="0" borderId="122" xfId="0" applyFont="1" applyBorder="1"/>
    <xf numFmtId="0" fontId="1" fillId="0" borderId="37" xfId="0" applyFont="1" applyBorder="1" applyAlignment="1">
      <alignment horizontal="center" vertical="center"/>
    </xf>
    <xf numFmtId="0" fontId="1" fillId="0" borderId="7" xfId="0" applyFont="1" applyBorder="1" applyAlignment="1">
      <alignment horizontal="center" vertical="center"/>
    </xf>
    <xf numFmtId="0" fontId="3" fillId="0" borderId="118" xfId="0" applyFont="1" applyBorder="1"/>
    <xf numFmtId="0" fontId="1" fillId="0" borderId="65" xfId="0" applyFont="1" applyBorder="1" applyAlignment="1">
      <alignment horizontal="center" vertical="center"/>
    </xf>
    <xf numFmtId="0" fontId="3" fillId="0" borderId="137" xfId="0" applyFont="1" applyBorder="1"/>
    <xf numFmtId="0" fontId="1" fillId="0" borderId="44" xfId="0" applyFont="1" applyBorder="1" applyAlignment="1">
      <alignment horizontal="center" vertical="center"/>
    </xf>
    <xf numFmtId="0" fontId="4" fillId="0" borderId="69" xfId="0" applyFont="1" applyBorder="1" applyAlignment="1">
      <alignment horizontal="center"/>
    </xf>
    <xf numFmtId="0" fontId="4" fillId="0" borderId="24" xfId="0" applyFont="1" applyBorder="1" applyAlignment="1">
      <alignment horizontal="center"/>
    </xf>
    <xf numFmtId="0" fontId="1" fillId="0" borderId="31" xfId="0" applyFont="1" applyBorder="1" applyAlignment="1">
      <alignment horizontal="center" vertical="center"/>
    </xf>
    <xf numFmtId="168" fontId="4" fillId="0" borderId="7" xfId="0" applyNumberFormat="1" applyFont="1" applyBorder="1" applyAlignment="1">
      <alignment horizontal="center" vertical="center"/>
    </xf>
    <xf numFmtId="168" fontId="4" fillId="2" borderId="7" xfId="0" applyNumberFormat="1" applyFont="1" applyFill="1" applyBorder="1" applyAlignment="1">
      <alignment horizontal="center" vertical="center"/>
    </xf>
    <xf numFmtId="168" fontId="4" fillId="4" borderId="58" xfId="0" applyNumberFormat="1" applyFont="1" applyFill="1" applyBorder="1" applyAlignment="1">
      <alignment horizontal="center" vertical="center"/>
    </xf>
    <xf numFmtId="0" fontId="3" fillId="0" borderId="60" xfId="0" applyFont="1" applyBorder="1"/>
    <xf numFmtId="0" fontId="1" fillId="0" borderId="129" xfId="0" applyFont="1" applyBorder="1" applyAlignment="1">
      <alignment horizontal="center" vertical="center"/>
    </xf>
    <xf numFmtId="0" fontId="4" fillId="2" borderId="41" xfId="0" applyFont="1" applyFill="1" applyBorder="1" applyAlignment="1">
      <alignment horizontal="center" vertical="center"/>
    </xf>
    <xf numFmtId="0" fontId="4" fillId="2" borderId="28" xfId="0" applyFont="1" applyFill="1" applyBorder="1" applyAlignment="1">
      <alignment horizontal="center" vertical="center"/>
    </xf>
    <xf numFmtId="0" fontId="2" fillId="2" borderId="24" xfId="0" applyFont="1" applyFill="1" applyBorder="1" applyAlignment="1">
      <alignment horizontal="left" vertical="center"/>
    </xf>
    <xf numFmtId="0" fontId="7" fillId="0" borderId="69" xfId="0" applyFont="1" applyBorder="1" applyAlignment="1">
      <alignment horizontal="center" vertical="center"/>
    </xf>
    <xf numFmtId="0" fontId="1" fillId="2" borderId="142" xfId="0" applyFont="1" applyFill="1" applyBorder="1" applyAlignment="1">
      <alignment horizontal="center" vertical="center"/>
    </xf>
    <xf numFmtId="0" fontId="3" fillId="0" borderId="142" xfId="0" applyFont="1" applyBorder="1"/>
    <xf numFmtId="0" fontId="1" fillId="2" borderId="22" xfId="0" applyFont="1" applyFill="1" applyBorder="1" applyAlignment="1">
      <alignment horizontal="center" vertical="center"/>
    </xf>
    <xf numFmtId="0" fontId="3" fillId="0" borderId="22" xfId="0" applyFont="1" applyBorder="1"/>
    <xf numFmtId="49" fontId="1" fillId="2" borderId="19" xfId="0" applyNumberFormat="1" applyFont="1" applyFill="1" applyBorder="1" applyAlignment="1">
      <alignment horizontal="right" vertical="center"/>
    </xf>
    <xf numFmtId="0" fontId="2" fillId="2" borderId="24" xfId="0" applyFont="1" applyFill="1" applyBorder="1" applyAlignment="1">
      <alignment horizontal="center" vertical="center"/>
    </xf>
    <xf numFmtId="0" fontId="2" fillId="0" borderId="121" xfId="0" applyFont="1" applyBorder="1" applyAlignment="1">
      <alignment horizontal="left" vertical="center"/>
    </xf>
    <xf numFmtId="0" fontId="1" fillId="0" borderId="19" xfId="0" applyFont="1" applyBorder="1" applyAlignment="1">
      <alignment horizontal="center" vertical="center"/>
    </xf>
    <xf numFmtId="0" fontId="1" fillId="0" borderId="117" xfId="0" applyFont="1" applyBorder="1" applyAlignment="1">
      <alignment horizontal="center" vertical="center"/>
    </xf>
    <xf numFmtId="0" fontId="7" fillId="0" borderId="117" xfId="0" applyFont="1" applyBorder="1" applyAlignment="1">
      <alignment horizontal="left" vertical="center"/>
    </xf>
    <xf numFmtId="0" fontId="2" fillId="0" borderId="140" xfId="0" applyFont="1" applyBorder="1" applyAlignment="1">
      <alignment horizontal="left" vertical="center"/>
    </xf>
    <xf numFmtId="0" fontId="0" fillId="0" borderId="140" xfId="0" applyBorder="1"/>
    <xf numFmtId="0" fontId="2" fillId="2" borderId="140" xfId="0" applyFont="1" applyFill="1" applyBorder="1" applyAlignment="1">
      <alignment horizontal="left" vertical="center"/>
    </xf>
    <xf numFmtId="0" fontId="3" fillId="0" borderId="143" xfId="0" applyFont="1" applyBorder="1"/>
    <xf numFmtId="0" fontId="2" fillId="0" borderId="119" xfId="0" applyFont="1" applyBorder="1" applyAlignment="1">
      <alignment horizontal="left" vertical="center"/>
    </xf>
    <xf numFmtId="0" fontId="1" fillId="0" borderId="22" xfId="0" applyFont="1" applyBorder="1" applyAlignment="1">
      <alignment horizontal="center" vertical="center"/>
    </xf>
    <xf numFmtId="0" fontId="2" fillId="2" borderId="28" xfId="0" applyFont="1" applyFill="1" applyBorder="1" applyAlignment="1">
      <alignment horizontal="center" vertical="center" wrapText="1"/>
    </xf>
    <xf numFmtId="0" fontId="1" fillId="0" borderId="69" xfId="0" applyFont="1" applyBorder="1" applyAlignment="1">
      <alignment horizontal="left" vertical="center"/>
    </xf>
    <xf numFmtId="0" fontId="2" fillId="0" borderId="69" xfId="0" applyFont="1" applyBorder="1" applyAlignment="1">
      <alignment horizontal="center" vertical="center"/>
    </xf>
    <xf numFmtId="0" fontId="2" fillId="4" borderId="123" xfId="0" applyFont="1" applyFill="1" applyBorder="1" applyAlignment="1">
      <alignment horizontal="center" vertical="center"/>
    </xf>
    <xf numFmtId="0" fontId="3" fillId="0" borderId="120" xfId="0" applyFont="1" applyBorder="1"/>
    <xf numFmtId="0" fontId="8" fillId="3" borderId="23" xfId="0" applyFont="1" applyFill="1" applyBorder="1" applyAlignment="1">
      <alignment horizontal="center" vertical="center" wrapText="1"/>
    </xf>
    <xf numFmtId="0" fontId="3" fillId="0" borderId="9" xfId="0" applyFont="1" applyBorder="1"/>
    <xf numFmtId="168" fontId="4" fillId="4" borderId="51" xfId="0" applyNumberFormat="1" applyFont="1" applyFill="1" applyBorder="1" applyAlignment="1">
      <alignment horizontal="center" vertical="center"/>
    </xf>
    <xf numFmtId="168" fontId="4" fillId="0" borderId="59" xfId="0" applyNumberFormat="1" applyFont="1" applyBorder="1" applyAlignment="1">
      <alignment horizontal="center" vertical="center"/>
    </xf>
    <xf numFmtId="0" fontId="3" fillId="0" borderId="61" xfId="0" applyFont="1" applyBorder="1"/>
    <xf numFmtId="168" fontId="4" fillId="2" borderId="59" xfId="0" applyNumberFormat="1" applyFont="1" applyFill="1" applyBorder="1" applyAlignment="1">
      <alignment horizontal="center" vertical="center"/>
    </xf>
    <xf numFmtId="168" fontId="4" fillId="4" borderId="59" xfId="0" applyNumberFormat="1" applyFont="1" applyFill="1" applyBorder="1" applyAlignment="1">
      <alignment horizontal="center" vertical="center"/>
    </xf>
    <xf numFmtId="0" fontId="2" fillId="2" borderId="23" xfId="0" applyFont="1" applyFill="1" applyBorder="1" applyAlignment="1">
      <alignment horizontal="center" vertical="center"/>
    </xf>
    <xf numFmtId="0" fontId="3" fillId="0" borderId="35" xfId="0" applyFont="1" applyBorder="1"/>
    <xf numFmtId="0" fontId="3" fillId="0" borderId="53" xfId="0" applyFont="1" applyBorder="1"/>
    <xf numFmtId="0" fontId="1" fillId="0" borderId="128" xfId="0" applyFont="1" applyBorder="1" applyAlignment="1">
      <alignment horizontal="center" vertical="center"/>
    </xf>
    <xf numFmtId="168" fontId="4" fillId="4" borderId="52" xfId="0" applyNumberFormat="1" applyFont="1" applyFill="1" applyBorder="1" applyAlignment="1">
      <alignment horizontal="center" vertical="center"/>
    </xf>
    <xf numFmtId="0" fontId="1" fillId="0" borderId="130" xfId="0" applyFont="1" applyBorder="1" applyAlignment="1">
      <alignment horizontal="center" vertical="center"/>
    </xf>
    <xf numFmtId="0" fontId="2" fillId="2" borderId="69" xfId="0" applyFont="1" applyFill="1" applyBorder="1" applyAlignment="1">
      <alignment horizontal="left" vertical="center"/>
    </xf>
    <xf numFmtId="0" fontId="3" fillId="0" borderId="69" xfId="0" applyFont="1" applyBorder="1"/>
    <xf numFmtId="0" fontId="2" fillId="0" borderId="117" xfId="0" applyFont="1" applyBorder="1" applyAlignment="1">
      <alignment horizontal="left" vertical="center"/>
    </xf>
    <xf numFmtId="0" fontId="7" fillId="0" borderId="117" xfId="0" applyFont="1" applyBorder="1" applyAlignment="1">
      <alignment horizontal="center" vertical="center"/>
    </xf>
    <xf numFmtId="0" fontId="7" fillId="0" borderId="69" xfId="0" applyFont="1" applyBorder="1" applyAlignment="1">
      <alignment horizontal="center"/>
    </xf>
    <xf numFmtId="0" fontId="1" fillId="0" borderId="37" xfId="0" applyFont="1" applyBorder="1" applyAlignment="1">
      <alignment horizontal="center" vertical="center" wrapText="1"/>
    </xf>
    <xf numFmtId="0" fontId="1" fillId="0" borderId="44" xfId="0" applyFont="1" applyBorder="1" applyAlignment="1">
      <alignment horizontal="center" vertical="center" wrapText="1"/>
    </xf>
    <xf numFmtId="0" fontId="2" fillId="0" borderId="22" xfId="0" applyFont="1" applyBorder="1" applyAlignment="1">
      <alignment horizontal="left" vertical="center"/>
    </xf>
    <xf numFmtId="0" fontId="1" fillId="0" borderId="18" xfId="0" applyFont="1" applyBorder="1" applyAlignment="1">
      <alignment horizontal="center" vertical="center"/>
    </xf>
    <xf numFmtId="0" fontId="1" fillId="0" borderId="117" xfId="0" applyFont="1" applyBorder="1" applyAlignment="1">
      <alignment horizontal="left" vertical="center"/>
    </xf>
    <xf numFmtId="0" fontId="2" fillId="0" borderId="24" xfId="0" applyFont="1" applyBorder="1" applyAlignment="1">
      <alignment horizontal="center" vertical="center"/>
    </xf>
    <xf numFmtId="0" fontId="2" fillId="0" borderId="24" xfId="0" applyFont="1" applyBorder="1" applyAlignment="1">
      <alignment horizontal="right" vertical="center"/>
    </xf>
    <xf numFmtId="167" fontId="1" fillId="0" borderId="24" xfId="0" applyNumberFormat="1" applyFont="1" applyBorder="1" applyAlignment="1">
      <alignment horizontal="center" vertical="center"/>
    </xf>
    <xf numFmtId="0" fontId="2" fillId="0" borderId="69" xfId="0" applyFont="1" applyBorder="1" applyAlignment="1">
      <alignment horizontal="left" vertical="center"/>
    </xf>
    <xf numFmtId="165" fontId="1" fillId="0" borderId="15" xfId="0" applyNumberFormat="1" applyFont="1" applyBorder="1" applyAlignment="1">
      <alignment horizontal="center" vertical="center"/>
    </xf>
    <xf numFmtId="0" fontId="1" fillId="2" borderId="15" xfId="0" applyFont="1" applyFill="1" applyBorder="1" applyAlignment="1">
      <alignment horizontal="center" vertical="center"/>
    </xf>
    <xf numFmtId="0" fontId="1" fillId="0" borderId="16" xfId="0" applyFont="1" applyBorder="1" applyAlignment="1">
      <alignment horizontal="center" vertical="center"/>
    </xf>
    <xf numFmtId="0" fontId="4" fillId="0" borderId="129" xfId="0" applyFont="1" applyBorder="1" applyAlignment="1">
      <alignment horizontal="center" vertical="center"/>
    </xf>
    <xf numFmtId="0" fontId="4" fillId="0" borderId="139" xfId="0" applyFont="1" applyBorder="1" applyAlignment="1">
      <alignment horizontal="center" vertical="center"/>
    </xf>
    <xf numFmtId="0" fontId="2" fillId="0" borderId="114" xfId="0" applyFont="1" applyBorder="1" applyAlignment="1">
      <alignment horizontal="center" vertical="center"/>
    </xf>
    <xf numFmtId="0" fontId="3" fillId="0" borderId="114" xfId="0" applyFont="1" applyBorder="1"/>
    <xf numFmtId="0" fontId="3" fillId="0" borderId="144" xfId="0" applyFont="1" applyBorder="1"/>
    <xf numFmtId="0" fontId="0" fillId="0" borderId="123" xfId="0" applyBorder="1"/>
    <xf numFmtId="0" fontId="2" fillId="0" borderId="113" xfId="0" applyFont="1" applyBorder="1" applyAlignment="1">
      <alignment horizontal="center" vertical="center"/>
    </xf>
    <xf numFmtId="0" fontId="4" fillId="0" borderId="145" xfId="0" applyFont="1" applyBorder="1" applyAlignment="1">
      <alignment horizontal="center" vertical="center"/>
    </xf>
    <xf numFmtId="0" fontId="3" fillId="0" borderId="116" xfId="0" applyFont="1" applyBorder="1"/>
    <xf numFmtId="0" fontId="3" fillId="0" borderId="139" xfId="0" applyFont="1" applyBorder="1"/>
    <xf numFmtId="0" fontId="3" fillId="0" borderId="115" xfId="0" applyFont="1" applyBorder="1"/>
    <xf numFmtId="0" fontId="5" fillId="0" borderId="117" xfId="0" applyFont="1" applyBorder="1" applyAlignment="1">
      <alignment horizontal="center" vertical="center" wrapText="1"/>
    </xf>
    <xf numFmtId="0" fontId="5" fillId="0" borderId="69" xfId="0" applyFont="1" applyBorder="1" applyAlignment="1">
      <alignment horizontal="center" vertical="center" wrapText="1"/>
    </xf>
    <xf numFmtId="0" fontId="5" fillId="0" borderId="123" xfId="0" applyFont="1" applyBorder="1" applyAlignment="1">
      <alignment horizontal="center" vertical="center" wrapText="1"/>
    </xf>
    <xf numFmtId="0" fontId="5" fillId="0" borderId="139" xfId="0" applyFont="1" applyBorder="1" applyAlignment="1">
      <alignment horizontal="center" vertical="center" wrapText="1"/>
    </xf>
    <xf numFmtId="0" fontId="5" fillId="0" borderId="140" xfId="0" applyFont="1" applyBorder="1" applyAlignment="1">
      <alignment horizontal="center" vertical="center" wrapText="1"/>
    </xf>
    <xf numFmtId="0" fontId="5" fillId="0" borderId="141" xfId="0" applyFont="1" applyBorder="1" applyAlignment="1">
      <alignment horizontal="center" vertical="center" wrapText="1"/>
    </xf>
    <xf numFmtId="0" fontId="12" fillId="0" borderId="69" xfId="0" applyFont="1" applyBorder="1" applyAlignment="1">
      <alignment horizontal="center" vertical="center"/>
    </xf>
    <xf numFmtId="0" fontId="2" fillId="0" borderId="69" xfId="0" applyFont="1" applyBorder="1" applyAlignment="1">
      <alignment horizontal="center" vertical="center" wrapText="1"/>
    </xf>
    <xf numFmtId="0" fontId="3" fillId="0" borderId="117" xfId="0" applyFont="1" applyBorder="1"/>
    <xf numFmtId="0" fontId="2" fillId="0" borderId="24" xfId="0" applyFont="1" applyBorder="1" applyAlignment="1">
      <alignment horizontal="left" vertical="center"/>
    </xf>
    <xf numFmtId="0" fontId="1" fillId="2" borderId="115" xfId="0" applyFont="1" applyFill="1" applyBorder="1" applyAlignment="1">
      <alignment horizontal="center" vertical="center"/>
    </xf>
    <xf numFmtId="0" fontId="2" fillId="2" borderId="114" xfId="0" applyFont="1" applyFill="1" applyBorder="1" applyAlignment="1">
      <alignment horizontal="left" vertical="center"/>
    </xf>
    <xf numFmtId="165" fontId="1" fillId="0" borderId="19" xfId="0" applyNumberFormat="1" applyFont="1" applyBorder="1" applyAlignment="1">
      <alignment horizontal="center" vertical="center"/>
    </xf>
    <xf numFmtId="170" fontId="2" fillId="4" borderId="125" xfId="0" applyNumberFormat="1" applyFont="1" applyFill="1" applyBorder="1" applyAlignment="1">
      <alignment horizontal="center"/>
    </xf>
    <xf numFmtId="0" fontId="9" fillId="0" borderId="70" xfId="0" applyFont="1" applyBorder="1" applyAlignment="1">
      <alignment horizontal="center" vertical="center"/>
    </xf>
    <xf numFmtId="0" fontId="3" fillId="0" borderId="70" xfId="0" applyFont="1" applyBorder="1"/>
    <xf numFmtId="0" fontId="1" fillId="0" borderId="49" xfId="0" applyFont="1" applyBorder="1" applyAlignment="1">
      <alignment horizontal="center" vertical="center" wrapText="1"/>
    </xf>
    <xf numFmtId="0" fontId="3" fillId="0" borderId="62" xfId="0" applyFont="1" applyBorder="1"/>
    <xf numFmtId="0" fontId="3" fillId="0" borderId="54" xfId="0" applyFont="1" applyBorder="1"/>
    <xf numFmtId="2" fontId="1" fillId="0" borderId="51" xfId="0" applyNumberFormat="1" applyFont="1" applyBorder="1" applyAlignment="1">
      <alignment horizontal="center" vertical="center"/>
    </xf>
    <xf numFmtId="2" fontId="1" fillId="0" borderId="52" xfId="0" applyNumberFormat="1" applyFont="1" applyBorder="1" applyAlignment="1">
      <alignment horizontal="center" vertical="center"/>
    </xf>
    <xf numFmtId="0" fontId="2" fillId="0" borderId="44" xfId="0" applyFont="1" applyBorder="1" applyAlignment="1">
      <alignment horizontal="center" vertical="center" wrapText="1"/>
    </xf>
    <xf numFmtId="168" fontId="4" fillId="2" borderId="58" xfId="0" applyNumberFormat="1" applyFont="1" applyFill="1" applyBorder="1" applyAlignment="1">
      <alignment horizontal="center" vertical="center"/>
    </xf>
    <xf numFmtId="0" fontId="1" fillId="0" borderId="0" xfId="0" applyFont="1" applyAlignment="1">
      <alignment horizontal="center" vertical="center"/>
    </xf>
    <xf numFmtId="0" fontId="0" fillId="0" borderId="0" xfId="0"/>
    <xf numFmtId="0" fontId="2" fillId="0" borderId="100" xfId="0" applyFont="1" applyBorder="1" applyAlignment="1">
      <alignment horizontal="center" vertical="center" wrapText="1"/>
    </xf>
    <xf numFmtId="0" fontId="3" fillId="0" borderId="101" xfId="0" applyFont="1" applyBorder="1"/>
    <xf numFmtId="0" fontId="3" fillId="0" borderId="103" xfId="0" applyFont="1" applyBorder="1"/>
    <xf numFmtId="0" fontId="3" fillId="0" borderId="104" xfId="0" applyFont="1" applyBorder="1"/>
    <xf numFmtId="0" fontId="1" fillId="11" borderId="102" xfId="0" applyFont="1" applyFill="1" applyBorder="1" applyAlignment="1">
      <alignment horizontal="center" vertical="center"/>
    </xf>
    <xf numFmtId="0" fontId="3" fillId="0" borderId="105" xfId="0" applyFont="1" applyBorder="1"/>
    <xf numFmtId="0" fontId="6" fillId="0" borderId="127" xfId="0" applyFont="1" applyBorder="1" applyAlignment="1">
      <alignment horizontal="center" vertical="center"/>
    </xf>
    <xf numFmtId="0" fontId="1" fillId="0" borderId="0" xfId="0" applyFont="1" applyAlignment="1">
      <alignment horizontal="right" vertical="center"/>
    </xf>
    <xf numFmtId="0" fontId="3" fillId="0" borderId="5" xfId="0" applyFont="1" applyBorder="1"/>
    <xf numFmtId="0" fontId="13" fillId="0" borderId="73" xfId="0" applyFont="1" applyBorder="1" applyAlignment="1">
      <alignment horizontal="center" vertical="center"/>
    </xf>
    <xf numFmtId="0" fontId="3" fillId="0" borderId="74" xfId="0" applyFont="1" applyBorder="1"/>
    <xf numFmtId="0" fontId="1" fillId="0" borderId="73" xfId="0" applyFont="1" applyBorder="1" applyAlignment="1">
      <alignment horizontal="center" vertical="center" wrapText="1"/>
    </xf>
    <xf numFmtId="0" fontId="3" fillId="0" borderId="80" xfId="0" applyFont="1" applyBorder="1"/>
    <xf numFmtId="2" fontId="6" fillId="7" borderId="91" xfId="0" applyNumberFormat="1" applyFont="1" applyFill="1" applyBorder="1" applyAlignment="1">
      <alignment horizontal="center" vertical="center"/>
    </xf>
    <xf numFmtId="0" fontId="3" fillId="0" borderId="92" xfId="0" applyFont="1" applyBorder="1"/>
    <xf numFmtId="0" fontId="3" fillId="0" borderId="10" xfId="0" applyFont="1" applyBorder="1"/>
    <xf numFmtId="0" fontId="3" fillId="0" borderId="11" xfId="0" applyFont="1" applyBorder="1"/>
    <xf numFmtId="0" fontId="2" fillId="10" borderId="94" xfId="0" applyFont="1" applyFill="1" applyBorder="1" applyAlignment="1">
      <alignment horizontal="center" vertical="center"/>
    </xf>
    <xf numFmtId="0" fontId="3" fillId="0" borderId="95" xfId="0" applyFont="1" applyBorder="1"/>
    <xf numFmtId="0" fontId="3" fillId="0" borderId="96" xfId="0" applyFont="1" applyBorder="1"/>
    <xf numFmtId="0" fontId="1" fillId="0" borderId="97" xfId="0" applyFont="1" applyBorder="1" applyAlignment="1">
      <alignment horizontal="center" vertical="center"/>
    </xf>
    <xf numFmtId="0" fontId="3" fillId="0" borderId="98" xfId="0" applyFont="1" applyBorder="1"/>
    <xf numFmtId="0" fontId="1" fillId="0" borderId="0" xfId="0" applyFont="1" applyAlignment="1">
      <alignment horizontal="center" vertical="center" wrapText="1"/>
    </xf>
    <xf numFmtId="0" fontId="1" fillId="12" borderId="102" xfId="0" applyFont="1" applyFill="1" applyBorder="1" applyAlignment="1">
      <alignment horizontal="center" vertical="center"/>
    </xf>
    <xf numFmtId="0" fontId="10" fillId="3" borderId="28" xfId="0" applyFont="1" applyFill="1" applyBorder="1" applyAlignment="1">
      <alignment horizontal="left" vertical="center"/>
    </xf>
    <xf numFmtId="0" fontId="2" fillId="0" borderId="31" xfId="0" applyFont="1" applyBorder="1" applyAlignment="1">
      <alignment horizontal="center" vertical="center" wrapText="1"/>
    </xf>
    <xf numFmtId="0" fontId="3" fillId="0" borderId="12" xfId="0" applyFont="1" applyBorder="1"/>
    <xf numFmtId="0" fontId="3" fillId="0" borderId="6" xfId="0" applyFont="1" applyBorder="1"/>
    <xf numFmtId="0" fontId="1" fillId="0" borderId="1" xfId="0" applyFont="1" applyBorder="1" applyAlignment="1">
      <alignment horizontal="center" vertical="center" wrapText="1"/>
    </xf>
    <xf numFmtId="0" fontId="3" fillId="0" borderId="2" xfId="0" applyFont="1" applyBorder="1"/>
    <xf numFmtId="0" fontId="3" fillId="0" borderId="4" xfId="0" applyFont="1" applyBorder="1"/>
    <xf numFmtId="0" fontId="8" fillId="3" borderId="133" xfId="0" applyFont="1" applyFill="1" applyBorder="1" applyAlignment="1">
      <alignment horizontal="center" vertical="center"/>
    </xf>
    <xf numFmtId="0" fontId="1" fillId="0" borderId="131" xfId="0" applyFont="1" applyBorder="1" applyAlignment="1">
      <alignment horizontal="center" vertical="center" wrapText="1"/>
    </xf>
    <xf numFmtId="0" fontId="9" fillId="0" borderId="69"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69" xfId="0" applyFont="1" applyBorder="1" applyAlignment="1">
      <alignment horizontal="left" vertical="center" wrapText="1"/>
    </xf>
    <xf numFmtId="168" fontId="2" fillId="4" borderId="125" xfId="0" applyNumberFormat="1" applyFont="1" applyFill="1" applyBorder="1" applyAlignment="1">
      <alignment horizontal="center" vertical="center"/>
    </xf>
    <xf numFmtId="168" fontId="4" fillId="0" borderId="65" xfId="0" applyNumberFormat="1" applyFont="1" applyBorder="1" applyAlignment="1">
      <alignment horizontal="center" vertical="center"/>
    </xf>
    <xf numFmtId="168" fontId="4" fillId="2" borderId="65" xfId="0" applyNumberFormat="1" applyFont="1" applyFill="1" applyBorder="1" applyAlignment="1">
      <alignment horizontal="center" vertical="center"/>
    </xf>
    <xf numFmtId="0" fontId="1" fillId="0" borderId="24" xfId="0" applyFont="1" applyBorder="1" applyAlignment="1">
      <alignment horizontal="left"/>
    </xf>
    <xf numFmtId="0" fontId="2" fillId="0" borderId="24" xfId="0" applyFont="1" applyBorder="1" applyAlignment="1">
      <alignment horizontal="center"/>
    </xf>
    <xf numFmtId="168" fontId="2" fillId="4" borderId="125" xfId="0" applyNumberFormat="1" applyFont="1" applyFill="1" applyBorder="1" applyAlignment="1">
      <alignment horizontal="center"/>
    </xf>
    <xf numFmtId="168" fontId="4" fillId="4" borderId="7" xfId="0" applyNumberFormat="1" applyFont="1" applyFill="1" applyBorder="1" applyAlignment="1">
      <alignment horizontal="center" vertical="center"/>
    </xf>
    <xf numFmtId="168" fontId="4" fillId="2" borderId="52" xfId="0" applyNumberFormat="1" applyFont="1" applyFill="1" applyBorder="1" applyAlignment="1">
      <alignment horizontal="center" vertical="center"/>
    </xf>
    <xf numFmtId="168" fontId="4" fillId="2" borderId="51" xfId="0" applyNumberFormat="1" applyFont="1" applyFill="1" applyBorder="1" applyAlignment="1">
      <alignment horizontal="center" vertical="center"/>
    </xf>
    <xf numFmtId="0" fontId="2" fillId="4" borderId="125" xfId="0" applyFont="1" applyFill="1" applyBorder="1" applyAlignment="1">
      <alignment horizontal="center" vertical="center"/>
    </xf>
    <xf numFmtId="0" fontId="1" fillId="0" borderId="132" xfId="0" applyFont="1" applyBorder="1" applyAlignment="1">
      <alignment horizontal="center" vertical="center"/>
    </xf>
    <xf numFmtId="0" fontId="2" fillId="0" borderId="70" xfId="0" applyFont="1" applyBorder="1" applyAlignment="1">
      <alignment horizontal="center"/>
    </xf>
    <xf numFmtId="0" fontId="1" fillId="0" borderId="16" xfId="0" applyFont="1" applyBorder="1" applyAlignment="1">
      <alignment horizontal="center" vertical="center" wrapText="1"/>
    </xf>
    <xf numFmtId="0" fontId="3" fillId="0" borderId="16" xfId="0" applyFont="1" applyBorder="1" applyAlignment="1">
      <alignment horizontal="center"/>
    </xf>
    <xf numFmtId="0" fontId="3" fillId="0" borderId="124" xfId="0" applyFont="1" applyBorder="1" applyAlignment="1">
      <alignment horizontal="center"/>
    </xf>
    <xf numFmtId="0" fontId="3" fillId="0" borderId="15" xfId="0" applyFont="1" applyBorder="1" applyAlignment="1">
      <alignment horizontal="center"/>
    </xf>
    <xf numFmtId="0" fontId="3" fillId="0" borderId="118" xfId="0" applyFont="1" applyBorder="1" applyAlignment="1">
      <alignment horizontal="center"/>
    </xf>
  </cellXfs>
  <cellStyles count="1">
    <cellStyle name="Normal" xfId="0" builtinId="0"/>
  </cellStyles>
  <dxfs count="31">
    <dxf>
      <fill>
        <patternFill patternType="solid">
          <fgColor rgb="FFE2EFD9"/>
          <bgColor rgb="FFE2EFD9"/>
        </patternFill>
      </fill>
    </dxf>
    <dxf>
      <fill>
        <patternFill patternType="solid">
          <fgColor rgb="FFF2F2F2"/>
          <bgColor rgb="FFF2F2F2"/>
        </patternFill>
      </fill>
    </dxf>
    <dxf>
      <fill>
        <patternFill patternType="solid">
          <fgColor rgb="FFF2F2F2"/>
          <bgColor rgb="FFF2F2F2"/>
        </patternFill>
      </fill>
    </dxf>
    <dxf>
      <fill>
        <patternFill patternType="solid">
          <fgColor rgb="FFE2EFD9"/>
          <bgColor rgb="FFE2EFD9"/>
        </patternFill>
      </fill>
    </dxf>
    <dxf>
      <fill>
        <patternFill patternType="solid">
          <fgColor rgb="FFF2F2F2"/>
          <bgColor rgb="FFF2F2F2"/>
        </patternFill>
      </fill>
    </dxf>
    <dxf>
      <fill>
        <patternFill patternType="solid">
          <fgColor rgb="FFF2F2F2"/>
          <bgColor rgb="FFF2F2F2"/>
        </patternFill>
      </fill>
    </dxf>
    <dxf>
      <fill>
        <patternFill patternType="solid">
          <fgColor rgb="FFF2F2F2"/>
          <bgColor rgb="FFF2F2F2"/>
        </patternFill>
      </fill>
    </dxf>
    <dxf>
      <fill>
        <patternFill patternType="solid">
          <fgColor rgb="FFE2EFD9"/>
          <bgColor rgb="FFE2EFD9"/>
        </patternFill>
      </fill>
    </dxf>
    <dxf>
      <fill>
        <patternFill patternType="solid">
          <fgColor rgb="FFE2EFD9"/>
          <bgColor rgb="FFE2EFD9"/>
        </patternFill>
      </fill>
    </dxf>
    <dxf>
      <fill>
        <patternFill patternType="solid">
          <fgColor rgb="FFE2EFD9"/>
          <bgColor rgb="FFE2EFD9"/>
        </patternFill>
      </fill>
    </dxf>
    <dxf>
      <fill>
        <patternFill patternType="solid">
          <fgColor rgb="FFE2EFD9"/>
          <bgColor rgb="FFE2EFD9"/>
        </patternFill>
      </fill>
    </dxf>
    <dxf>
      <fill>
        <patternFill patternType="solid">
          <fgColor rgb="FFE2EFD9"/>
          <bgColor rgb="FFE2EFD9"/>
        </patternFill>
      </fill>
    </dxf>
    <dxf>
      <fill>
        <patternFill patternType="solid">
          <fgColor rgb="FFE2EFD9"/>
          <bgColor rgb="FFE2EFD9"/>
        </patternFill>
      </fill>
    </dxf>
    <dxf>
      <fill>
        <patternFill patternType="solid">
          <fgColor rgb="FFE2EFD9"/>
          <bgColor rgb="FFE2EFD9"/>
        </patternFill>
      </fill>
    </dxf>
    <dxf>
      <fill>
        <patternFill patternType="solid">
          <fgColor rgb="FFE2EFD9"/>
          <bgColor rgb="FFE2EFD9"/>
        </patternFill>
      </fill>
    </dxf>
    <dxf>
      <fill>
        <patternFill patternType="solid">
          <fgColor rgb="FFE2EFD9"/>
          <bgColor rgb="FFE2EFD9"/>
        </patternFill>
      </fill>
    </dxf>
    <dxf>
      <fill>
        <patternFill patternType="solid">
          <fgColor rgb="FFE2EFD9"/>
          <bgColor rgb="FFE2EFD9"/>
        </patternFill>
      </fill>
    </dxf>
    <dxf>
      <fill>
        <patternFill patternType="solid">
          <fgColor rgb="FFE2EFD9"/>
          <bgColor rgb="FFE2EFD9"/>
        </patternFill>
      </fill>
    </dxf>
    <dxf>
      <fill>
        <patternFill patternType="solid">
          <fgColor rgb="FFF2F2F2"/>
          <bgColor rgb="FFF2F2F2"/>
        </patternFill>
      </fill>
    </dxf>
    <dxf>
      <fill>
        <patternFill patternType="solid">
          <fgColor rgb="FFF2F2F2"/>
          <bgColor rgb="FFF2F2F2"/>
        </patternFill>
      </fill>
    </dxf>
    <dxf>
      <fill>
        <patternFill patternType="solid">
          <fgColor rgb="FFE2EFD9"/>
          <bgColor rgb="FFE2EFD9"/>
        </patternFill>
      </fill>
    </dxf>
    <dxf>
      <fill>
        <patternFill patternType="solid">
          <fgColor rgb="FFE2EFD9"/>
          <bgColor rgb="FFE2EFD9"/>
        </patternFill>
      </fill>
    </dxf>
    <dxf>
      <fill>
        <patternFill patternType="solid">
          <fgColor rgb="FFE2EFD9"/>
          <bgColor rgb="FFE2EFD9"/>
        </patternFill>
      </fill>
    </dxf>
    <dxf>
      <fill>
        <patternFill patternType="solid">
          <fgColor rgb="FFE2EFD9"/>
          <bgColor rgb="FFE2EFD9"/>
        </patternFill>
      </fill>
    </dxf>
    <dxf>
      <fill>
        <patternFill patternType="solid">
          <fgColor rgb="FFE2EFD9"/>
          <bgColor rgb="FFE2EFD9"/>
        </patternFill>
      </fill>
    </dxf>
    <dxf>
      <fill>
        <patternFill patternType="solid">
          <fgColor rgb="FFE2EFD9"/>
          <bgColor rgb="FFE2EFD9"/>
        </patternFill>
      </fill>
    </dxf>
    <dxf>
      <fill>
        <patternFill patternType="solid">
          <fgColor rgb="FFE2EFD9"/>
          <bgColor rgb="FFE2EFD9"/>
        </patternFill>
      </fill>
    </dxf>
    <dxf>
      <fill>
        <patternFill patternType="solid">
          <fgColor rgb="FFE2EFD9"/>
          <bgColor rgb="FFE2EFD9"/>
        </patternFill>
      </fill>
    </dxf>
    <dxf>
      <fill>
        <patternFill patternType="solid">
          <fgColor rgb="FFE2EFD9"/>
          <bgColor rgb="FFE2EFD9"/>
        </patternFill>
      </fill>
    </dxf>
    <dxf>
      <fill>
        <patternFill patternType="solid">
          <fgColor rgb="FFE2EFD9"/>
          <bgColor rgb="FFE2EFD9"/>
        </patternFill>
      </fill>
    </dxf>
    <dxf>
      <fill>
        <patternFill patternType="solid">
          <fgColor rgb="FFECECEC"/>
          <bgColor rgb="FFECECE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customschemas.google.com/relationships/workbookmetadata" Target="metadata"/><Relationship Id="rId13" Type="http://schemas.microsoft.com/office/2006/relationships/vbaProject" Target="vbaProject.bin"/><Relationship Id="rId3"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10" Type="http://schemas.openxmlformats.org/officeDocument/2006/relationships/styles" Target="styles.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s-ES"/>
  <c:roundedCorners val="1"/>
  <c:style val="2"/>
  <c:chart>
    <c:title>
      <c:tx>
        <c:rich>
          <a:bodyPr/>
          <a:lstStyle/>
          <a:p>
            <a:pPr lvl="0">
              <a:defRPr sz="1400" b="0" i="0">
                <a:solidFill>
                  <a:schemeClr val="dk1"/>
                </a:solidFill>
                <a:latin typeface="+mn-lt"/>
              </a:defRPr>
            </a:pPr>
            <a:r>
              <a:rPr lang="es-CO" sz="1400" b="0" i="0">
                <a:solidFill>
                  <a:schemeClr val="dk1"/>
                </a:solidFill>
                <a:latin typeface="+mn-lt"/>
              </a:rPr>
              <a:t>DENSIDAD SECA vs % HUMEDAD</a:t>
            </a:r>
          </a:p>
        </c:rich>
      </c:tx>
      <c:overlay val="0"/>
    </c:title>
    <c:autoTitleDeleted val="0"/>
    <c:plotArea>
      <c:layout>
        <c:manualLayout>
          <c:xMode val="edge"/>
          <c:yMode val="edge"/>
          <c:x val="8.4110758501674099E-2"/>
          <c:y val="0.12316247124510336"/>
          <c:w val="0.88119926243220781"/>
          <c:h val="0.73671234853836998"/>
        </c:manualLayout>
      </c:layout>
      <c:scatterChart>
        <c:scatterStyle val="lineMarker"/>
        <c:varyColors val="0"/>
        <c:dLbls>
          <c:showLegendKey val="0"/>
          <c:showVal val="0"/>
          <c:showCatName val="0"/>
          <c:showSerName val="0"/>
          <c:showPercent val="0"/>
          <c:showBubbleSize val="0"/>
        </c:dLbls>
        <c:axId val="311117289"/>
        <c:axId val="1197990866"/>
      </c:scatterChart>
      <c:valAx>
        <c:axId val="311117289"/>
        <c:scaling>
          <c:orientation val="minMax"/>
          <c:max val="18"/>
        </c:scaling>
        <c:delete val="0"/>
        <c:axPos val="b"/>
        <c:majorGridlines>
          <c:spPr>
            <a:ln>
              <a:solidFill>
                <a:srgbClr val="B7B7B7"/>
              </a:solidFill>
            </a:ln>
          </c:spPr>
        </c:majorGridlines>
        <c:minorGridlines>
          <c:spPr>
            <a:ln>
              <a:solidFill>
                <a:srgbClr val="CCCCCC">
                  <a:alpha val="0"/>
                </a:srgbClr>
              </a:solidFill>
            </a:ln>
          </c:spPr>
        </c:minorGridlines>
        <c:title>
          <c:tx>
            <c:rich>
              <a:bodyPr/>
              <a:lstStyle/>
              <a:p>
                <a:pPr lvl="0">
                  <a:defRPr sz="1000" b="0" i="0">
                    <a:solidFill>
                      <a:schemeClr val="dk1"/>
                    </a:solidFill>
                    <a:latin typeface="+mn-lt"/>
                  </a:defRPr>
                </a:pPr>
                <a:r>
                  <a:rPr lang="es-CO" sz="1000" b="0" i="0">
                    <a:solidFill>
                      <a:schemeClr val="dk1"/>
                    </a:solidFill>
                    <a:latin typeface="+mn-lt"/>
                  </a:rPr>
                  <a:t>% HUMEDAD </a:t>
                </a:r>
              </a:p>
            </c:rich>
          </c:tx>
          <c:overlay val="0"/>
        </c:title>
        <c:numFmt formatCode="General" sourceLinked="1"/>
        <c:majorTickMark val="none"/>
        <c:minorTickMark val="none"/>
        <c:tickLblPos val="nextTo"/>
        <c:spPr>
          <a:ln/>
        </c:spPr>
        <c:txPr>
          <a:bodyPr/>
          <a:lstStyle/>
          <a:p>
            <a:pPr lvl="0">
              <a:defRPr sz="900" b="0" i="0">
                <a:solidFill>
                  <a:schemeClr val="dk1"/>
                </a:solidFill>
                <a:latin typeface="+mn-lt"/>
              </a:defRPr>
            </a:pPr>
            <a:endParaRPr lang="es-CO"/>
          </a:p>
        </c:txPr>
        <c:crossAx val="1197990866"/>
        <c:crosses val="autoZero"/>
        <c:crossBetween val="midCat"/>
      </c:valAx>
      <c:valAx>
        <c:axId val="1197990866"/>
        <c:scaling>
          <c:orientation val="minMax"/>
        </c:scaling>
        <c:delete val="0"/>
        <c:axPos val="l"/>
        <c:majorTickMark val="cross"/>
        <c:minorTickMark val="cross"/>
        <c:tickLblPos val="nextTo"/>
        <c:spPr>
          <a:ln>
            <a:noFill/>
          </a:ln>
        </c:spPr>
        <c:crossAx val="311117289"/>
        <c:crosses val="autoZero"/>
        <c:crossBetween val="midCat"/>
      </c:valAx>
      <c:spPr>
        <a:solidFill>
          <a:schemeClr val="lt1"/>
        </a:solidFill>
      </c:spPr>
    </c:plotArea>
    <c:plotVisOnly val="1"/>
    <c:dispBlanksAs val="zero"/>
    <c:showDLblsOverMax val="1"/>
  </c:chart>
  <c:spPr>
    <a:solidFill>
      <a:schemeClr val="lt1"/>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0.10803856248738139"/>
          <c:y val="0.10426719924133478"/>
          <c:w val="0.85307314814814816"/>
          <c:h val="0.74459977872264038"/>
        </c:manualLayout>
      </c:layout>
      <c:scatterChart>
        <c:scatterStyle val="lineMarker"/>
        <c:varyColors val="0"/>
        <c:ser>
          <c:idx val="0"/>
          <c:order val="0"/>
          <c:tx>
            <c:v>CBR Vs Densidad seca (g/cm3)</c:v>
          </c:tx>
          <c:spPr>
            <a:ln>
              <a:noFill/>
            </a:ln>
          </c:spPr>
          <c:marker>
            <c:symbol val="circle"/>
            <c:size val="7"/>
            <c:spPr>
              <a:solidFill>
                <a:schemeClr val="accent6"/>
              </a:solidFill>
              <a:ln cmpd="sng">
                <a:solidFill>
                  <a:schemeClr val="accent6"/>
                </a:solidFill>
              </a:ln>
            </c:spPr>
          </c:marker>
          <c:trendline>
            <c:name>Linear (CBR Vs Densidad seca (g/cm3))</c:name>
            <c:spPr>
              <a:ln w="19050">
                <a:solidFill>
                  <a:srgbClr val="000000">
                    <a:alpha val="0"/>
                  </a:srgbClr>
                </a:solidFill>
              </a:ln>
            </c:spPr>
            <c:trendlineType val="linear"/>
            <c:dispRSqr val="0"/>
            <c:dispEq val="0"/>
          </c:trendline>
          <c:xVal>
            <c:numRef>
              <c:f>Hoja1!$AJ$91:$AL$91</c:f>
              <c:numCache>
                <c:formatCode>0.000</c:formatCode>
                <c:ptCount val="3"/>
                <c:pt idx="0">
                  <c:v>0</c:v>
                </c:pt>
                <c:pt idx="1">
                  <c:v>0</c:v>
                </c:pt>
                <c:pt idx="2">
                  <c:v>0</c:v>
                </c:pt>
              </c:numCache>
            </c:numRef>
          </c:xVal>
          <c:yVal>
            <c:numRef>
              <c:f>Hoja1!$AJ$94:$AL$94</c:f>
              <c:numCache>
                <c:formatCode>0.000</c:formatCode>
                <c:ptCount val="3"/>
                <c:pt idx="0">
                  <c:v>0</c:v>
                </c:pt>
                <c:pt idx="1">
                  <c:v>0</c:v>
                </c:pt>
                <c:pt idx="2">
                  <c:v>0</c:v>
                </c:pt>
              </c:numCache>
            </c:numRef>
          </c:yVal>
          <c:smooth val="1"/>
          <c:extLst>
            <c:ext xmlns:c16="http://schemas.microsoft.com/office/drawing/2014/chart" uri="{C3380CC4-5D6E-409C-BE32-E72D297353CC}">
              <c16:uniqueId val="{00000001-78DD-4312-9E4E-4D08617A793B}"/>
            </c:ext>
          </c:extLst>
        </c:ser>
        <c:dLbls>
          <c:showLegendKey val="0"/>
          <c:showVal val="0"/>
          <c:showCatName val="0"/>
          <c:showSerName val="0"/>
          <c:showPercent val="0"/>
          <c:showBubbleSize val="0"/>
        </c:dLbls>
        <c:axId val="1911461556"/>
        <c:axId val="599133679"/>
      </c:scatterChart>
      <c:valAx>
        <c:axId val="1911461556"/>
        <c:scaling>
          <c:orientation val="minMax"/>
        </c:scaling>
        <c:delete val="0"/>
        <c:axPos val="b"/>
        <c:majorGridlines>
          <c:spPr>
            <a:ln>
              <a:solidFill>
                <a:srgbClr val="B7B7B7"/>
              </a:solidFill>
            </a:ln>
          </c:spPr>
        </c:majorGridlines>
        <c:minorGridlines>
          <c:spPr>
            <a:ln>
              <a:solidFill>
                <a:srgbClr val="CCCCCC">
                  <a:alpha val="0"/>
                </a:srgbClr>
              </a:solidFill>
            </a:ln>
          </c:spPr>
        </c:minorGridlines>
        <c:title>
          <c:tx>
            <c:rich>
              <a:bodyPr/>
              <a:lstStyle/>
              <a:p>
                <a:pPr lvl="0">
                  <a:defRPr b="1" i="0">
                    <a:solidFill>
                      <a:srgbClr val="000000"/>
                    </a:solidFill>
                    <a:latin typeface="+mn-lt"/>
                  </a:defRPr>
                </a:pPr>
                <a:r>
                  <a:rPr lang="es-CO" b="1" i="0">
                    <a:solidFill>
                      <a:srgbClr val="000000"/>
                    </a:solidFill>
                    <a:latin typeface="+mn-lt"/>
                  </a:rPr>
                  <a:t>Densidad seca (g/cm3)</a:t>
                </a:r>
              </a:p>
            </c:rich>
          </c:tx>
          <c:overlay val="0"/>
        </c:title>
        <c:numFmt formatCode="#,##0.0" sourceLinked="0"/>
        <c:majorTickMark val="out"/>
        <c:minorTickMark val="none"/>
        <c:tickLblPos val="nextTo"/>
        <c:spPr>
          <a:ln/>
        </c:spPr>
        <c:txPr>
          <a:bodyPr rot="0"/>
          <a:lstStyle/>
          <a:p>
            <a:pPr lvl="0">
              <a:defRPr b="1" i="0">
                <a:solidFill>
                  <a:srgbClr val="000000"/>
                </a:solidFill>
                <a:latin typeface="+mn-lt"/>
              </a:defRPr>
            </a:pPr>
            <a:endParaRPr lang="es-CO"/>
          </a:p>
        </c:txPr>
        <c:crossAx val="599133679"/>
        <c:crosses val="autoZero"/>
        <c:crossBetween val="midCat"/>
      </c:valAx>
      <c:valAx>
        <c:axId val="599133679"/>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sz="1400" b="1" i="0">
                    <a:solidFill>
                      <a:srgbClr val="000000"/>
                    </a:solidFill>
                    <a:latin typeface="+mn-lt"/>
                  </a:defRPr>
                </a:pPr>
                <a:r>
                  <a:rPr lang="es-CO" sz="1400" b="1" i="0">
                    <a:solidFill>
                      <a:srgbClr val="000000"/>
                    </a:solidFill>
                    <a:latin typeface="+mn-lt"/>
                  </a:rPr>
                  <a:t>CBR Corregido
</a:t>
                </a:r>
              </a:p>
            </c:rich>
          </c:tx>
          <c:layout>
            <c:manualLayout>
              <c:xMode val="edge"/>
              <c:yMode val="edge"/>
              <c:x val="9.9715081819757839E-3"/>
              <c:y val="0.43309278834394105"/>
            </c:manualLayout>
          </c:layout>
          <c:overlay val="0"/>
        </c:title>
        <c:numFmt formatCode="0" sourceLinked="0"/>
        <c:majorTickMark val="out"/>
        <c:minorTickMark val="none"/>
        <c:tickLblPos val="nextTo"/>
        <c:spPr>
          <a:ln/>
        </c:spPr>
        <c:txPr>
          <a:bodyPr/>
          <a:lstStyle/>
          <a:p>
            <a:pPr lvl="0">
              <a:defRPr b="0">
                <a:solidFill>
                  <a:srgbClr val="000000"/>
                </a:solidFill>
                <a:latin typeface="+mn-lt"/>
              </a:defRPr>
            </a:pPr>
            <a:endParaRPr lang="es-CO"/>
          </a:p>
        </c:txPr>
        <c:crossAx val="1911461556"/>
        <c:crosses val="autoZero"/>
        <c:crossBetween val="midCat"/>
      </c:valAx>
    </c:plotArea>
    <c:legend>
      <c:legendPos val="r"/>
      <c:layout>
        <c:manualLayout>
          <c:xMode val="edge"/>
          <c:yMode val="edge"/>
          <c:x val="0.58327949094468923"/>
          <c:y val="0.6384832798677943"/>
          <c:w val="0.33840430739109151"/>
          <c:h val="0.11162292213473315"/>
        </c:manualLayout>
      </c:layout>
      <c:overlay val="0"/>
      <c:txPr>
        <a:bodyPr/>
        <a:lstStyle/>
        <a:p>
          <a:pPr lvl="0">
            <a:defRPr b="0">
              <a:solidFill>
                <a:srgbClr val="1A1A1A"/>
              </a:solidFill>
              <a:latin typeface="+mn-lt"/>
            </a:defRPr>
          </a:pPr>
          <a:endParaRPr lang="es-CO"/>
        </a:p>
      </c:txPr>
    </c:legend>
    <c:plotVisOnly val="1"/>
    <c:dispBlanksAs val="zero"/>
    <c:showDLblsOverMax val="1"/>
  </c:chart>
  <c:spPr>
    <a:solidFill>
      <a:srgbClr val="FFFFFF"/>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0.10803856248738139"/>
          <c:y val="0.13214018365623972"/>
          <c:w val="0.84131388888888892"/>
          <c:h val="0.71672673744987625"/>
        </c:manualLayout>
      </c:layout>
      <c:scatterChart>
        <c:scatterStyle val="lineMarker"/>
        <c:varyColors val="1"/>
        <c:ser>
          <c:idx val="0"/>
          <c:order val="0"/>
          <c:tx>
            <c:v>12 golpes</c:v>
          </c:tx>
          <c:spPr>
            <a:ln>
              <a:noFill/>
            </a:ln>
          </c:spPr>
          <c:marker>
            <c:symbol val="circle"/>
            <c:size val="7"/>
            <c:spPr>
              <a:solidFill>
                <a:schemeClr val="accent6"/>
              </a:solidFill>
              <a:ln cmpd="sng">
                <a:solidFill>
                  <a:schemeClr val="accent6"/>
                </a:solidFill>
              </a:ln>
            </c:spPr>
          </c:marker>
          <c:xVal>
            <c:numRef>
              <c:f>Hoja1!$AJ$75:$AJ$86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Hoja1!$AM$75:$AM$86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1"/>
          <c:extLst>
            <c:ext xmlns:c16="http://schemas.microsoft.com/office/drawing/2014/chart" uri="{C3380CC4-5D6E-409C-BE32-E72D297353CC}">
              <c16:uniqueId val="{00000000-214E-445F-A2BE-05C2FC332F43}"/>
            </c:ext>
          </c:extLst>
        </c:ser>
        <c:ser>
          <c:idx val="1"/>
          <c:order val="1"/>
          <c:tx>
            <c:v>26 golpes</c:v>
          </c:tx>
          <c:spPr>
            <a:ln>
              <a:noFill/>
            </a:ln>
          </c:spPr>
          <c:marker>
            <c:symbol val="circle"/>
            <c:size val="7"/>
            <c:spPr>
              <a:solidFill>
                <a:srgbClr val="00B050"/>
              </a:solidFill>
              <a:ln cmpd="sng">
                <a:solidFill>
                  <a:srgbClr val="00B050"/>
                </a:solidFill>
              </a:ln>
            </c:spPr>
          </c:marker>
          <c:xVal>
            <c:numRef>
              <c:f>Hoja1!$AJ$75:$AJ$86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Hoja1!$AO$75:$AO$86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1"/>
          <c:extLst>
            <c:ext xmlns:c16="http://schemas.microsoft.com/office/drawing/2014/chart" uri="{C3380CC4-5D6E-409C-BE32-E72D297353CC}">
              <c16:uniqueId val="{00000001-214E-445F-A2BE-05C2FC332F43}"/>
            </c:ext>
          </c:extLst>
        </c:ser>
        <c:ser>
          <c:idx val="2"/>
          <c:order val="2"/>
          <c:tx>
            <c:v>56 golpes</c:v>
          </c:tx>
          <c:spPr>
            <a:ln>
              <a:noFill/>
            </a:ln>
          </c:spPr>
          <c:marker>
            <c:symbol val="circle"/>
            <c:size val="7"/>
            <c:spPr>
              <a:solidFill>
                <a:srgbClr val="00B050"/>
              </a:solidFill>
              <a:ln cmpd="sng">
                <a:solidFill>
                  <a:srgbClr val="00B050"/>
                </a:solidFill>
              </a:ln>
            </c:spPr>
          </c:marker>
          <c:xVal>
            <c:numRef>
              <c:f>Hoja1!$AJ$75:$AJ$86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Hoja1!$AQ$75:$AQ$86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1"/>
          <c:extLst>
            <c:ext xmlns:c16="http://schemas.microsoft.com/office/drawing/2014/chart" uri="{C3380CC4-5D6E-409C-BE32-E72D297353CC}">
              <c16:uniqueId val="{00000002-214E-445F-A2BE-05C2FC332F43}"/>
            </c:ext>
          </c:extLst>
        </c:ser>
        <c:dLbls>
          <c:showLegendKey val="0"/>
          <c:showVal val="0"/>
          <c:showCatName val="0"/>
          <c:showSerName val="0"/>
          <c:showPercent val="0"/>
          <c:showBubbleSize val="0"/>
        </c:dLbls>
        <c:axId val="521317874"/>
        <c:axId val="2051528748"/>
      </c:scatterChart>
      <c:valAx>
        <c:axId val="521317874"/>
        <c:scaling>
          <c:orientation val="minMax"/>
          <c:min val="0"/>
        </c:scaling>
        <c:delete val="0"/>
        <c:axPos val="b"/>
        <c:majorGridlines>
          <c:spPr>
            <a:ln>
              <a:solidFill>
                <a:srgbClr val="B7B7B7"/>
              </a:solidFill>
            </a:ln>
          </c:spPr>
        </c:majorGridlines>
        <c:minorGridlines>
          <c:spPr>
            <a:ln>
              <a:solidFill>
                <a:srgbClr val="CCCCCC">
                  <a:alpha val="0"/>
                </a:srgbClr>
              </a:solidFill>
            </a:ln>
          </c:spPr>
        </c:minorGridlines>
        <c:title>
          <c:tx>
            <c:rich>
              <a:bodyPr/>
              <a:lstStyle/>
              <a:p>
                <a:pPr lvl="0">
                  <a:defRPr b="1" i="0">
                    <a:solidFill>
                      <a:srgbClr val="000000"/>
                    </a:solidFill>
                    <a:latin typeface="+mn-lt"/>
                  </a:defRPr>
                </a:pPr>
                <a:r>
                  <a:rPr lang="es-CO" b="1" i="0">
                    <a:solidFill>
                      <a:srgbClr val="000000"/>
                    </a:solidFill>
                    <a:latin typeface="+mn-lt"/>
                  </a:rPr>
                  <a:t>Penetración [in]</a:t>
                </a:r>
              </a:p>
            </c:rich>
          </c:tx>
          <c:overlay val="0"/>
        </c:title>
        <c:numFmt formatCode="#,##0.0" sourceLinked="0"/>
        <c:majorTickMark val="out"/>
        <c:minorTickMark val="none"/>
        <c:tickLblPos val="nextTo"/>
        <c:spPr>
          <a:ln/>
        </c:spPr>
        <c:txPr>
          <a:bodyPr rot="0"/>
          <a:lstStyle/>
          <a:p>
            <a:pPr lvl="0">
              <a:defRPr b="1" i="0">
                <a:solidFill>
                  <a:srgbClr val="000000"/>
                </a:solidFill>
                <a:latin typeface="+mn-lt"/>
              </a:defRPr>
            </a:pPr>
            <a:endParaRPr lang="es-CO"/>
          </a:p>
        </c:txPr>
        <c:crossAx val="2051528748"/>
        <c:crosses val="autoZero"/>
        <c:crossBetween val="midCat"/>
      </c:valAx>
      <c:valAx>
        <c:axId val="2051528748"/>
        <c:scaling>
          <c:orientation val="minMax"/>
          <c:min val="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sz="1600" b="1" i="0">
                    <a:solidFill>
                      <a:srgbClr val="000000"/>
                    </a:solidFill>
                    <a:latin typeface="+mn-lt"/>
                  </a:defRPr>
                </a:pPr>
                <a:r>
                  <a:rPr lang="es-CO" sz="1600" b="1" i="0">
                    <a:solidFill>
                      <a:srgbClr val="000000"/>
                    </a:solidFill>
                    <a:latin typeface="+mn-lt"/>
                  </a:rPr>
                  <a:t> Esfuerzo [Mpa]</a:t>
                </a:r>
              </a:p>
            </c:rich>
          </c:tx>
          <c:layout>
            <c:manualLayout>
              <c:xMode val="edge"/>
              <c:yMode val="edge"/>
              <c:x val="0"/>
              <c:y val="0.37978392235854241"/>
            </c:manualLayout>
          </c:layout>
          <c:overlay val="0"/>
        </c:title>
        <c:numFmt formatCode="0" sourceLinked="0"/>
        <c:majorTickMark val="out"/>
        <c:minorTickMark val="none"/>
        <c:tickLblPos val="nextTo"/>
        <c:spPr>
          <a:ln/>
        </c:spPr>
        <c:txPr>
          <a:bodyPr/>
          <a:lstStyle/>
          <a:p>
            <a:pPr lvl="0">
              <a:defRPr b="0">
                <a:solidFill>
                  <a:srgbClr val="000000"/>
                </a:solidFill>
                <a:latin typeface="+mn-lt"/>
              </a:defRPr>
            </a:pPr>
            <a:endParaRPr lang="es-CO"/>
          </a:p>
        </c:txPr>
        <c:crossAx val="521317874"/>
        <c:crosses val="autoZero"/>
        <c:crossBetween val="midCat"/>
      </c:valAx>
    </c:plotArea>
    <c:legend>
      <c:legendPos val="r"/>
      <c:layout>
        <c:manualLayout>
          <c:xMode val="edge"/>
          <c:yMode val="edge"/>
          <c:x val="0.6207969899468585"/>
          <c:y val="0.85223449858237543"/>
          <c:w val="0.10502920210159901"/>
          <c:h val="0.13966461147540332"/>
        </c:manualLayout>
      </c:layout>
      <c:overlay val="0"/>
      <c:txPr>
        <a:bodyPr/>
        <a:lstStyle/>
        <a:p>
          <a:pPr lvl="0">
            <a:defRPr b="0">
              <a:solidFill>
                <a:srgbClr val="1A1A1A"/>
              </a:solidFill>
              <a:latin typeface="+mn-lt"/>
            </a:defRPr>
          </a:pPr>
          <a:endParaRPr lang="es-CO"/>
        </a:p>
      </c:txPr>
    </c:legend>
    <c:plotVisOnly val="1"/>
    <c:dispBlanksAs val="zero"/>
    <c:showDLblsOverMax val="1"/>
  </c:chart>
  <c:spPr>
    <a:solidFill>
      <a:srgbClr val="FFFFFF"/>
    </a:solidFill>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4.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9525</xdr:colOff>
      <xdr:row>38</xdr:row>
      <xdr:rowOff>9525</xdr:rowOff>
    </xdr:from>
    <xdr:ext cx="10934700" cy="6048375"/>
    <xdr:graphicFrame macro="">
      <xdr:nvGraphicFramePr>
        <xdr:cNvPr id="1660968297" name="Chart 1">
          <a:extLst>
            <a:ext uri="{FF2B5EF4-FFF2-40B4-BE49-F238E27FC236}">
              <a16:creationId xmlns:a16="http://schemas.microsoft.com/office/drawing/2014/main" id="{00000000-0008-0000-0000-0000695D00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14</xdr:col>
      <xdr:colOff>66675</xdr:colOff>
      <xdr:row>47</xdr:row>
      <xdr:rowOff>85725</xdr:rowOff>
    </xdr:from>
    <xdr:ext cx="6486525" cy="4114800"/>
    <xdr:graphicFrame macro="">
      <xdr:nvGraphicFramePr>
        <xdr:cNvPr id="1297861900" name="Chart 2">
          <a:extLst>
            <a:ext uri="{FF2B5EF4-FFF2-40B4-BE49-F238E27FC236}">
              <a16:creationId xmlns:a16="http://schemas.microsoft.com/office/drawing/2014/main" id="{00000000-0008-0000-0000-00000CCD5B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18</xdr:col>
      <xdr:colOff>677636</xdr:colOff>
      <xdr:row>47</xdr:row>
      <xdr:rowOff>140155</xdr:rowOff>
    </xdr:from>
    <xdr:ext cx="6384472" cy="4023632"/>
    <xdr:graphicFrame macro="">
      <xdr:nvGraphicFramePr>
        <xdr:cNvPr id="1256616233" name="Chart 3">
          <a:extLst>
            <a:ext uri="{FF2B5EF4-FFF2-40B4-BE49-F238E27FC236}">
              <a16:creationId xmlns:a16="http://schemas.microsoft.com/office/drawing/2014/main" id="{00000000-0008-0000-0000-00002971E6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4</xdr:col>
      <xdr:colOff>742950</xdr:colOff>
      <xdr:row>67</xdr:row>
      <xdr:rowOff>180975</xdr:rowOff>
    </xdr:from>
    <xdr:ext cx="3409950" cy="1247775"/>
    <xdr:sp macro="" textlink="">
      <xdr:nvSpPr>
        <xdr:cNvPr id="3" name="Shape 3">
          <a:extLst>
            <a:ext uri="{FF2B5EF4-FFF2-40B4-BE49-F238E27FC236}">
              <a16:creationId xmlns:a16="http://schemas.microsoft.com/office/drawing/2014/main" id="{00000000-0008-0000-0000-000003000000}"/>
            </a:ext>
          </a:extLst>
        </xdr:cNvPr>
        <xdr:cNvSpPr/>
      </xdr:nvSpPr>
      <xdr:spPr>
        <a:xfrm>
          <a:off x="3645788" y="3160875"/>
          <a:ext cx="3400425" cy="1238250"/>
        </a:xfrm>
        <a:prstGeom prst="downArrow">
          <a:avLst>
            <a:gd name="adj1" fmla="val 50000"/>
            <a:gd name="adj2" fmla="val 50000"/>
          </a:avLst>
        </a:prstGeom>
        <a:solidFill>
          <a:srgbClr val="FF0000"/>
        </a:solidFill>
        <a:ln w="12700" cap="flat" cmpd="sng">
          <a:solidFill>
            <a:srgbClr val="FF0000"/>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900">
              <a:solidFill>
                <a:schemeClr val="lt1"/>
              </a:solidFill>
              <a:latin typeface="Calibri"/>
              <a:ea typeface="Calibri"/>
              <a:cs typeface="Calibri"/>
              <a:sym typeface="Calibri"/>
            </a:rPr>
            <a:t>DIGITE LOS VALORES OBTENIDOS EN LA ECUACIÓN DE LA GRAFICA, SIN OMITIR SIGNOS </a:t>
          </a:r>
          <a:endParaRPr sz="1400"/>
        </a:p>
        <a:p>
          <a:pPr marL="0" lvl="0" indent="0" algn="l" rtl="0">
            <a:spcBef>
              <a:spcPts val="0"/>
            </a:spcBef>
            <a:spcAft>
              <a:spcPts val="0"/>
            </a:spcAft>
            <a:buNone/>
          </a:pPr>
          <a:endParaRPr sz="1100"/>
        </a:p>
      </xdr:txBody>
    </xdr:sp>
    <xdr:clientData fLocksWithSheet="0"/>
  </xdr:oneCellAnchor>
  <xdr:oneCellAnchor>
    <xdr:from>
      <xdr:col>1</xdr:col>
      <xdr:colOff>762000</xdr:colOff>
      <xdr:row>0</xdr:row>
      <xdr:rowOff>76200</xdr:rowOff>
    </xdr:from>
    <xdr:ext cx="3124200" cy="87630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14</xdr:col>
      <xdr:colOff>619125</xdr:colOff>
      <xdr:row>0</xdr:row>
      <xdr:rowOff>85725</xdr:rowOff>
    </xdr:from>
    <xdr:ext cx="3009900" cy="809625"/>
    <xdr:pic>
      <xdr:nvPicPr>
        <xdr:cNvPr id="4" name="image1.pn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6</xdr:col>
      <xdr:colOff>123825</xdr:colOff>
      <xdr:row>91</xdr:row>
      <xdr:rowOff>142875</xdr:rowOff>
    </xdr:from>
    <xdr:ext cx="7486650" cy="3267075"/>
    <xdr:pic>
      <xdr:nvPicPr>
        <xdr:cNvPr id="5" name="image4.png">
          <a:extLst>
            <a:ext uri="{FF2B5EF4-FFF2-40B4-BE49-F238E27FC236}">
              <a16:creationId xmlns:a16="http://schemas.microsoft.com/office/drawing/2014/main" id="{00000000-0008-0000-0000-000005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14</xdr:col>
      <xdr:colOff>790575</xdr:colOff>
      <xdr:row>76</xdr:row>
      <xdr:rowOff>38100</xdr:rowOff>
    </xdr:from>
    <xdr:ext cx="3752850" cy="942975"/>
    <xdr:pic>
      <xdr:nvPicPr>
        <xdr:cNvPr id="6" name="image3.png">
          <a:extLst>
            <a:ext uri="{FF2B5EF4-FFF2-40B4-BE49-F238E27FC236}">
              <a16:creationId xmlns:a16="http://schemas.microsoft.com/office/drawing/2014/main" id="{00000000-0008-0000-0000-000006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14</xdr:col>
      <xdr:colOff>542925</xdr:colOff>
      <xdr:row>87</xdr:row>
      <xdr:rowOff>123825</xdr:rowOff>
    </xdr:from>
    <xdr:ext cx="2990850" cy="457200"/>
    <xdr:pic>
      <xdr:nvPicPr>
        <xdr:cNvPr id="7" name="image2.png">
          <a:extLst>
            <a:ext uri="{FF2B5EF4-FFF2-40B4-BE49-F238E27FC236}">
              <a16:creationId xmlns:a16="http://schemas.microsoft.com/office/drawing/2014/main" id="{00000000-0008-0000-0000-000007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ervidor\disco%20duro\irina\CLAS-BOG.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
      <sheetName val="Recipiente"/>
      <sheetName val="Guia rec."/>
      <sheetName val="MEZCLAS"/>
      <sheetName val="Módulo1"/>
      <sheetName val="Módulo11"/>
      <sheetName val="2-6"/>
      <sheetName val="LIMITE"/>
      <sheetName val="Hoja1"/>
      <sheetName val="Clasificado 1 1-2 "/>
      <sheetName val="CLAS-BOG"/>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CI1000"/>
  <sheetViews>
    <sheetView tabSelected="1" view="pageBreakPreview" topLeftCell="B1" zoomScale="60" zoomScaleNormal="60" workbookViewId="0">
      <selection activeCell="K10" sqref="K10:M10"/>
    </sheetView>
  </sheetViews>
  <sheetFormatPr baseColWidth="10" defaultColWidth="14.42578125" defaultRowHeight="15" customHeight="1" x14ac:dyDescent="0.25"/>
  <cols>
    <col min="1" max="1" width="0.7109375" customWidth="1"/>
    <col min="2" max="2" width="34.42578125" customWidth="1"/>
    <col min="3" max="3" width="20" customWidth="1"/>
    <col min="4" max="4" width="15.28515625" customWidth="1"/>
    <col min="5" max="7" width="23.7109375" customWidth="1"/>
    <col min="8" max="8" width="15.85546875" customWidth="1"/>
    <col min="9" max="9" width="12.28515625" customWidth="1"/>
    <col min="10" max="10" width="35.85546875" customWidth="1"/>
    <col min="11" max="11" width="35.140625" customWidth="1"/>
    <col min="12" max="12" width="16.42578125" customWidth="1"/>
    <col min="13" max="13" width="23.85546875" customWidth="1"/>
    <col min="14" max="14" width="0.7109375" customWidth="1"/>
    <col min="15" max="15" width="30.5703125" customWidth="1"/>
    <col min="16" max="16" width="20" customWidth="1"/>
    <col min="17" max="17" width="19.42578125" customWidth="1"/>
    <col min="18" max="18" width="20.28515625" customWidth="1"/>
    <col min="19" max="19" width="19.85546875" customWidth="1"/>
    <col min="20" max="20" width="1.28515625" customWidth="1"/>
    <col min="21" max="22" width="23.7109375" customWidth="1"/>
    <col min="23" max="23" width="17" customWidth="1"/>
    <col min="24" max="25" width="3" customWidth="1"/>
    <col min="26" max="26" width="15.7109375" customWidth="1"/>
    <col min="27" max="27" width="6.85546875" customWidth="1"/>
    <col min="28" max="28" width="11.28515625" customWidth="1"/>
    <col min="29" max="29" width="15.7109375" customWidth="1"/>
    <col min="30" max="30" width="4.85546875" customWidth="1"/>
    <col min="31" max="31" width="1.42578125" customWidth="1"/>
    <col min="32" max="32" width="15.7109375" customWidth="1"/>
    <col min="33" max="33" width="16.28515625" customWidth="1"/>
    <col min="34" max="34" width="14.7109375" customWidth="1"/>
    <col min="35" max="36" width="18.85546875" customWidth="1"/>
    <col min="37" max="43" width="25.5703125" customWidth="1"/>
    <col min="44" max="49" width="11.42578125" customWidth="1"/>
    <col min="50" max="50" width="32" customWidth="1"/>
    <col min="51" max="51" width="19.5703125" customWidth="1"/>
    <col min="52" max="52" width="38.85546875" customWidth="1"/>
    <col min="53" max="53" width="11.42578125" customWidth="1"/>
    <col min="54" max="54" width="16" customWidth="1"/>
    <col min="55" max="87" width="11.42578125" customWidth="1"/>
  </cols>
  <sheetData>
    <row r="1" spans="1:87" ht="20.25" customHeight="1" x14ac:dyDescent="0.25">
      <c r="A1" s="141"/>
      <c r="B1" s="345"/>
      <c r="C1" s="346"/>
      <c r="D1" s="347"/>
      <c r="E1" s="349" t="s">
        <v>0</v>
      </c>
      <c r="F1" s="346"/>
      <c r="G1" s="346"/>
      <c r="H1" s="346"/>
      <c r="I1" s="346"/>
      <c r="J1" s="346"/>
      <c r="K1" s="347"/>
      <c r="L1" s="350" t="s">
        <v>1</v>
      </c>
      <c r="M1" s="351"/>
      <c r="N1" s="130"/>
      <c r="O1" s="349"/>
      <c r="P1" s="346"/>
      <c r="Q1" s="347"/>
      <c r="R1" s="349" t="str">
        <f>E1</f>
        <v>INFORME DE RESULTADOS</v>
      </c>
      <c r="S1" s="346"/>
      <c r="T1" s="346"/>
      <c r="U1" s="346"/>
      <c r="V1" s="346"/>
      <c r="W1" s="346"/>
      <c r="X1" s="346"/>
      <c r="Y1" s="346"/>
      <c r="Z1" s="346"/>
      <c r="AA1" s="346"/>
      <c r="AB1" s="346"/>
      <c r="AC1" s="346"/>
      <c r="AD1" s="346"/>
      <c r="AE1" s="347"/>
      <c r="AF1" s="350" t="s">
        <v>2</v>
      </c>
      <c r="AG1" s="353"/>
      <c r="AH1" s="351"/>
      <c r="AI1" s="1"/>
      <c r="AJ1" s="1"/>
      <c r="AK1" s="1" t="s">
        <v>3</v>
      </c>
      <c r="AL1" s="1"/>
      <c r="AM1" s="1"/>
      <c r="AN1" s="1"/>
      <c r="AO1" s="1"/>
      <c r="AP1" s="1"/>
      <c r="AQ1" s="1"/>
      <c r="AR1" s="1"/>
      <c r="AS1" s="2"/>
      <c r="AT1" s="2"/>
      <c r="AU1" s="2"/>
      <c r="AV1" s="2" t="s">
        <v>4</v>
      </c>
      <c r="AW1" s="1" t="s">
        <v>5</v>
      </c>
      <c r="AX1" s="2" t="s">
        <v>6</v>
      </c>
      <c r="AY1" s="2" t="s">
        <v>7</v>
      </c>
      <c r="AZ1" s="2" t="s">
        <v>8</v>
      </c>
      <c r="BA1" s="2"/>
      <c r="BB1" s="2"/>
      <c r="BC1" s="2"/>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row>
    <row r="2" spans="1:87" ht="20.25" customHeight="1" x14ac:dyDescent="0.25">
      <c r="A2" s="142"/>
      <c r="B2" s="327"/>
      <c r="C2" s="215"/>
      <c r="D2" s="348"/>
      <c r="E2" s="354" t="s">
        <v>9</v>
      </c>
      <c r="F2" s="355"/>
      <c r="G2" s="355"/>
      <c r="H2" s="355"/>
      <c r="I2" s="355"/>
      <c r="J2" s="355"/>
      <c r="K2" s="356"/>
      <c r="L2" s="343" t="s">
        <v>10</v>
      </c>
      <c r="M2" s="276"/>
      <c r="N2" s="130"/>
      <c r="O2" s="265"/>
      <c r="P2" s="215"/>
      <c r="Q2" s="244"/>
      <c r="R2" s="354" t="s">
        <v>11</v>
      </c>
      <c r="S2" s="215"/>
      <c r="T2" s="215"/>
      <c r="U2" s="215"/>
      <c r="V2" s="215"/>
      <c r="W2" s="215"/>
      <c r="X2" s="215"/>
      <c r="Y2" s="215"/>
      <c r="Z2" s="215"/>
      <c r="AA2" s="215"/>
      <c r="AB2" s="215"/>
      <c r="AC2" s="215"/>
      <c r="AD2" s="215"/>
      <c r="AE2" s="244"/>
      <c r="AF2" s="343" t="s">
        <v>10</v>
      </c>
      <c r="AG2" s="231"/>
      <c r="AH2" s="276"/>
      <c r="AI2" s="1"/>
      <c r="AJ2" s="1"/>
      <c r="AK2" s="1"/>
      <c r="AL2" s="1"/>
      <c r="AM2" s="1"/>
      <c r="AN2" s="1"/>
      <c r="AO2" s="1"/>
      <c r="AP2" s="1"/>
      <c r="AQ2" s="1"/>
      <c r="AR2" s="1"/>
      <c r="AS2" s="2"/>
      <c r="AT2" s="2"/>
      <c r="AU2" s="2"/>
      <c r="AV2" s="2"/>
      <c r="AW2" s="1"/>
      <c r="AX2" s="2"/>
      <c r="AY2" s="2"/>
      <c r="AZ2" s="2"/>
      <c r="BA2" s="2"/>
      <c r="BB2" s="2"/>
      <c r="BC2" s="2"/>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spans="1:87" ht="20.25" customHeight="1" x14ac:dyDescent="0.25">
      <c r="A3" s="142"/>
      <c r="B3" s="327"/>
      <c r="C3" s="215"/>
      <c r="D3" s="348"/>
      <c r="E3" s="354"/>
      <c r="F3" s="355"/>
      <c r="G3" s="355"/>
      <c r="H3" s="355"/>
      <c r="I3" s="355"/>
      <c r="J3" s="355"/>
      <c r="K3" s="356"/>
      <c r="L3" s="343" t="s">
        <v>12</v>
      </c>
      <c r="M3" s="276"/>
      <c r="N3" s="130"/>
      <c r="O3" s="265"/>
      <c r="P3" s="215"/>
      <c r="Q3" s="244"/>
      <c r="R3" s="362"/>
      <c r="S3" s="215"/>
      <c r="T3" s="215"/>
      <c r="U3" s="215"/>
      <c r="V3" s="215"/>
      <c r="W3" s="215"/>
      <c r="X3" s="215"/>
      <c r="Y3" s="215"/>
      <c r="Z3" s="215"/>
      <c r="AA3" s="215"/>
      <c r="AB3" s="215"/>
      <c r="AC3" s="215"/>
      <c r="AD3" s="215"/>
      <c r="AE3" s="244"/>
      <c r="AF3" s="201"/>
      <c r="AG3" s="171" t="s">
        <v>12</v>
      </c>
      <c r="AH3" s="172"/>
      <c r="AI3" s="1"/>
      <c r="AJ3" s="1"/>
      <c r="AK3" s="1"/>
      <c r="AL3" s="1"/>
      <c r="AM3" s="1"/>
      <c r="AN3" s="1"/>
      <c r="AO3" s="1"/>
      <c r="AP3" s="1"/>
      <c r="AQ3" s="1"/>
      <c r="AR3" s="4" t="s">
        <v>13</v>
      </c>
      <c r="AS3" s="4"/>
      <c r="AT3" s="4"/>
      <c r="AU3" s="4"/>
      <c r="AV3" s="2" t="s">
        <v>14</v>
      </c>
      <c r="AW3" s="2" t="s">
        <v>15</v>
      </c>
      <c r="AX3" s="2" t="s">
        <v>16</v>
      </c>
      <c r="AY3" s="5" t="s">
        <v>17</v>
      </c>
      <c r="AZ3" s="6" t="s">
        <v>18</v>
      </c>
      <c r="BA3" s="2"/>
      <c r="BB3" s="2"/>
      <c r="BC3" s="2"/>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spans="1:87" ht="24.75" customHeight="1" thickBot="1" x14ac:dyDescent="0.3">
      <c r="A4" s="199"/>
      <c r="B4" s="267"/>
      <c r="C4" s="267"/>
      <c r="D4" s="268"/>
      <c r="E4" s="357"/>
      <c r="F4" s="358"/>
      <c r="G4" s="358"/>
      <c r="H4" s="358"/>
      <c r="I4" s="358"/>
      <c r="J4" s="358"/>
      <c r="K4" s="359"/>
      <c r="L4" s="344" t="s">
        <v>19</v>
      </c>
      <c r="M4" s="268"/>
      <c r="N4" s="130"/>
      <c r="O4" s="352"/>
      <c r="P4" s="267"/>
      <c r="Q4" s="268"/>
      <c r="R4" s="352"/>
      <c r="S4" s="267"/>
      <c r="T4" s="267"/>
      <c r="U4" s="267"/>
      <c r="V4" s="267"/>
      <c r="W4" s="267"/>
      <c r="X4" s="267"/>
      <c r="Y4" s="267"/>
      <c r="Z4" s="267"/>
      <c r="AA4" s="267"/>
      <c r="AB4" s="267"/>
      <c r="AC4" s="267"/>
      <c r="AD4" s="267"/>
      <c r="AE4" s="268"/>
      <c r="AF4" s="344" t="s">
        <v>19</v>
      </c>
      <c r="AG4" s="267"/>
      <c r="AH4" s="268"/>
      <c r="AI4" s="1"/>
      <c r="AJ4" s="1"/>
      <c r="AK4" s="1"/>
      <c r="AL4" s="1"/>
      <c r="AM4" s="1"/>
      <c r="AN4" s="1"/>
      <c r="AO4" s="1"/>
      <c r="AP4" s="1"/>
      <c r="AQ4" s="1"/>
      <c r="AR4" s="4"/>
      <c r="AS4" s="4"/>
      <c r="AT4" s="4"/>
      <c r="AU4" s="4"/>
      <c r="AV4" s="2" t="s">
        <v>20</v>
      </c>
      <c r="AW4" s="2" t="s">
        <v>21</v>
      </c>
      <c r="AX4" s="2" t="s">
        <v>22</v>
      </c>
      <c r="AY4" s="5" t="s">
        <v>23</v>
      </c>
      <c r="AZ4" s="6" t="s">
        <v>24</v>
      </c>
      <c r="BA4" s="2"/>
      <c r="BB4" s="2"/>
      <c r="BC4" s="2"/>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spans="1:87" ht="3.75" customHeight="1" thickBot="1" x14ac:dyDescent="0.3">
      <c r="A5" s="142"/>
      <c r="B5" s="214"/>
      <c r="C5" s="215"/>
      <c r="D5" s="215"/>
      <c r="E5" s="215"/>
      <c r="F5" s="215"/>
      <c r="G5" s="215"/>
      <c r="H5" s="215"/>
      <c r="I5" s="215"/>
      <c r="J5" s="215"/>
      <c r="K5" s="215"/>
      <c r="L5" s="215"/>
      <c r="M5" s="156"/>
      <c r="N5" s="129"/>
      <c r="O5" s="300"/>
      <c r="P5" s="215"/>
      <c r="Q5" s="215"/>
      <c r="R5" s="215"/>
      <c r="S5" s="215"/>
      <c r="T5" s="215"/>
      <c r="U5" s="215"/>
      <c r="V5" s="215"/>
      <c r="W5" s="215"/>
      <c r="X5" s="215"/>
      <c r="Y5" s="215"/>
      <c r="Z5" s="215"/>
      <c r="AA5" s="215"/>
      <c r="AB5" s="215"/>
      <c r="AC5" s="215"/>
      <c r="AD5" s="215"/>
      <c r="AE5" s="215"/>
      <c r="AF5" s="215"/>
      <c r="AG5" s="215"/>
      <c r="AH5" s="244"/>
      <c r="AI5" s="1"/>
      <c r="AJ5" s="1"/>
      <c r="AK5" s="1"/>
      <c r="AL5" s="1"/>
      <c r="AM5" s="1"/>
      <c r="AN5" s="1"/>
      <c r="AO5" s="1"/>
      <c r="AP5" s="1"/>
      <c r="AQ5" s="1"/>
      <c r="AR5" s="1"/>
      <c r="AS5" s="1"/>
      <c r="AT5" s="4"/>
      <c r="AU5" s="4"/>
      <c r="AV5" s="4"/>
      <c r="AW5" s="4"/>
      <c r="AX5" s="2"/>
      <c r="AY5" s="2"/>
      <c r="AZ5" s="2"/>
      <c r="BA5" s="5"/>
      <c r="BB5" s="6" t="s">
        <v>25</v>
      </c>
      <c r="BC5" s="2"/>
      <c r="BD5" s="2"/>
      <c r="BE5" s="2"/>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row>
    <row r="6" spans="1:87" ht="22.5" customHeight="1" x14ac:dyDescent="0.25">
      <c r="A6" s="141"/>
      <c r="B6" s="365" t="s">
        <v>26</v>
      </c>
      <c r="C6" s="346"/>
      <c r="D6" s="364"/>
      <c r="E6" s="353"/>
      <c r="F6" s="353"/>
      <c r="G6" s="353"/>
      <c r="H6" s="353"/>
      <c r="I6" s="365" t="s">
        <v>27</v>
      </c>
      <c r="J6" s="346"/>
      <c r="K6" s="364"/>
      <c r="L6" s="353"/>
      <c r="M6" s="351"/>
      <c r="N6" s="131"/>
      <c r="O6" s="298" t="str">
        <f t="shared" ref="O6:O10" si="0">B6</f>
        <v>CLIENTE:</v>
      </c>
      <c r="P6" s="213"/>
      <c r="Q6" s="299">
        <f>+D6</f>
        <v>0</v>
      </c>
      <c r="R6" s="250"/>
      <c r="S6" s="250"/>
      <c r="T6" s="250"/>
      <c r="U6" s="250"/>
      <c r="V6" s="250"/>
      <c r="W6" s="363" t="str">
        <f t="shared" ref="W6:W10" si="1">I6</f>
        <v>FECHA DE RECEPCIÓN:</v>
      </c>
      <c r="X6" s="213"/>
      <c r="Y6" s="213"/>
      <c r="Z6" s="213"/>
      <c r="AA6" s="213"/>
      <c r="AB6" s="366">
        <f t="shared" ref="AB6:AB8" si="2">K6</f>
        <v>0</v>
      </c>
      <c r="AC6" s="250"/>
      <c r="AD6" s="250"/>
      <c r="AE6" s="250"/>
      <c r="AF6" s="250"/>
      <c r="AG6" s="174"/>
      <c r="AH6" s="175"/>
      <c r="AI6" s="1"/>
      <c r="AJ6" s="1"/>
      <c r="AK6" s="1"/>
      <c r="AL6" s="1"/>
      <c r="AM6" s="1"/>
      <c r="AN6" s="1"/>
      <c r="AO6" s="1"/>
      <c r="AP6" s="1"/>
      <c r="AQ6" s="1"/>
      <c r="AR6" s="2"/>
      <c r="AS6" s="2"/>
      <c r="AT6" s="2"/>
      <c r="AU6" s="1"/>
      <c r="AV6" s="2"/>
      <c r="AW6" s="2"/>
      <c r="AX6" s="2"/>
      <c r="AY6" s="6"/>
      <c r="AZ6" s="2"/>
      <c r="BA6" s="2"/>
      <c r="BB6" s="2"/>
      <c r="BC6" s="1"/>
      <c r="BD6" s="1"/>
      <c r="BE6" s="7" t="s">
        <v>28</v>
      </c>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row>
    <row r="7" spans="1:87" ht="22.5" customHeight="1" x14ac:dyDescent="0.25">
      <c r="A7" s="142"/>
      <c r="B7" s="326" t="s">
        <v>29</v>
      </c>
      <c r="C7" s="327"/>
      <c r="D7" s="341"/>
      <c r="E7" s="231"/>
      <c r="F7" s="231"/>
      <c r="G7" s="231"/>
      <c r="H7" s="231"/>
      <c r="I7" s="326" t="s">
        <v>30</v>
      </c>
      <c r="J7" s="327"/>
      <c r="K7" s="341"/>
      <c r="L7" s="231"/>
      <c r="M7" s="276"/>
      <c r="N7" s="131"/>
      <c r="O7" s="328" t="str">
        <f t="shared" si="0"/>
        <v>PROYECTO:</v>
      </c>
      <c r="P7" s="215"/>
      <c r="Q7" s="342">
        <f t="shared" ref="Q7:Q10" si="3">D7</f>
        <v>0</v>
      </c>
      <c r="R7" s="221"/>
      <c r="S7" s="221"/>
      <c r="T7" s="221"/>
      <c r="U7" s="221"/>
      <c r="V7" s="221"/>
      <c r="W7" s="339" t="str">
        <f t="shared" si="1"/>
        <v xml:space="preserve">FECHA DE EJECUCIÓN: </v>
      </c>
      <c r="X7" s="215"/>
      <c r="Y7" s="215"/>
      <c r="Z7" s="215"/>
      <c r="AA7" s="215"/>
      <c r="AB7" s="340">
        <f t="shared" si="2"/>
        <v>0</v>
      </c>
      <c r="AC7" s="231"/>
      <c r="AD7" s="231"/>
      <c r="AE7" s="231"/>
      <c r="AF7" s="231"/>
      <c r="AG7" s="176"/>
      <c r="AH7" s="156"/>
      <c r="AI7" s="1"/>
      <c r="AJ7" s="1"/>
      <c r="AK7" s="1"/>
      <c r="AL7" s="1"/>
      <c r="AM7" s="1"/>
      <c r="AN7" s="1"/>
      <c r="AO7" s="1"/>
      <c r="AP7" s="1"/>
      <c r="AQ7" s="1"/>
      <c r="AR7" s="2"/>
      <c r="AS7" s="2"/>
      <c r="AT7" s="2"/>
      <c r="AU7" s="2"/>
      <c r="AV7" s="2"/>
      <c r="AW7" s="2"/>
      <c r="AX7" s="2"/>
      <c r="AY7" s="2"/>
      <c r="AZ7" s="2"/>
      <c r="BA7" s="2"/>
      <c r="BB7" s="2"/>
      <c r="BC7" s="1"/>
      <c r="BD7" s="1"/>
      <c r="BE7" s="7" t="s">
        <v>31</v>
      </c>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row>
    <row r="8" spans="1:87" ht="22.5" customHeight="1" x14ac:dyDescent="0.25">
      <c r="A8" s="142"/>
      <c r="B8" s="326" t="s">
        <v>32</v>
      </c>
      <c r="C8" s="327"/>
      <c r="D8" s="341"/>
      <c r="E8" s="231"/>
      <c r="F8" s="231"/>
      <c r="G8" s="231"/>
      <c r="H8" s="231"/>
      <c r="I8" s="326" t="s">
        <v>33</v>
      </c>
      <c r="J8" s="327"/>
      <c r="K8" s="341"/>
      <c r="L8" s="231"/>
      <c r="M8" s="276"/>
      <c r="N8" s="131"/>
      <c r="O8" s="328" t="str">
        <f t="shared" si="0"/>
        <v>CORREO ELECTRÓNICO:</v>
      </c>
      <c r="P8" s="215"/>
      <c r="Q8" s="342">
        <f t="shared" si="3"/>
        <v>0</v>
      </c>
      <c r="R8" s="221"/>
      <c r="S8" s="221"/>
      <c r="T8" s="221"/>
      <c r="U8" s="221"/>
      <c r="V8" s="221"/>
      <c r="W8" s="339" t="str">
        <f t="shared" si="1"/>
        <v>FECHA DE EMISIÓN:</v>
      </c>
      <c r="X8" s="215"/>
      <c r="Y8" s="215"/>
      <c r="Z8" s="215"/>
      <c r="AA8" s="215"/>
      <c r="AB8" s="340">
        <f t="shared" si="2"/>
        <v>0</v>
      </c>
      <c r="AC8" s="231"/>
      <c r="AD8" s="231"/>
      <c r="AE8" s="231"/>
      <c r="AF8" s="231"/>
      <c r="AG8" s="176"/>
      <c r="AH8" s="156"/>
      <c r="AI8" s="1"/>
      <c r="AJ8" s="1"/>
      <c r="AK8" s="1"/>
      <c r="AL8" s="1"/>
      <c r="AM8" s="1"/>
      <c r="AN8" s="1"/>
      <c r="AO8" s="1"/>
      <c r="AP8" s="1"/>
      <c r="AQ8" s="1"/>
      <c r="AR8" s="2"/>
      <c r="AS8" s="2"/>
      <c r="AT8" s="2"/>
      <c r="AU8" s="2"/>
      <c r="AV8" s="1">
        <f>17-2.57</f>
        <v>14.43</v>
      </c>
      <c r="AW8" s="2"/>
      <c r="AX8" s="2"/>
      <c r="AY8" s="2"/>
      <c r="AZ8" s="2"/>
      <c r="BA8" s="2"/>
      <c r="BB8" s="2"/>
      <c r="BC8" s="1"/>
      <c r="BD8" s="1"/>
      <c r="BE8" s="7" t="s">
        <v>34</v>
      </c>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row>
    <row r="9" spans="1:87" ht="22.5" customHeight="1" x14ac:dyDescent="0.25">
      <c r="A9" s="142"/>
      <c r="B9" s="326" t="s">
        <v>35</v>
      </c>
      <c r="C9" s="327"/>
      <c r="D9" s="341"/>
      <c r="E9" s="231"/>
      <c r="F9" s="231"/>
      <c r="G9" s="231"/>
      <c r="H9" s="231"/>
      <c r="I9" s="326" t="s">
        <v>36</v>
      </c>
      <c r="J9" s="327"/>
      <c r="K9" s="146" t="s">
        <v>37</v>
      </c>
      <c r="L9" s="147"/>
      <c r="M9" s="148"/>
      <c r="N9" s="131"/>
      <c r="O9" s="328" t="str">
        <f t="shared" si="0"/>
        <v>LOCALIZACIÓN:</v>
      </c>
      <c r="P9" s="215"/>
      <c r="Q9" s="342">
        <f t="shared" si="3"/>
        <v>0</v>
      </c>
      <c r="R9" s="221"/>
      <c r="S9" s="221"/>
      <c r="T9" s="221"/>
      <c r="U9" s="221"/>
      <c r="V9" s="221"/>
      <c r="W9" s="339" t="str">
        <f t="shared" si="1"/>
        <v xml:space="preserve">ORDEN INTERNA: </v>
      </c>
      <c r="X9" s="215"/>
      <c r="Y9" s="215"/>
      <c r="Z9" s="215"/>
      <c r="AA9" s="215"/>
      <c r="AB9" s="340" t="str">
        <f>_xlfn.SINGLE(_xlfn.CONCAT(K9," "," ",L9," ","-"," ",M9))</f>
        <v xml:space="preserve">GDA   - </v>
      </c>
      <c r="AC9" s="231"/>
      <c r="AD9" s="231"/>
      <c r="AE9" s="231"/>
      <c r="AF9" s="231"/>
      <c r="AG9" s="157"/>
      <c r="AH9" s="156"/>
      <c r="AI9" s="1"/>
      <c r="AJ9" s="1"/>
      <c r="AK9" s="1"/>
      <c r="AL9" s="1"/>
      <c r="AM9" s="1"/>
      <c r="AN9" s="1"/>
      <c r="AO9" s="1"/>
      <c r="AP9" s="1"/>
      <c r="AQ9" s="1"/>
      <c r="AR9" s="2"/>
      <c r="AS9" s="2"/>
      <c r="AT9" s="2"/>
      <c r="AU9" s="2"/>
      <c r="AV9" s="2"/>
      <c r="AW9" s="2"/>
      <c r="AX9" s="2"/>
      <c r="AY9" s="2"/>
      <c r="AZ9" s="2"/>
      <c r="BA9" s="2"/>
      <c r="BB9" s="2"/>
      <c r="BC9" s="1"/>
      <c r="BD9" s="1"/>
      <c r="BE9" s="7" t="s">
        <v>38</v>
      </c>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row>
    <row r="10" spans="1:87" ht="22.5" customHeight="1" thickBot="1" x14ac:dyDescent="0.3">
      <c r="A10" s="199"/>
      <c r="B10" s="302" t="s">
        <v>39</v>
      </c>
      <c r="C10" s="303"/>
      <c r="D10" s="292"/>
      <c r="E10" s="293"/>
      <c r="F10" s="293"/>
      <c r="G10" s="293"/>
      <c r="H10" s="293"/>
      <c r="I10" s="304" t="s">
        <v>40</v>
      </c>
      <c r="J10" s="267"/>
      <c r="K10" s="292" t="str">
        <f>CONCATENATE(L9,," ",M9,"-",F12,"-",D69,H12)</f>
        <v xml:space="preserve"> --</v>
      </c>
      <c r="L10" s="293"/>
      <c r="M10" s="305"/>
      <c r="N10" s="157"/>
      <c r="O10" s="306" t="str">
        <f t="shared" si="0"/>
        <v>MUESTRA TOMADA POR:</v>
      </c>
      <c r="P10" s="295"/>
      <c r="Q10" s="307">
        <f t="shared" si="3"/>
        <v>0</v>
      </c>
      <c r="R10" s="295"/>
      <c r="S10" s="295"/>
      <c r="T10" s="295"/>
      <c r="U10" s="295"/>
      <c r="V10" s="295"/>
      <c r="W10" s="333" t="str">
        <f t="shared" si="1"/>
        <v>INFORME ID No:</v>
      </c>
      <c r="X10" s="295"/>
      <c r="Y10" s="295"/>
      <c r="Z10" s="295"/>
      <c r="AA10" s="295"/>
      <c r="AB10" s="334" t="str">
        <f>K10</f>
        <v xml:space="preserve"> --</v>
      </c>
      <c r="AC10" s="217"/>
      <c r="AD10" s="217"/>
      <c r="AE10" s="217"/>
      <c r="AF10" s="217"/>
      <c r="AG10" s="132"/>
      <c r="AH10" s="144"/>
      <c r="AI10" s="1"/>
      <c r="AJ10" s="1"/>
      <c r="AK10" s="1"/>
      <c r="AL10" s="1"/>
      <c r="AM10" s="1"/>
      <c r="AN10" s="1"/>
      <c r="AO10" s="1"/>
      <c r="AP10" s="1"/>
      <c r="AQ10" s="1"/>
      <c r="AR10" s="2"/>
      <c r="AS10" s="2"/>
      <c r="AT10" s="2"/>
      <c r="AU10" s="2"/>
      <c r="AV10" s="2"/>
      <c r="AW10" s="2"/>
      <c r="AX10" s="2"/>
      <c r="AY10" s="2"/>
      <c r="AZ10" s="2"/>
      <c r="BA10" s="2"/>
      <c r="BB10" s="2"/>
      <c r="BC10" s="1"/>
      <c r="BD10" s="1"/>
      <c r="BE10" s="7" t="s">
        <v>41</v>
      </c>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row>
    <row r="11" spans="1:87" ht="3.75" customHeight="1" thickBot="1" x14ac:dyDescent="0.3">
      <c r="A11" s="143"/>
      <c r="B11" s="294"/>
      <c r="C11" s="295"/>
      <c r="D11" s="295"/>
      <c r="E11" s="295"/>
      <c r="F11" s="295"/>
      <c r="G11" s="295"/>
      <c r="H11" s="295"/>
      <c r="I11" s="295"/>
      <c r="J11" s="295"/>
      <c r="K11" s="295"/>
      <c r="L11" s="295"/>
      <c r="M11" s="149"/>
      <c r="N11" s="129"/>
      <c r="O11" s="335"/>
      <c r="P11" s="215"/>
      <c r="Q11" s="215"/>
      <c r="R11" s="215"/>
      <c r="S11" s="215"/>
      <c r="T11" s="215"/>
      <c r="U11" s="215"/>
      <c r="V11" s="215"/>
      <c r="W11" s="215"/>
      <c r="X11" s="215"/>
      <c r="Y11" s="215"/>
      <c r="Z11" s="215"/>
      <c r="AA11" s="215"/>
      <c r="AB11" s="215"/>
      <c r="AC11" s="215"/>
      <c r="AD11" s="215"/>
      <c r="AE11" s="215"/>
      <c r="AF11" s="215"/>
      <c r="AG11" s="215"/>
      <c r="AH11" s="244"/>
      <c r="AI11" s="1"/>
      <c r="AJ11" s="1"/>
      <c r="AK11" s="1"/>
      <c r="AL11" s="1"/>
      <c r="AM11" s="1"/>
      <c r="AN11" s="1"/>
      <c r="AO11" s="1"/>
      <c r="AP11" s="1"/>
      <c r="AQ11" s="1"/>
      <c r="AR11" s="1"/>
      <c r="AS11" s="1"/>
      <c r="AT11" s="7"/>
      <c r="AU11" s="2"/>
      <c r="AV11" s="2"/>
      <c r="AW11" s="2"/>
      <c r="AX11" s="2"/>
      <c r="AY11" s="2"/>
      <c r="AZ11" s="2"/>
      <c r="BA11" s="2"/>
      <c r="BB11" s="2"/>
      <c r="BC11" s="2"/>
      <c r="BD11" s="2"/>
      <c r="BE11" s="2"/>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row>
    <row r="12" spans="1:87" ht="22.5" customHeight="1" x14ac:dyDescent="0.25">
      <c r="A12" s="145"/>
      <c r="B12" s="290" t="s">
        <v>42</v>
      </c>
      <c r="C12" s="213"/>
      <c r="D12" s="296"/>
      <c r="E12" s="250"/>
      <c r="F12" s="8"/>
      <c r="G12" s="150" t="s">
        <v>43</v>
      </c>
      <c r="H12" s="9"/>
      <c r="I12" s="297" t="s">
        <v>44</v>
      </c>
      <c r="J12" s="213"/>
      <c r="K12" s="10"/>
      <c r="L12" s="11" t="s">
        <v>45</v>
      </c>
      <c r="M12" s="151"/>
      <c r="N12" s="202"/>
      <c r="O12" s="298" t="s">
        <v>42</v>
      </c>
      <c r="P12" s="213"/>
      <c r="Q12" s="299" t="e">
        <f ca="1">_xludf.CONCAT(D12," "," ",F12)</f>
        <v>#NAME?</v>
      </c>
      <c r="R12" s="250"/>
      <c r="S12" s="250"/>
      <c r="T12" s="336" t="s">
        <v>43</v>
      </c>
      <c r="U12" s="213"/>
      <c r="V12" s="173">
        <f>+H12</f>
        <v>0</v>
      </c>
      <c r="W12" s="337" t="s">
        <v>44</v>
      </c>
      <c r="X12" s="213"/>
      <c r="Y12" s="213"/>
      <c r="Z12" s="213"/>
      <c r="AA12" s="213"/>
      <c r="AB12" s="213"/>
      <c r="AC12" s="177">
        <f>K12</f>
        <v>0</v>
      </c>
      <c r="AD12" s="338" t="s">
        <v>45</v>
      </c>
      <c r="AE12" s="213"/>
      <c r="AF12" s="178">
        <f>+M12</f>
        <v>0</v>
      </c>
      <c r="AG12" s="133"/>
      <c r="AH12" s="175"/>
      <c r="AI12" s="1"/>
      <c r="AJ12" s="1"/>
      <c r="AK12" s="1"/>
      <c r="AL12" s="1"/>
      <c r="AM12" s="1"/>
      <c r="AN12" s="1"/>
      <c r="AO12" s="1"/>
      <c r="AP12" s="1"/>
      <c r="AQ12" s="1"/>
      <c r="AR12" s="1"/>
      <c r="AS12" s="1"/>
      <c r="AT12" s="7"/>
      <c r="AU12" s="2"/>
      <c r="AV12" s="2"/>
      <c r="AW12" s="2"/>
      <c r="AX12" s="2"/>
      <c r="AY12" s="2"/>
      <c r="AZ12" s="2"/>
      <c r="BA12" s="2"/>
      <c r="BB12" s="2"/>
      <c r="BC12" s="2"/>
      <c r="BD12" s="2"/>
      <c r="BE12" s="2"/>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row>
    <row r="13" spans="1:87" ht="22.5" customHeight="1" x14ac:dyDescent="0.25">
      <c r="A13" s="142"/>
      <c r="B13" s="326" t="s">
        <v>46</v>
      </c>
      <c r="C13" s="327"/>
      <c r="D13" s="341"/>
      <c r="E13" s="430"/>
      <c r="F13" s="430"/>
      <c r="G13" s="430"/>
      <c r="H13" s="430"/>
      <c r="I13" s="430"/>
      <c r="J13" s="430"/>
      <c r="K13" s="430"/>
      <c r="L13" s="430"/>
      <c r="M13" s="431"/>
      <c r="N13" s="134"/>
      <c r="O13" s="328" t="s">
        <v>46</v>
      </c>
      <c r="P13" s="215"/>
      <c r="Q13" s="427">
        <f>D13</f>
        <v>0</v>
      </c>
      <c r="R13" s="428"/>
      <c r="S13" s="428"/>
      <c r="T13" s="428"/>
      <c r="U13" s="428"/>
      <c r="V13" s="428"/>
      <c r="W13" s="428"/>
      <c r="X13" s="428"/>
      <c r="Y13" s="428"/>
      <c r="Z13" s="428"/>
      <c r="AA13" s="428"/>
      <c r="AB13" s="428"/>
      <c r="AC13" s="428"/>
      <c r="AD13" s="428"/>
      <c r="AE13" s="428"/>
      <c r="AF13" s="428"/>
      <c r="AG13" s="428"/>
      <c r="AH13" s="429"/>
      <c r="AI13" s="1"/>
      <c r="AJ13" s="1"/>
      <c r="AK13" s="1"/>
      <c r="AL13" s="1"/>
      <c r="AM13" s="1"/>
      <c r="AN13" s="1"/>
      <c r="AO13" s="1"/>
      <c r="AP13" s="1"/>
      <c r="AQ13" s="1"/>
      <c r="AR13" s="1"/>
      <c r="AS13" s="1"/>
      <c r="AT13" s="7"/>
      <c r="AU13" s="2"/>
      <c r="AV13" s="2"/>
      <c r="AW13" s="2"/>
      <c r="AX13" s="2"/>
      <c r="AY13" s="2"/>
      <c r="AZ13" s="2"/>
      <c r="BA13" s="2"/>
      <c r="BB13" s="2"/>
      <c r="BC13" s="2"/>
      <c r="BD13" s="2"/>
      <c r="BE13" s="2"/>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row>
    <row r="14" spans="1:87" ht="6.75" customHeight="1" thickBot="1" x14ac:dyDescent="0.3">
      <c r="A14" s="143"/>
      <c r="B14" s="12"/>
      <c r="C14" s="12"/>
      <c r="D14" s="13"/>
      <c r="E14" s="13"/>
      <c r="F14" s="13"/>
      <c r="G14" s="13"/>
      <c r="H14" s="13"/>
      <c r="I14" s="13"/>
      <c r="J14" s="13"/>
      <c r="K14" s="13"/>
      <c r="L14" s="13"/>
      <c r="M14" s="152"/>
      <c r="N14" s="157"/>
      <c r="O14" s="179"/>
      <c r="P14" s="180"/>
      <c r="Q14" s="132"/>
      <c r="R14" s="132"/>
      <c r="S14" s="132"/>
      <c r="T14" s="132"/>
      <c r="U14" s="132"/>
      <c r="V14" s="132"/>
      <c r="W14" s="132"/>
      <c r="X14" s="132"/>
      <c r="Y14" s="132"/>
      <c r="Z14" s="132"/>
      <c r="AA14" s="132"/>
      <c r="AB14" s="132"/>
      <c r="AC14" s="132"/>
      <c r="AD14" s="132"/>
      <c r="AE14" s="132"/>
      <c r="AF14" s="132"/>
      <c r="AG14" s="132"/>
      <c r="AH14" s="181"/>
      <c r="AI14" s="1"/>
      <c r="AJ14" s="1"/>
      <c r="AK14" s="1"/>
      <c r="AL14" s="1"/>
      <c r="AM14" s="1"/>
      <c r="AN14" s="1"/>
      <c r="AO14" s="1"/>
      <c r="AP14" s="1"/>
      <c r="AQ14" s="1"/>
      <c r="AR14" s="1"/>
      <c r="AS14" s="1"/>
      <c r="AT14" s="1"/>
      <c r="AU14" s="2"/>
      <c r="AV14" s="2"/>
      <c r="AW14" s="2"/>
      <c r="AX14" s="2"/>
      <c r="AY14" s="2"/>
      <c r="AZ14" s="2"/>
      <c r="BA14" s="2"/>
      <c r="BB14" s="2"/>
      <c r="BC14" s="2"/>
      <c r="BD14" s="2"/>
      <c r="BE14" s="2"/>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row>
    <row r="15" spans="1:87" ht="5.25" customHeight="1" x14ac:dyDescent="0.25">
      <c r="A15" s="300"/>
      <c r="B15" s="215"/>
      <c r="C15" s="215"/>
      <c r="D15" s="215"/>
      <c r="E15" s="215"/>
      <c r="F15" s="215"/>
      <c r="G15" s="215"/>
      <c r="H15" s="215"/>
      <c r="I15" s="215"/>
      <c r="J15" s="215"/>
      <c r="K15" s="215"/>
      <c r="L15" s="215"/>
      <c r="M15" s="244"/>
      <c r="N15" s="129"/>
      <c r="O15" s="142"/>
      <c r="P15" s="129"/>
      <c r="Q15" s="129"/>
      <c r="R15" s="129"/>
      <c r="S15" s="129"/>
      <c r="T15" s="129"/>
      <c r="U15" s="129"/>
      <c r="V15" s="129"/>
      <c r="W15" s="129"/>
      <c r="X15" s="129"/>
      <c r="Y15" s="129"/>
      <c r="Z15" s="129"/>
      <c r="AA15" s="129"/>
      <c r="AB15" s="129"/>
      <c r="AC15" s="129"/>
      <c r="AD15" s="129"/>
      <c r="AE15" s="129"/>
      <c r="AF15" s="129"/>
      <c r="AG15" s="129"/>
      <c r="AH15" s="156"/>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row>
    <row r="16" spans="1:87" ht="19.5" customHeight="1" x14ac:dyDescent="0.35">
      <c r="A16" s="142"/>
      <c r="B16" s="291" t="s">
        <v>47</v>
      </c>
      <c r="C16" s="215"/>
      <c r="D16" s="154"/>
      <c r="E16" s="291" t="s">
        <v>48</v>
      </c>
      <c r="F16" s="215"/>
      <c r="G16" s="129"/>
      <c r="H16" s="129"/>
      <c r="I16" s="136"/>
      <c r="J16" s="136"/>
      <c r="K16" s="136"/>
      <c r="L16" s="136"/>
      <c r="M16" s="155"/>
      <c r="N16" s="129"/>
      <c r="O16" s="329" t="s">
        <v>47</v>
      </c>
      <c r="P16" s="215"/>
      <c r="Q16" s="154"/>
      <c r="R16" s="291" t="s">
        <v>49</v>
      </c>
      <c r="S16" s="215"/>
      <c r="T16" s="215"/>
      <c r="U16" s="215"/>
      <c r="V16" s="129"/>
      <c r="W16" s="291" t="s">
        <v>50</v>
      </c>
      <c r="X16" s="215"/>
      <c r="Y16" s="215"/>
      <c r="Z16" s="215"/>
      <c r="AA16" s="291" t="s">
        <v>51</v>
      </c>
      <c r="AB16" s="215"/>
      <c r="AC16" s="215"/>
      <c r="AD16" s="330" t="s">
        <v>52</v>
      </c>
      <c r="AE16" s="215"/>
      <c r="AF16" s="215"/>
      <c r="AG16" s="215"/>
      <c r="AH16" s="155"/>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row>
    <row r="17" spans="1:87" ht="24" customHeight="1" x14ac:dyDescent="0.25">
      <c r="A17" s="142"/>
      <c r="B17" s="291" t="s">
        <v>53</v>
      </c>
      <c r="C17" s="215"/>
      <c r="D17" s="154"/>
      <c r="E17" s="154" t="s">
        <v>54</v>
      </c>
      <c r="F17" s="154" t="s">
        <v>55</v>
      </c>
      <c r="G17" s="129"/>
      <c r="H17" s="129"/>
      <c r="I17" s="129" t="s">
        <v>56</v>
      </c>
      <c r="J17" s="129"/>
      <c r="K17" s="129"/>
      <c r="L17" s="129"/>
      <c r="M17" s="156"/>
      <c r="N17" s="129"/>
      <c r="O17" s="301" t="s">
        <v>57</v>
      </c>
      <c r="P17" s="215"/>
      <c r="Q17" s="154"/>
      <c r="R17" s="291" t="s">
        <v>58</v>
      </c>
      <c r="S17" s="215"/>
      <c r="T17" s="215"/>
      <c r="U17" s="215"/>
      <c r="V17" s="129"/>
      <c r="W17" s="291" t="s">
        <v>59</v>
      </c>
      <c r="X17" s="215"/>
      <c r="Y17" s="215"/>
      <c r="Z17" s="215"/>
      <c r="AA17" s="291" t="s">
        <v>60</v>
      </c>
      <c r="AB17" s="215"/>
      <c r="AC17" s="215"/>
      <c r="AD17" s="291" t="s">
        <v>61</v>
      </c>
      <c r="AE17" s="215"/>
      <c r="AF17" s="215"/>
      <c r="AG17" s="215"/>
      <c r="AH17" s="156"/>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row>
    <row r="18" spans="1:87" ht="6" customHeight="1" thickBot="1" x14ac:dyDescent="0.3">
      <c r="A18" s="142"/>
      <c r="B18" s="129"/>
      <c r="C18" s="129"/>
      <c r="D18" s="129"/>
      <c r="E18" s="129"/>
      <c r="F18" s="129"/>
      <c r="G18" s="129"/>
      <c r="H18" s="129"/>
      <c r="I18" s="129"/>
      <c r="J18" s="129"/>
      <c r="K18" s="129"/>
      <c r="L18" s="129"/>
      <c r="M18" s="156"/>
      <c r="N18" s="129"/>
      <c r="O18" s="142"/>
      <c r="P18" s="129"/>
      <c r="Q18" s="129"/>
      <c r="R18" s="129"/>
      <c r="S18" s="129"/>
      <c r="T18" s="129"/>
      <c r="U18" s="129"/>
      <c r="V18" s="129"/>
      <c r="W18" s="129"/>
      <c r="X18" s="129"/>
      <c r="Y18" s="129"/>
      <c r="Z18" s="129"/>
      <c r="AA18" s="129"/>
      <c r="AB18" s="129"/>
      <c r="AC18" s="129"/>
      <c r="AD18" s="129"/>
      <c r="AE18" s="129"/>
      <c r="AF18" s="129"/>
      <c r="AG18" s="129"/>
      <c r="AH18" s="156"/>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row>
    <row r="19" spans="1:87" ht="34.5" customHeight="1" thickBot="1" x14ac:dyDescent="0.3">
      <c r="A19" s="142"/>
      <c r="B19" s="254" t="s">
        <v>62</v>
      </c>
      <c r="C19" s="213"/>
      <c r="D19" s="213"/>
      <c r="E19" s="213"/>
      <c r="F19" s="213"/>
      <c r="G19" s="213"/>
      <c r="H19" s="224"/>
      <c r="I19" s="129"/>
      <c r="J19" s="309" t="s">
        <v>63</v>
      </c>
      <c r="K19" s="215"/>
      <c r="L19" s="215"/>
      <c r="M19" s="158"/>
      <c r="N19" s="129"/>
      <c r="O19" s="223" t="s">
        <v>62</v>
      </c>
      <c r="P19" s="224"/>
      <c r="Q19" s="16">
        <v>10</v>
      </c>
      <c r="R19" s="17">
        <v>25</v>
      </c>
      <c r="S19" s="18">
        <v>56</v>
      </c>
      <c r="T19" s="129"/>
      <c r="U19" s="320" t="s">
        <v>64</v>
      </c>
      <c r="V19" s="224"/>
      <c r="W19" s="308" t="e">
        <f ca="1">_xludf.CONCAT(Q19," "," ",AK1)</f>
        <v>#NAME?</v>
      </c>
      <c r="X19" s="208"/>
      <c r="Y19" s="208"/>
      <c r="Z19" s="219"/>
      <c r="AA19" s="308" t="e">
        <f ca="1">_xludf.CONCAT(R19," "," ",AK1)</f>
        <v>#NAME?</v>
      </c>
      <c r="AB19" s="208"/>
      <c r="AC19" s="208"/>
      <c r="AD19" s="208"/>
      <c r="AE19" s="308" t="e">
        <f ca="1">_xludf.CONCAT(S19," "," ",AK1)</f>
        <v>#NAME?</v>
      </c>
      <c r="AF19" s="208"/>
      <c r="AG19" s="219"/>
      <c r="AH19" s="182"/>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row>
    <row r="20" spans="1:87" ht="24.75" customHeight="1" thickBot="1" x14ac:dyDescent="0.3">
      <c r="A20" s="142"/>
      <c r="B20" s="282" t="s">
        <v>65</v>
      </c>
      <c r="C20" s="250"/>
      <c r="D20" s="233"/>
      <c r="E20" s="19"/>
      <c r="F20" s="19"/>
      <c r="G20" s="19"/>
      <c r="H20" s="20"/>
      <c r="I20" s="129"/>
      <c r="J20" s="309" t="s">
        <v>66</v>
      </c>
      <c r="K20" s="215"/>
      <c r="L20" s="215"/>
      <c r="M20" s="158" t="b">
        <f>IF(M19=" ","-",IF(M19=" ","-",IF(M19=AX4,AW4,IF(M19=AX3,AW3))))</f>
        <v>0</v>
      </c>
      <c r="N20" s="129"/>
      <c r="O20" s="323" t="s">
        <v>67</v>
      </c>
      <c r="P20" s="233"/>
      <c r="Q20" s="19"/>
      <c r="R20" s="19"/>
      <c r="S20" s="20"/>
      <c r="T20" s="129"/>
      <c r="U20" s="321"/>
      <c r="V20" s="322"/>
      <c r="W20" s="289" t="s">
        <v>68</v>
      </c>
      <c r="X20" s="219"/>
      <c r="Y20" s="289" t="s">
        <v>69</v>
      </c>
      <c r="Z20" s="219"/>
      <c r="AA20" s="289" t="s">
        <v>70</v>
      </c>
      <c r="AB20" s="219"/>
      <c r="AC20" s="289" t="s">
        <v>69</v>
      </c>
      <c r="AD20" s="219"/>
      <c r="AE20" s="289" t="s">
        <v>70</v>
      </c>
      <c r="AF20" s="219"/>
      <c r="AG20" s="21" t="s">
        <v>69</v>
      </c>
      <c r="AH20" s="156"/>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row>
    <row r="21" spans="1:87" ht="24.75" customHeight="1" x14ac:dyDescent="0.25">
      <c r="A21" s="142"/>
      <c r="B21" s="274" t="s">
        <v>71</v>
      </c>
      <c r="C21" s="231"/>
      <c r="D21" s="206"/>
      <c r="E21" s="6"/>
      <c r="F21" s="6"/>
      <c r="G21" s="6"/>
      <c r="H21" s="22"/>
      <c r="I21" s="129"/>
      <c r="J21" s="309" t="s">
        <v>72</v>
      </c>
      <c r="K21" s="215"/>
      <c r="L21" s="215"/>
      <c r="M21" s="158"/>
      <c r="N21" s="129"/>
      <c r="O21" s="205" t="s">
        <v>73</v>
      </c>
      <c r="P21" s="206"/>
      <c r="Q21" s="6"/>
      <c r="R21" s="6"/>
      <c r="S21" s="22"/>
      <c r="T21" s="129"/>
      <c r="U21" s="23" t="s">
        <v>74</v>
      </c>
      <c r="V21" s="24" t="s">
        <v>75</v>
      </c>
      <c r="W21" s="288" t="s">
        <v>76</v>
      </c>
      <c r="X21" s="233"/>
      <c r="Y21" s="288" t="s">
        <v>77</v>
      </c>
      <c r="Z21" s="233"/>
      <c r="AA21" s="288" t="s">
        <v>76</v>
      </c>
      <c r="AB21" s="233"/>
      <c r="AC21" s="288" t="s">
        <v>77</v>
      </c>
      <c r="AD21" s="233"/>
      <c r="AE21" s="288" t="s">
        <v>76</v>
      </c>
      <c r="AF21" s="233"/>
      <c r="AG21" s="25" t="s">
        <v>77</v>
      </c>
      <c r="AH21" s="156"/>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row>
    <row r="22" spans="1:87" ht="24.75" customHeight="1" thickBot="1" x14ac:dyDescent="0.3">
      <c r="A22" s="142"/>
      <c r="B22" s="331" t="s">
        <v>78</v>
      </c>
      <c r="C22" s="231"/>
      <c r="D22" s="206"/>
      <c r="E22" s="6"/>
      <c r="F22" s="6"/>
      <c r="G22" s="6"/>
      <c r="H22" s="22"/>
      <c r="I22" s="129"/>
      <c r="J22" s="309"/>
      <c r="K22" s="215"/>
      <c r="L22" s="215"/>
      <c r="M22" s="156"/>
      <c r="N22" s="129"/>
      <c r="O22" s="205" t="s">
        <v>79</v>
      </c>
      <c r="P22" s="206"/>
      <c r="Q22" s="6"/>
      <c r="R22" s="6"/>
      <c r="S22" s="26"/>
      <c r="T22" s="129"/>
      <c r="U22" s="27">
        <v>5.0000000000000001E-3</v>
      </c>
      <c r="V22" s="28">
        <f t="shared" ref="V22:V26" si="4">U22*25.4</f>
        <v>0.127</v>
      </c>
      <c r="W22" s="283"/>
      <c r="X22" s="206"/>
      <c r="Y22" s="284">
        <f t="shared" ref="Y22:Y25" si="5">((W22/19.32)*10)</f>
        <v>0</v>
      </c>
      <c r="Z22" s="206"/>
      <c r="AA22" s="283"/>
      <c r="AB22" s="206"/>
      <c r="AC22" s="284">
        <f t="shared" ref="AC22:AC25" si="6">((AB22/19.32)*10)</f>
        <v>0</v>
      </c>
      <c r="AD22" s="206"/>
      <c r="AE22" s="283"/>
      <c r="AF22" s="206"/>
      <c r="AG22" s="29">
        <f t="shared" ref="AG22:AG25" si="7">((AF22/19.32)*10)</f>
        <v>0</v>
      </c>
      <c r="AH22" s="156"/>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row>
    <row r="23" spans="1:87" ht="24.75" customHeight="1" x14ac:dyDescent="0.25">
      <c r="A23" s="142"/>
      <c r="B23" s="274" t="s">
        <v>80</v>
      </c>
      <c r="C23" s="231"/>
      <c r="D23" s="206"/>
      <c r="E23" s="6"/>
      <c r="F23" s="6"/>
      <c r="G23" s="6"/>
      <c r="H23" s="22"/>
      <c r="I23" s="129"/>
      <c r="J23" s="313" t="s">
        <v>81</v>
      </c>
      <c r="K23" s="213"/>
      <c r="L23" s="213"/>
      <c r="M23" s="255"/>
      <c r="N23" s="129"/>
      <c r="O23" s="205" t="s">
        <v>82</v>
      </c>
      <c r="P23" s="206"/>
      <c r="Q23" s="6"/>
      <c r="R23" s="6"/>
      <c r="S23" s="22"/>
      <c r="T23" s="129"/>
      <c r="U23" s="27">
        <v>2.5000000000000001E-2</v>
      </c>
      <c r="V23" s="28">
        <f t="shared" si="4"/>
        <v>0.63500000000000001</v>
      </c>
      <c r="W23" s="283"/>
      <c r="X23" s="206"/>
      <c r="Y23" s="284">
        <f t="shared" si="5"/>
        <v>0</v>
      </c>
      <c r="Z23" s="206"/>
      <c r="AA23" s="283"/>
      <c r="AB23" s="206"/>
      <c r="AC23" s="284">
        <f t="shared" si="6"/>
        <v>0</v>
      </c>
      <c r="AD23" s="206"/>
      <c r="AE23" s="283"/>
      <c r="AF23" s="206"/>
      <c r="AG23" s="29">
        <f t="shared" si="7"/>
        <v>0</v>
      </c>
      <c r="AH23" s="156"/>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row>
    <row r="24" spans="1:87" ht="24.75" customHeight="1" thickBot="1" x14ac:dyDescent="0.3">
      <c r="A24" s="142"/>
      <c r="B24" s="274" t="s">
        <v>83</v>
      </c>
      <c r="C24" s="231"/>
      <c r="D24" s="206"/>
      <c r="E24" s="6"/>
      <c r="F24" s="6"/>
      <c r="G24" s="6"/>
      <c r="H24" s="22"/>
      <c r="I24" s="129"/>
      <c r="J24" s="314"/>
      <c r="K24" s="295"/>
      <c r="L24" s="295"/>
      <c r="M24" s="312"/>
      <c r="N24" s="129"/>
      <c r="O24" s="287" t="s">
        <v>84</v>
      </c>
      <c r="P24" s="206"/>
      <c r="Q24" s="6"/>
      <c r="R24" s="6"/>
      <c r="S24" s="22"/>
      <c r="T24" s="129"/>
      <c r="U24" s="27">
        <v>0.05</v>
      </c>
      <c r="V24" s="28">
        <f t="shared" si="4"/>
        <v>1.27</v>
      </c>
      <c r="W24" s="283"/>
      <c r="X24" s="206"/>
      <c r="Y24" s="284">
        <f t="shared" si="5"/>
        <v>0</v>
      </c>
      <c r="Z24" s="206"/>
      <c r="AA24" s="283"/>
      <c r="AB24" s="206"/>
      <c r="AC24" s="284">
        <f t="shared" si="6"/>
        <v>0</v>
      </c>
      <c r="AD24" s="206"/>
      <c r="AE24" s="283"/>
      <c r="AF24" s="206"/>
      <c r="AG24" s="29">
        <f t="shared" si="7"/>
        <v>0</v>
      </c>
      <c r="AH24" s="156"/>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row>
    <row r="25" spans="1:87" ht="24.75" customHeight="1" thickBot="1" x14ac:dyDescent="0.3">
      <c r="A25" s="142"/>
      <c r="B25" s="332" t="s">
        <v>85</v>
      </c>
      <c r="C25" s="217"/>
      <c r="D25" s="204"/>
      <c r="E25" s="30">
        <f t="shared" ref="E25:H25" si="8">E22-E23</f>
        <v>0</v>
      </c>
      <c r="F25" s="30">
        <f t="shared" si="8"/>
        <v>0</v>
      </c>
      <c r="G25" s="30">
        <f t="shared" si="8"/>
        <v>0</v>
      </c>
      <c r="H25" s="31">
        <f t="shared" si="8"/>
        <v>0</v>
      </c>
      <c r="I25" s="129"/>
      <c r="J25" s="129" t="s">
        <v>86</v>
      </c>
      <c r="K25" s="129"/>
      <c r="L25" s="137"/>
      <c r="M25" s="159"/>
      <c r="N25" s="129"/>
      <c r="O25" s="325" t="s">
        <v>87</v>
      </c>
      <c r="P25" s="235"/>
      <c r="Q25" s="237"/>
      <c r="R25" s="237"/>
      <c r="S25" s="239"/>
      <c r="T25" s="129"/>
      <c r="U25" s="27">
        <v>7.4999999999999997E-2</v>
      </c>
      <c r="V25" s="28">
        <f t="shared" si="4"/>
        <v>1.9049999999999998</v>
      </c>
      <c r="W25" s="283"/>
      <c r="X25" s="206"/>
      <c r="Y25" s="284">
        <f t="shared" si="5"/>
        <v>0</v>
      </c>
      <c r="Z25" s="206"/>
      <c r="AA25" s="283"/>
      <c r="AB25" s="206"/>
      <c r="AC25" s="284">
        <f t="shared" si="6"/>
        <v>0</v>
      </c>
      <c r="AD25" s="206"/>
      <c r="AE25" s="283"/>
      <c r="AF25" s="206"/>
      <c r="AG25" s="29">
        <f t="shared" si="7"/>
        <v>0</v>
      </c>
      <c r="AH25" s="156"/>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row>
    <row r="26" spans="1:87" ht="4.5" customHeight="1" thickBot="1" x14ac:dyDescent="0.3">
      <c r="A26" s="142"/>
      <c r="B26" s="129"/>
      <c r="C26" s="129"/>
      <c r="D26" s="129"/>
      <c r="E26" s="129"/>
      <c r="F26" s="129"/>
      <c r="G26" s="129"/>
      <c r="H26" s="129"/>
      <c r="I26" s="129"/>
      <c r="J26" s="309" t="s">
        <v>88</v>
      </c>
      <c r="K26" s="215"/>
      <c r="L26" s="310" t="s">
        <v>89</v>
      </c>
      <c r="M26" s="311" t="str">
        <f>IF(M25="","",M25)</f>
        <v/>
      </c>
      <c r="N26" s="129"/>
      <c r="O26" s="236"/>
      <c r="P26" s="222"/>
      <c r="Q26" s="238"/>
      <c r="R26" s="238"/>
      <c r="S26" s="240"/>
      <c r="T26" s="129"/>
      <c r="U26" s="285">
        <v>0.1</v>
      </c>
      <c r="V26" s="315">
        <f t="shared" si="4"/>
        <v>2.54</v>
      </c>
      <c r="W26" s="316"/>
      <c r="X26" s="235"/>
      <c r="Y26" s="318">
        <f>((W27/19.32)*10)</f>
        <v>0</v>
      </c>
      <c r="Z26" s="235"/>
      <c r="AA26" s="316"/>
      <c r="AB26" s="235"/>
      <c r="AC26" s="318">
        <f>((AB27/19.32)*10)</f>
        <v>0</v>
      </c>
      <c r="AD26" s="235"/>
      <c r="AE26" s="319"/>
      <c r="AF26" s="235"/>
      <c r="AG26" s="324">
        <f>((AF27/19.32)*10)</f>
        <v>0</v>
      </c>
      <c r="AH26" s="156"/>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row>
    <row r="27" spans="1:87" ht="19.5" customHeight="1" thickBot="1" x14ac:dyDescent="0.3">
      <c r="A27" s="142"/>
      <c r="B27" s="254" t="s">
        <v>90</v>
      </c>
      <c r="C27" s="213"/>
      <c r="D27" s="213"/>
      <c r="E27" s="213"/>
      <c r="F27" s="213"/>
      <c r="G27" s="213"/>
      <c r="H27" s="224"/>
      <c r="I27" s="129"/>
      <c r="J27" s="215"/>
      <c r="K27" s="215"/>
      <c r="L27" s="215"/>
      <c r="M27" s="312"/>
      <c r="N27" s="129"/>
      <c r="O27" s="287" t="s">
        <v>91</v>
      </c>
      <c r="P27" s="206"/>
      <c r="Q27" s="6"/>
      <c r="R27" s="6"/>
      <c r="S27" s="22"/>
      <c r="T27" s="129"/>
      <c r="U27" s="286"/>
      <c r="V27" s="238"/>
      <c r="W27" s="317"/>
      <c r="X27" s="222"/>
      <c r="Y27" s="317"/>
      <c r="Z27" s="222"/>
      <c r="AA27" s="317"/>
      <c r="AB27" s="222"/>
      <c r="AC27" s="317"/>
      <c r="AD27" s="222"/>
      <c r="AE27" s="317"/>
      <c r="AF27" s="222"/>
      <c r="AG27" s="240"/>
      <c r="AH27" s="183"/>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row>
    <row r="28" spans="1:87" ht="24.75" customHeight="1" thickBot="1" x14ac:dyDescent="0.3">
      <c r="A28" s="142"/>
      <c r="B28" s="282" t="s">
        <v>92</v>
      </c>
      <c r="C28" s="250"/>
      <c r="D28" s="233"/>
      <c r="E28" s="19"/>
      <c r="F28" s="19"/>
      <c r="G28" s="19"/>
      <c r="H28" s="20"/>
      <c r="I28" s="129"/>
      <c r="J28" s="309" t="s">
        <v>93</v>
      </c>
      <c r="K28" s="215"/>
      <c r="L28" s="339" t="s">
        <v>94</v>
      </c>
      <c r="M28" s="424" t="str">
        <f>IF(M26="","",(100-M26))</f>
        <v/>
      </c>
      <c r="N28" s="129"/>
      <c r="O28" s="425" t="s">
        <v>95</v>
      </c>
      <c r="P28" s="204"/>
      <c r="Q28" s="30">
        <f t="shared" ref="Q28:S28" si="9">Q22-Q23</f>
        <v>0</v>
      </c>
      <c r="R28" s="30">
        <f t="shared" si="9"/>
        <v>0</v>
      </c>
      <c r="S28" s="32">
        <f t="shared" si="9"/>
        <v>0</v>
      </c>
      <c r="T28" s="129"/>
      <c r="U28" s="376">
        <v>0.125</v>
      </c>
      <c r="V28" s="423">
        <f>U28*25.4</f>
        <v>3.1749999999999998</v>
      </c>
      <c r="W28" s="316"/>
      <c r="X28" s="235"/>
      <c r="Y28" s="318">
        <f>((W29/19.32)*10)</f>
        <v>0</v>
      </c>
      <c r="Z28" s="235"/>
      <c r="AA28" s="316"/>
      <c r="AB28" s="235"/>
      <c r="AC28" s="318">
        <f>((AB29/19.32)*10)</f>
        <v>0</v>
      </c>
      <c r="AD28" s="235"/>
      <c r="AE28" s="316"/>
      <c r="AF28" s="235"/>
      <c r="AG28" s="422">
        <f>((AF29/19.32)*10)</f>
        <v>0</v>
      </c>
      <c r="AH28" s="156"/>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row>
    <row r="29" spans="1:87" ht="4.5" customHeight="1" thickBot="1" x14ac:dyDescent="0.3">
      <c r="A29" s="142"/>
      <c r="B29" s="370" t="s">
        <v>96</v>
      </c>
      <c r="C29" s="371"/>
      <c r="D29" s="235"/>
      <c r="E29" s="373"/>
      <c r="F29" s="373"/>
      <c r="G29" s="373"/>
      <c r="H29" s="374"/>
      <c r="I29" s="129"/>
      <c r="J29" s="215"/>
      <c r="K29" s="215"/>
      <c r="L29" s="215"/>
      <c r="M29" s="312"/>
      <c r="N29" s="129"/>
      <c r="O29" s="153"/>
      <c r="P29" s="136"/>
      <c r="Q29" s="129"/>
      <c r="R29" s="129"/>
      <c r="S29" s="129"/>
      <c r="T29" s="129"/>
      <c r="U29" s="286"/>
      <c r="V29" s="238"/>
      <c r="W29" s="317"/>
      <c r="X29" s="222"/>
      <c r="Y29" s="317"/>
      <c r="Z29" s="222"/>
      <c r="AA29" s="317"/>
      <c r="AB29" s="222"/>
      <c r="AC29" s="317"/>
      <c r="AD29" s="222"/>
      <c r="AE29" s="317"/>
      <c r="AF29" s="222"/>
      <c r="AG29" s="240"/>
      <c r="AH29" s="183"/>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row>
    <row r="30" spans="1:87" ht="24.75" customHeight="1" thickBot="1" x14ac:dyDescent="0.3">
      <c r="A30" s="142"/>
      <c r="B30" s="372"/>
      <c r="C30" s="221"/>
      <c r="D30" s="222"/>
      <c r="E30" s="238"/>
      <c r="F30" s="238"/>
      <c r="G30" s="238"/>
      <c r="H30" s="240"/>
      <c r="I30" s="129"/>
      <c r="J30" s="129" t="s">
        <v>97</v>
      </c>
      <c r="K30" s="129"/>
      <c r="L30" s="137" t="s">
        <v>98</v>
      </c>
      <c r="M30" s="161" t="str">
        <f>IF(M25="","",(M37*1000*9.81/1000))</f>
        <v/>
      </c>
      <c r="N30" s="129"/>
      <c r="O30" s="232" t="s">
        <v>99</v>
      </c>
      <c r="P30" s="233"/>
      <c r="Q30" s="19" t="e">
        <f t="shared" ref="Q30:S30" si="10">Q28/Q27</f>
        <v>#DIV/0!</v>
      </c>
      <c r="R30" s="19" t="e">
        <f t="shared" si="10"/>
        <v>#DIV/0!</v>
      </c>
      <c r="S30" s="20" t="e">
        <f t="shared" si="10"/>
        <v>#DIV/0!</v>
      </c>
      <c r="T30" s="129"/>
      <c r="U30" s="27">
        <v>0.15</v>
      </c>
      <c r="V30" s="28">
        <f t="shared" ref="V30:V31" si="11">U30*25.4</f>
        <v>3.8099999999999996</v>
      </c>
      <c r="W30" s="283"/>
      <c r="X30" s="206"/>
      <c r="Y30" s="284">
        <f>((W30/19.32)*10)</f>
        <v>0</v>
      </c>
      <c r="Z30" s="206"/>
      <c r="AA30" s="283"/>
      <c r="AB30" s="206"/>
      <c r="AC30" s="284">
        <f>((AB30/19.32)*10)</f>
        <v>0</v>
      </c>
      <c r="AD30" s="206"/>
      <c r="AE30" s="283"/>
      <c r="AF30" s="206"/>
      <c r="AG30" s="29">
        <f>((AF30/19.32)*10)</f>
        <v>0</v>
      </c>
      <c r="AH30" s="156"/>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row>
    <row r="31" spans="1:87" ht="24.75" customHeight="1" thickBot="1" x14ac:dyDescent="0.3">
      <c r="A31" s="142"/>
      <c r="B31" s="331" t="s">
        <v>100</v>
      </c>
      <c r="C31" s="231"/>
      <c r="D31" s="206"/>
      <c r="E31" s="33"/>
      <c r="F31" s="33"/>
      <c r="G31" s="33"/>
      <c r="H31" s="26"/>
      <c r="I31" s="129"/>
      <c r="J31" s="309" t="s">
        <v>101</v>
      </c>
      <c r="K31" s="215"/>
      <c r="L31" s="339" t="s">
        <v>102</v>
      </c>
      <c r="M31" s="415" t="str">
        <f>IF(M25="","",S82)</f>
        <v/>
      </c>
      <c r="N31" s="135"/>
      <c r="O31" s="203" t="s">
        <v>103</v>
      </c>
      <c r="P31" s="204"/>
      <c r="Q31" s="34" t="e">
        <f t="shared" ref="Q31:S31" si="12">Q30/(1+Q40/100)</f>
        <v>#DIV/0!</v>
      </c>
      <c r="R31" s="34" t="e">
        <f t="shared" si="12"/>
        <v>#DIV/0!</v>
      </c>
      <c r="S31" s="35" t="e">
        <f t="shared" si="12"/>
        <v>#DIV/0!</v>
      </c>
      <c r="T31" s="129"/>
      <c r="U31" s="376">
        <v>0.17499999999999999</v>
      </c>
      <c r="V31" s="423">
        <f t="shared" si="11"/>
        <v>4.4449999999999994</v>
      </c>
      <c r="W31" s="316"/>
      <c r="X31" s="235"/>
      <c r="Y31" s="318">
        <f>((W32/19.32)*10)</f>
        <v>0</v>
      </c>
      <c r="Z31" s="235"/>
      <c r="AA31" s="316"/>
      <c r="AB31" s="235"/>
      <c r="AC31" s="318">
        <f>((AB32/19.32)*10)</f>
        <v>0</v>
      </c>
      <c r="AD31" s="235"/>
      <c r="AE31" s="316"/>
      <c r="AF31" s="235"/>
      <c r="AG31" s="422">
        <f>((AF32/19.32)*10)</f>
        <v>0</v>
      </c>
      <c r="AH31" s="156"/>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row>
    <row r="32" spans="1:87" ht="4.5" customHeight="1" thickBot="1" x14ac:dyDescent="0.3">
      <c r="A32" s="142"/>
      <c r="B32" s="370" t="s">
        <v>104</v>
      </c>
      <c r="C32" s="371"/>
      <c r="D32" s="235"/>
      <c r="E32" s="373"/>
      <c r="F32" s="373"/>
      <c r="G32" s="373"/>
      <c r="H32" s="374"/>
      <c r="I32" s="129"/>
      <c r="J32" s="215"/>
      <c r="K32" s="215"/>
      <c r="L32" s="215"/>
      <c r="M32" s="312"/>
      <c r="N32" s="135"/>
      <c r="O32" s="184"/>
      <c r="P32" s="163"/>
      <c r="Q32" s="185"/>
      <c r="R32" s="185"/>
      <c r="S32" s="185"/>
      <c r="T32" s="129"/>
      <c r="U32" s="286"/>
      <c r="V32" s="238"/>
      <c r="W32" s="317"/>
      <c r="X32" s="222"/>
      <c r="Y32" s="317"/>
      <c r="Z32" s="222"/>
      <c r="AA32" s="317"/>
      <c r="AB32" s="222"/>
      <c r="AC32" s="317"/>
      <c r="AD32" s="222"/>
      <c r="AE32" s="317"/>
      <c r="AF32" s="222"/>
      <c r="AG32" s="240"/>
      <c r="AH32" s="183"/>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row>
    <row r="33" spans="1:87" ht="24.75" customHeight="1" thickBot="1" x14ac:dyDescent="0.3">
      <c r="A33" s="142"/>
      <c r="B33" s="372"/>
      <c r="C33" s="221"/>
      <c r="D33" s="222"/>
      <c r="E33" s="238"/>
      <c r="F33" s="238"/>
      <c r="G33" s="238"/>
      <c r="H33" s="240"/>
      <c r="I33" s="129"/>
      <c r="J33" s="414" t="s">
        <v>105</v>
      </c>
      <c r="K33" s="215"/>
      <c r="L33" s="137" t="s">
        <v>106</v>
      </c>
      <c r="M33" s="160" t="str">
        <f>IF(M25="","",O73)</f>
        <v/>
      </c>
      <c r="N33" s="136"/>
      <c r="O33" s="410" t="s">
        <v>90</v>
      </c>
      <c r="P33" s="208"/>
      <c r="Q33" s="208"/>
      <c r="R33" s="208"/>
      <c r="S33" s="219"/>
      <c r="T33" s="129"/>
      <c r="U33" s="37">
        <v>0.2</v>
      </c>
      <c r="V33" s="38">
        <f t="shared" ref="V33:V35" si="13">U33*25.4</f>
        <v>5.08</v>
      </c>
      <c r="W33" s="283"/>
      <c r="X33" s="206"/>
      <c r="Y33" s="284">
        <f t="shared" ref="Y33:Y35" si="14">((W33/19.32)*10)</f>
        <v>0</v>
      </c>
      <c r="Z33" s="206"/>
      <c r="AA33" s="283"/>
      <c r="AB33" s="206"/>
      <c r="AC33" s="284">
        <f t="shared" ref="AC33:AC34" si="15">((AB33/19.32)*10)</f>
        <v>0</v>
      </c>
      <c r="AD33" s="206"/>
      <c r="AE33" s="421"/>
      <c r="AF33" s="206"/>
      <c r="AG33" s="39">
        <f t="shared" ref="AG33:AG35" si="16">((AF33/19.32)*10)</f>
        <v>0</v>
      </c>
      <c r="AH33" s="156"/>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row>
    <row r="34" spans="1:87" ht="24.75" customHeight="1" thickBot="1" x14ac:dyDescent="0.3">
      <c r="A34" s="142"/>
      <c r="B34" s="332" t="s">
        <v>107</v>
      </c>
      <c r="C34" s="217"/>
      <c r="D34" s="204"/>
      <c r="E34" s="40" t="e">
        <f t="shared" ref="E34:H34" si="17">((E29-E31)/(E31-E32))*100</f>
        <v>#DIV/0!</v>
      </c>
      <c r="F34" s="40" t="e">
        <f t="shared" si="17"/>
        <v>#DIV/0!</v>
      </c>
      <c r="G34" s="40" t="e">
        <f t="shared" si="17"/>
        <v>#DIV/0!</v>
      </c>
      <c r="H34" s="32" t="e">
        <f t="shared" si="17"/>
        <v>#DIV/0!</v>
      </c>
      <c r="I34" s="129"/>
      <c r="J34" s="309" t="s">
        <v>108</v>
      </c>
      <c r="K34" s="215"/>
      <c r="L34" s="137" t="s">
        <v>109</v>
      </c>
      <c r="M34" s="162" t="str">
        <f>D78</f>
        <v/>
      </c>
      <c r="N34" s="137"/>
      <c r="O34" s="411" t="s">
        <v>92</v>
      </c>
      <c r="P34" s="222"/>
      <c r="Q34" s="42"/>
      <c r="R34" s="42"/>
      <c r="S34" s="43"/>
      <c r="T34" s="129"/>
      <c r="U34" s="27">
        <v>0.3</v>
      </c>
      <c r="V34" s="28">
        <f t="shared" si="13"/>
        <v>7.6199999999999992</v>
      </c>
      <c r="W34" s="283"/>
      <c r="X34" s="206"/>
      <c r="Y34" s="284">
        <f t="shared" si="14"/>
        <v>0</v>
      </c>
      <c r="Z34" s="206"/>
      <c r="AA34" s="283"/>
      <c r="AB34" s="206"/>
      <c r="AC34" s="284">
        <f t="shared" si="15"/>
        <v>0</v>
      </c>
      <c r="AD34" s="206"/>
      <c r="AE34" s="283"/>
      <c r="AF34" s="206"/>
      <c r="AG34" s="29">
        <f t="shared" si="16"/>
        <v>0</v>
      </c>
      <c r="AH34" s="156"/>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row>
    <row r="35" spans="1:87" ht="4.5" customHeight="1" thickBot="1" x14ac:dyDescent="0.3">
      <c r="A35" s="142"/>
      <c r="B35" s="163"/>
      <c r="C35" s="163"/>
      <c r="D35" s="163"/>
      <c r="E35" s="138"/>
      <c r="F35" s="138"/>
      <c r="G35" s="138"/>
      <c r="H35" s="138"/>
      <c r="I35" s="129"/>
      <c r="J35" s="129"/>
      <c r="K35" s="129"/>
      <c r="L35" s="137"/>
      <c r="M35" s="164"/>
      <c r="N35" s="137"/>
      <c r="O35" s="234" t="s">
        <v>110</v>
      </c>
      <c r="P35" s="235"/>
      <c r="Q35" s="237"/>
      <c r="R35" s="237"/>
      <c r="S35" s="239"/>
      <c r="T35" s="129"/>
      <c r="U35" s="376">
        <v>0.4</v>
      </c>
      <c r="V35" s="423">
        <f t="shared" si="13"/>
        <v>10.16</v>
      </c>
      <c r="W35" s="316"/>
      <c r="X35" s="235"/>
      <c r="Y35" s="318">
        <f t="shared" si="14"/>
        <v>0</v>
      </c>
      <c r="Z35" s="235"/>
      <c r="AA35" s="316"/>
      <c r="AB35" s="235"/>
      <c r="AC35" s="318">
        <f>(AB35/19.32)*10</f>
        <v>0</v>
      </c>
      <c r="AD35" s="235"/>
      <c r="AE35" s="316"/>
      <c r="AF35" s="235"/>
      <c r="AG35" s="422">
        <f t="shared" si="16"/>
        <v>0</v>
      </c>
      <c r="AH35" s="156"/>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row>
    <row r="36" spans="1:87" ht="19.5" customHeight="1" thickBot="1" x14ac:dyDescent="0.3">
      <c r="A36" s="142"/>
      <c r="B36" s="413" t="s">
        <v>111</v>
      </c>
      <c r="C36" s="250"/>
      <c r="D36" s="233"/>
      <c r="E36" s="45" t="e">
        <f t="shared" ref="E36:H36" si="18">E25/E24</f>
        <v>#DIV/0!</v>
      </c>
      <c r="F36" s="45" t="e">
        <f t="shared" si="18"/>
        <v>#DIV/0!</v>
      </c>
      <c r="G36" s="45" t="e">
        <f t="shared" si="18"/>
        <v>#DIV/0!</v>
      </c>
      <c r="H36" s="46" t="e">
        <f t="shared" si="18"/>
        <v>#DIV/0!</v>
      </c>
      <c r="I36" s="129"/>
      <c r="J36" s="218" t="s">
        <v>112</v>
      </c>
      <c r="K36" s="208"/>
      <c r="L36" s="208"/>
      <c r="M36" s="270"/>
      <c r="N36" s="136"/>
      <c r="O36" s="236"/>
      <c r="P36" s="222"/>
      <c r="Q36" s="238"/>
      <c r="R36" s="238"/>
      <c r="S36" s="240"/>
      <c r="T36" s="129"/>
      <c r="U36" s="286"/>
      <c r="V36" s="238"/>
      <c r="W36" s="317"/>
      <c r="X36" s="222"/>
      <c r="Y36" s="317"/>
      <c r="Z36" s="222"/>
      <c r="AA36" s="317"/>
      <c r="AB36" s="222"/>
      <c r="AC36" s="317"/>
      <c r="AD36" s="222"/>
      <c r="AE36" s="317"/>
      <c r="AF36" s="222"/>
      <c r="AG36" s="240"/>
      <c r="AH36" s="156"/>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row>
    <row r="37" spans="1:87" ht="24.75" customHeight="1" thickBot="1" x14ac:dyDescent="0.3">
      <c r="A37" s="142"/>
      <c r="B37" s="332" t="s">
        <v>113</v>
      </c>
      <c r="C37" s="217"/>
      <c r="D37" s="204"/>
      <c r="E37" s="34" t="e">
        <f t="shared" ref="E37:H37" si="19">E36/(1+E34/100)</f>
        <v>#DIV/0!</v>
      </c>
      <c r="F37" s="34" t="e">
        <f t="shared" si="19"/>
        <v>#DIV/0!</v>
      </c>
      <c r="G37" s="34" t="e">
        <f t="shared" si="19"/>
        <v>#DIV/0!</v>
      </c>
      <c r="H37" s="35" t="e">
        <f t="shared" si="19"/>
        <v>#DIV/0!</v>
      </c>
      <c r="I37" s="129"/>
      <c r="J37" s="418" t="s">
        <v>114</v>
      </c>
      <c r="K37" s="213"/>
      <c r="L37" s="419" t="s">
        <v>115</v>
      </c>
      <c r="M37" s="420" t="str">
        <f>IF(F74="","",(M42^2*F74+M42*F75+F76))</f>
        <v/>
      </c>
      <c r="N37" s="136"/>
      <c r="O37" s="205" t="s">
        <v>116</v>
      </c>
      <c r="P37" s="206"/>
      <c r="Q37" s="6"/>
      <c r="R37" s="6"/>
      <c r="S37" s="22"/>
      <c r="T37" s="129"/>
      <c r="U37" s="47">
        <v>0.5</v>
      </c>
      <c r="V37" s="48">
        <f>U37*25.4</f>
        <v>12.7</v>
      </c>
      <c r="W37" s="416"/>
      <c r="X37" s="204"/>
      <c r="Y37" s="417">
        <f>((W37/19.32)*10)</f>
        <v>0</v>
      </c>
      <c r="Z37" s="204"/>
      <c r="AA37" s="416"/>
      <c r="AB37" s="204"/>
      <c r="AC37" s="417">
        <f>((AB37/19.32)*10)</f>
        <v>0</v>
      </c>
      <c r="AD37" s="204"/>
      <c r="AE37" s="416"/>
      <c r="AF37" s="204"/>
      <c r="AG37" s="186">
        <f>((AF37/19.32)*10)</f>
        <v>0</v>
      </c>
      <c r="AH37" s="156"/>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row>
    <row r="38" spans="1:87" ht="7.5" customHeight="1" thickBot="1" x14ac:dyDescent="0.3">
      <c r="A38" s="142"/>
      <c r="B38" s="129"/>
      <c r="C38" s="129"/>
      <c r="D38" s="129"/>
      <c r="E38" s="129"/>
      <c r="F38" s="129"/>
      <c r="G38" s="129"/>
      <c r="H38" s="129"/>
      <c r="I38" s="129"/>
      <c r="J38" s="215"/>
      <c r="K38" s="215"/>
      <c r="L38" s="215"/>
      <c r="M38" s="312"/>
      <c r="N38" s="138"/>
      <c r="O38" s="234" t="s">
        <v>117</v>
      </c>
      <c r="P38" s="235"/>
      <c r="Q38" s="237"/>
      <c r="R38" s="237"/>
      <c r="S38" s="239"/>
      <c r="T38" s="129"/>
      <c r="U38" s="129"/>
      <c r="V38" s="129"/>
      <c r="W38" s="129"/>
      <c r="X38" s="129"/>
      <c r="Y38" s="129"/>
      <c r="Z38" s="129"/>
      <c r="AA38" s="129"/>
      <c r="AB38" s="129"/>
      <c r="AC38" s="129"/>
      <c r="AD38" s="129"/>
      <c r="AE38" s="129"/>
      <c r="AF38" s="129"/>
      <c r="AG38" s="129"/>
      <c r="AH38" s="156"/>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row>
    <row r="39" spans="1:87" ht="26.25" customHeight="1" thickBot="1" x14ac:dyDescent="0.3">
      <c r="A39" s="142"/>
      <c r="B39" s="129"/>
      <c r="C39" s="129"/>
      <c r="D39" s="129"/>
      <c r="E39" s="129"/>
      <c r="F39" s="129"/>
      <c r="G39" s="129"/>
      <c r="H39" s="129"/>
      <c r="I39" s="129"/>
      <c r="J39" s="309" t="s">
        <v>118</v>
      </c>
      <c r="K39" s="215"/>
      <c r="L39" s="135" t="s">
        <v>119</v>
      </c>
      <c r="M39" s="165" t="str">
        <f>IF(M41="-","-",IF(M37="","",(M37*M41)/M40))</f>
        <v>-</v>
      </c>
      <c r="N39" s="129"/>
      <c r="O39" s="236"/>
      <c r="P39" s="222"/>
      <c r="Q39" s="238"/>
      <c r="R39" s="238"/>
      <c r="S39" s="240"/>
      <c r="T39" s="129"/>
      <c r="U39" s="225"/>
      <c r="V39" s="219"/>
      <c r="W39" s="218">
        <v>12</v>
      </c>
      <c r="X39" s="208"/>
      <c r="Y39" s="208"/>
      <c r="Z39" s="208"/>
      <c r="AA39" s="218">
        <v>26</v>
      </c>
      <c r="AB39" s="208"/>
      <c r="AC39" s="219"/>
      <c r="AD39" s="248">
        <v>56</v>
      </c>
      <c r="AE39" s="208"/>
      <c r="AF39" s="208"/>
      <c r="AG39" s="219"/>
      <c r="AH39" s="187"/>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row>
    <row r="40" spans="1:87" ht="27" customHeight="1" thickBot="1" x14ac:dyDescent="0.3">
      <c r="A40" s="142"/>
      <c r="B40" s="129"/>
      <c r="C40" s="129"/>
      <c r="D40" s="129"/>
      <c r="E40" s="129"/>
      <c r="F40" s="129"/>
      <c r="G40" s="129"/>
      <c r="H40" s="129"/>
      <c r="I40" s="129"/>
      <c r="J40" s="309" t="s">
        <v>120</v>
      </c>
      <c r="K40" s="215"/>
      <c r="L40" s="135" t="s">
        <v>121</v>
      </c>
      <c r="M40" s="166" t="e">
        <f>M37*1000*9.81/1000</f>
        <v>#VALUE!</v>
      </c>
      <c r="N40" s="129"/>
      <c r="O40" s="203" t="s">
        <v>107</v>
      </c>
      <c r="P40" s="204"/>
      <c r="Q40" s="40" t="e">
        <f t="shared" ref="Q40:S40" si="20">((Q35-Q37)/(Q37-Q38))*100</f>
        <v>#DIV/0!</v>
      </c>
      <c r="R40" s="40" t="e">
        <f t="shared" si="20"/>
        <v>#DIV/0!</v>
      </c>
      <c r="S40" s="32" t="e">
        <f t="shared" si="20"/>
        <v>#DIV/0!</v>
      </c>
      <c r="T40" s="129"/>
      <c r="U40" s="226" t="s">
        <v>122</v>
      </c>
      <c r="V40" s="227"/>
      <c r="W40" s="220">
        <f>(AM79/6.9)*100</f>
        <v>0</v>
      </c>
      <c r="X40" s="221"/>
      <c r="Y40" s="221"/>
      <c r="Z40" s="222"/>
      <c r="AA40" s="249">
        <f>(AO79/6.9)*100</f>
        <v>0</v>
      </c>
      <c r="AB40" s="250"/>
      <c r="AC40" s="233"/>
      <c r="AD40" s="249">
        <f>(AQ79/6.9)*100</f>
        <v>0</v>
      </c>
      <c r="AE40" s="250"/>
      <c r="AF40" s="250"/>
      <c r="AG40" s="251"/>
      <c r="AH40" s="188"/>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row>
    <row r="41" spans="1:87" ht="27" customHeight="1" thickBot="1" x14ac:dyDescent="0.3">
      <c r="A41" s="142"/>
      <c r="B41" s="129"/>
      <c r="C41" s="129"/>
      <c r="D41" s="129"/>
      <c r="E41" s="129"/>
      <c r="F41" s="129"/>
      <c r="G41" s="129"/>
      <c r="H41" s="129"/>
      <c r="I41" s="129"/>
      <c r="J41" s="309" t="s">
        <v>123</v>
      </c>
      <c r="K41" s="215"/>
      <c r="L41" s="135" t="s">
        <v>121</v>
      </c>
      <c r="M41" s="166" t="str">
        <f>IF(M25&lt;=5,"-",IF(M25&gt;5,IF(M25="","",((100*M30*M33*M31)/(M30*M26+M31*M28*M33)))))</f>
        <v>-</v>
      </c>
      <c r="N41" s="139"/>
      <c r="O41" s="223" t="s">
        <v>124</v>
      </c>
      <c r="P41" s="213"/>
      <c r="Q41" s="213"/>
      <c r="R41" s="213"/>
      <c r="S41" s="224"/>
      <c r="T41" s="129"/>
      <c r="U41" s="228" t="s">
        <v>125</v>
      </c>
      <c r="V41" s="229"/>
      <c r="W41" s="230">
        <f>(AM83/10.3)*100</f>
        <v>0</v>
      </c>
      <c r="X41" s="231"/>
      <c r="Y41" s="231"/>
      <c r="Z41" s="206"/>
      <c r="AA41" s="252">
        <f>(AO83/10.3)*100</f>
        <v>0</v>
      </c>
      <c r="AB41" s="231"/>
      <c r="AC41" s="206"/>
      <c r="AD41" s="252">
        <f>(AQ83/10.3)*100</f>
        <v>0</v>
      </c>
      <c r="AE41" s="231"/>
      <c r="AF41" s="231"/>
      <c r="AG41" s="229"/>
      <c r="AH41" s="188"/>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row>
    <row r="42" spans="1:87" ht="27" customHeight="1" thickBot="1" x14ac:dyDescent="0.3">
      <c r="A42" s="142"/>
      <c r="B42" s="129"/>
      <c r="C42" s="129"/>
      <c r="D42" s="129"/>
      <c r="E42" s="129"/>
      <c r="F42" s="129"/>
      <c r="G42" s="129"/>
      <c r="H42" s="129"/>
      <c r="I42" s="129"/>
      <c r="J42" s="309" t="s">
        <v>126</v>
      </c>
      <c r="K42" s="215"/>
      <c r="L42" s="135" t="s">
        <v>127</v>
      </c>
      <c r="M42" s="167" t="str">
        <f>IF(F74="","",((-F75)/(2*F74)))</f>
        <v/>
      </c>
      <c r="N42" s="129"/>
      <c r="O42" s="232" t="s">
        <v>92</v>
      </c>
      <c r="P42" s="233"/>
      <c r="Q42" s="19"/>
      <c r="R42" s="19"/>
      <c r="S42" s="20"/>
      <c r="T42" s="129"/>
      <c r="U42" s="210" t="s">
        <v>128</v>
      </c>
      <c r="V42" s="211"/>
      <c r="W42" s="216">
        <f>IF(W40&lt;W41,W40,W41)</f>
        <v>0</v>
      </c>
      <c r="X42" s="217"/>
      <c r="Y42" s="217"/>
      <c r="Z42" s="204"/>
      <c r="AA42" s="253">
        <f>IF(AA40&lt;AA41,AA40,AA41)</f>
        <v>0</v>
      </c>
      <c r="AB42" s="217"/>
      <c r="AC42" s="204"/>
      <c r="AD42" s="253">
        <f>IF(AD40&lt;AD41,AD40,AD41)</f>
        <v>0</v>
      </c>
      <c r="AE42" s="217"/>
      <c r="AF42" s="217"/>
      <c r="AG42" s="211"/>
      <c r="AH42" s="189"/>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row>
    <row r="43" spans="1:87" ht="4.5" customHeight="1" thickBot="1" x14ac:dyDescent="0.3">
      <c r="A43" s="142"/>
      <c r="B43" s="129"/>
      <c r="C43" s="129"/>
      <c r="D43" s="129"/>
      <c r="E43" s="129"/>
      <c r="F43" s="129"/>
      <c r="G43" s="129"/>
      <c r="H43" s="129"/>
      <c r="I43" s="129"/>
      <c r="J43" s="309" t="s">
        <v>129</v>
      </c>
      <c r="K43" s="215"/>
      <c r="L43" s="310" t="s">
        <v>127</v>
      </c>
      <c r="M43" s="367" t="str">
        <f>IF(M41="-","-",(M42*S94)+(S93*S95))</f>
        <v>-</v>
      </c>
      <c r="N43" s="129"/>
      <c r="O43" s="234" t="s">
        <v>110</v>
      </c>
      <c r="P43" s="235"/>
      <c r="Q43" s="237"/>
      <c r="R43" s="237"/>
      <c r="S43" s="239"/>
      <c r="T43" s="129"/>
      <c r="U43" s="190"/>
      <c r="V43" s="190"/>
      <c r="W43" s="191"/>
      <c r="X43" s="191"/>
      <c r="Y43" s="191"/>
      <c r="Z43" s="191"/>
      <c r="AA43" s="191"/>
      <c r="AB43" s="191"/>
      <c r="AC43" s="191"/>
      <c r="AD43" s="191"/>
      <c r="AE43" s="191"/>
      <c r="AF43" s="191"/>
      <c r="AG43" s="191"/>
      <c r="AH43" s="192"/>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row>
    <row r="44" spans="1:87" ht="19.5" customHeight="1" thickBot="1" x14ac:dyDescent="0.3">
      <c r="A44" s="142"/>
      <c r="B44" s="129"/>
      <c r="C44" s="129"/>
      <c r="D44" s="129"/>
      <c r="E44" s="129"/>
      <c r="F44" s="129"/>
      <c r="G44" s="129"/>
      <c r="H44" s="129"/>
      <c r="I44" s="129"/>
      <c r="J44" s="215"/>
      <c r="K44" s="215"/>
      <c r="L44" s="215"/>
      <c r="M44" s="312"/>
      <c r="N44" s="129"/>
      <c r="O44" s="236"/>
      <c r="P44" s="222"/>
      <c r="Q44" s="238"/>
      <c r="R44" s="238"/>
      <c r="S44" s="240"/>
      <c r="T44" s="129"/>
      <c r="U44" s="218" t="s">
        <v>130</v>
      </c>
      <c r="V44" s="208"/>
      <c r="W44" s="208"/>
      <c r="X44" s="208"/>
      <c r="Y44" s="208"/>
      <c r="Z44" s="219"/>
      <c r="AA44" s="139"/>
      <c r="AB44" s="254" t="s">
        <v>131</v>
      </c>
      <c r="AC44" s="213"/>
      <c r="AD44" s="213"/>
      <c r="AE44" s="213"/>
      <c r="AF44" s="213"/>
      <c r="AG44" s="213"/>
      <c r="AH44" s="255"/>
      <c r="AI44" s="1"/>
      <c r="AJ44" s="256"/>
      <c r="AK44" s="257"/>
      <c r="AL44" s="257"/>
      <c r="AM44" s="257"/>
      <c r="AN44" s="258"/>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row>
    <row r="45" spans="1:87" ht="29.25" customHeight="1" thickBot="1" x14ac:dyDescent="0.3">
      <c r="A45" s="142"/>
      <c r="B45" s="129"/>
      <c r="C45" s="129"/>
      <c r="D45" s="129"/>
      <c r="E45" s="129"/>
      <c r="F45" s="129"/>
      <c r="G45" s="129"/>
      <c r="H45" s="129"/>
      <c r="I45" s="129"/>
      <c r="J45" s="129"/>
      <c r="K45" s="129"/>
      <c r="L45" s="129"/>
      <c r="M45" s="156"/>
      <c r="N45" s="129"/>
      <c r="O45" s="205" t="s">
        <v>116</v>
      </c>
      <c r="P45" s="206"/>
      <c r="Q45" s="6"/>
      <c r="R45" s="6"/>
      <c r="S45" s="22"/>
      <c r="T45" s="129"/>
      <c r="U45" s="212" t="s">
        <v>114</v>
      </c>
      <c r="V45" s="213"/>
      <c r="W45" s="136" t="s">
        <v>115</v>
      </c>
      <c r="X45" s="209">
        <f>MAX(M37:M39)</f>
        <v>0</v>
      </c>
      <c r="Y45" s="208"/>
      <c r="Z45" s="208"/>
      <c r="AA45" s="129"/>
      <c r="AB45" s="259" t="s">
        <v>132</v>
      </c>
      <c r="AC45" s="250"/>
      <c r="AD45" s="250"/>
      <c r="AE45" s="233"/>
      <c r="AF45" s="19">
        <v>0.1</v>
      </c>
      <c r="AG45" s="19"/>
      <c r="AH45" s="193"/>
      <c r="AI45" s="1"/>
      <c r="AJ45" s="1"/>
      <c r="AK45" s="1"/>
      <c r="AL45" s="49"/>
      <c r="AM45" s="49"/>
      <c r="AN45" s="49"/>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row>
    <row r="46" spans="1:87" ht="29.25" customHeight="1" thickBot="1" x14ac:dyDescent="0.3">
      <c r="A46" s="142"/>
      <c r="B46" s="129"/>
      <c r="C46" s="129"/>
      <c r="D46" s="129"/>
      <c r="E46" s="129"/>
      <c r="F46" s="129"/>
      <c r="G46" s="129"/>
      <c r="H46" s="129"/>
      <c r="I46" s="129"/>
      <c r="J46" s="360" t="s">
        <v>133</v>
      </c>
      <c r="K46" s="215"/>
      <c r="L46" s="215"/>
      <c r="M46" s="156"/>
      <c r="N46" s="129"/>
      <c r="O46" s="205" t="s">
        <v>117</v>
      </c>
      <c r="P46" s="206"/>
      <c r="Q46" s="6"/>
      <c r="R46" s="6"/>
      <c r="S46" s="22"/>
      <c r="T46" s="129"/>
      <c r="U46" s="214" t="s">
        <v>126</v>
      </c>
      <c r="V46" s="215"/>
      <c r="W46" s="136" t="s">
        <v>127</v>
      </c>
      <c r="X46" s="207">
        <f>MIN(M42:M44)</f>
        <v>0</v>
      </c>
      <c r="Y46" s="208"/>
      <c r="Z46" s="208"/>
      <c r="AA46" s="129"/>
      <c r="AB46" s="260" t="s">
        <v>134</v>
      </c>
      <c r="AC46" s="231"/>
      <c r="AD46" s="231"/>
      <c r="AE46" s="206"/>
      <c r="AF46" s="6">
        <v>0.5</v>
      </c>
      <c r="AG46" s="6"/>
      <c r="AH46" s="194"/>
      <c r="AI46" s="1"/>
      <c r="AJ46" s="1"/>
      <c r="AK46" s="1"/>
      <c r="AL46" s="49"/>
      <c r="AM46" s="49"/>
      <c r="AN46" s="49"/>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spans="1:87" ht="27" customHeight="1" thickBot="1" x14ac:dyDescent="0.3">
      <c r="A47" s="142"/>
      <c r="B47" s="129"/>
      <c r="C47" s="129"/>
      <c r="D47" s="129"/>
      <c r="E47" s="129"/>
      <c r="F47" s="129"/>
      <c r="G47" s="129"/>
      <c r="H47" s="129"/>
      <c r="I47" s="129"/>
      <c r="J47" s="130"/>
      <c r="K47" s="130"/>
      <c r="L47" s="129"/>
      <c r="M47" s="156"/>
      <c r="N47" s="129"/>
      <c r="O47" s="203" t="s">
        <v>107</v>
      </c>
      <c r="P47" s="204"/>
      <c r="Q47" s="40" t="e">
        <f t="shared" ref="Q47:S47" si="21">((Q44-Q45)/(Q45-Q46))*100</f>
        <v>#DIV/0!</v>
      </c>
      <c r="R47" s="40" t="e">
        <f t="shared" si="21"/>
        <v>#DIV/0!</v>
      </c>
      <c r="S47" s="32" t="e">
        <f t="shared" si="21"/>
        <v>#DIV/0!</v>
      </c>
      <c r="T47" s="129"/>
      <c r="U47" s="214" t="s">
        <v>135</v>
      </c>
      <c r="V47" s="215"/>
      <c r="W47" s="136" t="s">
        <v>127</v>
      </c>
      <c r="X47" s="209" t="b">
        <f>IF(L25=D103,"-",IF(L25=D102,"-",IF(L25=D101,M25)))</f>
        <v>0</v>
      </c>
      <c r="Y47" s="208"/>
      <c r="Z47" s="208"/>
      <c r="AA47" s="129"/>
      <c r="AB47" s="261" t="s">
        <v>136</v>
      </c>
      <c r="AC47" s="231"/>
      <c r="AD47" s="231"/>
      <c r="AE47" s="206"/>
      <c r="AF47" s="6">
        <f t="shared" ref="AF47:AH47" si="22">(AF46-AF45)*2.54</f>
        <v>1.016</v>
      </c>
      <c r="AG47" s="6">
        <f t="shared" si="22"/>
        <v>0</v>
      </c>
      <c r="AH47" s="194">
        <f t="shared" si="22"/>
        <v>0</v>
      </c>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spans="1:87" ht="27" customHeight="1" thickBot="1" x14ac:dyDescent="0.3">
      <c r="A48" s="142"/>
      <c r="B48" s="129"/>
      <c r="C48" s="129"/>
      <c r="D48" s="129"/>
      <c r="E48" s="129"/>
      <c r="F48" s="129"/>
      <c r="G48" s="129"/>
      <c r="H48" s="129"/>
      <c r="I48" s="129"/>
      <c r="J48" s="130"/>
      <c r="K48" s="130"/>
      <c r="L48" s="129"/>
      <c r="M48" s="156"/>
      <c r="N48" s="129"/>
      <c r="O48" s="184"/>
      <c r="P48" s="163"/>
      <c r="Q48" s="138"/>
      <c r="R48" s="138"/>
      <c r="S48" s="138"/>
      <c r="T48" s="129"/>
      <c r="U48" s="136"/>
      <c r="V48" s="136"/>
      <c r="W48" s="136"/>
      <c r="X48" s="195"/>
      <c r="Y48" s="195"/>
      <c r="Z48" s="195"/>
      <c r="AA48" s="129"/>
      <c r="AB48" s="262" t="s">
        <v>137</v>
      </c>
      <c r="AC48" s="217"/>
      <c r="AD48" s="217"/>
      <c r="AE48" s="204"/>
      <c r="AF48" s="52" t="str">
        <f t="shared" ref="AF48:AH48" si="23">IF(AF47&lt;&gt;"",IF(Q24&lt;&gt;"",AF47/Q24*100,""),"")</f>
        <v/>
      </c>
      <c r="AG48" s="52" t="str">
        <f t="shared" si="23"/>
        <v/>
      </c>
      <c r="AH48" s="196" t="str">
        <f t="shared" si="23"/>
        <v/>
      </c>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spans="1:87" ht="4.5" customHeight="1" thickBot="1" x14ac:dyDescent="0.3">
      <c r="A49" s="142"/>
      <c r="B49" s="129"/>
      <c r="C49" s="129"/>
      <c r="D49" s="129"/>
      <c r="E49" s="129"/>
      <c r="F49" s="129"/>
      <c r="G49" s="129"/>
      <c r="H49" s="129"/>
      <c r="I49" s="129"/>
      <c r="J49" s="130"/>
      <c r="K49" s="130"/>
      <c r="L49" s="129"/>
      <c r="M49" s="156"/>
      <c r="N49" s="129"/>
      <c r="O49" s="142"/>
      <c r="P49" s="129"/>
      <c r="Q49" s="129"/>
      <c r="R49" s="129"/>
      <c r="S49" s="129"/>
      <c r="T49" s="129"/>
      <c r="U49" s="129"/>
      <c r="V49" s="129"/>
      <c r="W49" s="129"/>
      <c r="X49" s="129"/>
      <c r="Y49" s="129"/>
      <c r="Z49" s="129"/>
      <c r="AA49" s="129"/>
      <c r="AB49" s="129"/>
      <c r="AC49" s="129"/>
      <c r="AD49" s="129"/>
      <c r="AE49" s="129"/>
      <c r="AF49" s="129"/>
      <c r="AG49" s="129"/>
      <c r="AH49" s="156"/>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spans="1:87" ht="33" customHeight="1" thickBot="1" x14ac:dyDescent="0.3">
      <c r="A50" s="142"/>
      <c r="B50" s="129"/>
      <c r="C50" s="129"/>
      <c r="D50" s="129"/>
      <c r="E50" s="129"/>
      <c r="F50" s="129"/>
      <c r="G50" s="129"/>
      <c r="H50" s="129"/>
      <c r="I50" s="129"/>
      <c r="J50" s="368"/>
      <c r="K50" s="369"/>
      <c r="L50" s="369"/>
      <c r="M50" s="156"/>
      <c r="N50" s="129"/>
      <c r="O50" s="142"/>
      <c r="P50" s="129"/>
      <c r="Q50" s="129"/>
      <c r="R50" s="129"/>
      <c r="S50" s="129"/>
      <c r="T50" s="129"/>
      <c r="U50" s="129"/>
      <c r="V50" s="129"/>
      <c r="W50" s="129"/>
      <c r="X50" s="129"/>
      <c r="Y50" s="129"/>
      <c r="Z50" s="129"/>
      <c r="AA50" s="129"/>
      <c r="AB50" s="218" t="s">
        <v>138</v>
      </c>
      <c r="AC50" s="208"/>
      <c r="AD50" s="208"/>
      <c r="AE50" s="208"/>
      <c r="AF50" s="219"/>
      <c r="AG50" s="269" t="s">
        <v>139</v>
      </c>
      <c r="AH50" s="270"/>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spans="1:87" ht="24.75" customHeight="1" x14ac:dyDescent="0.25">
      <c r="A51" s="142"/>
      <c r="B51" s="129"/>
      <c r="C51" s="129"/>
      <c r="D51" s="129"/>
      <c r="E51" s="129"/>
      <c r="F51" s="129"/>
      <c r="G51" s="129"/>
      <c r="H51" s="129"/>
      <c r="I51" s="129"/>
      <c r="J51" s="310" t="s">
        <v>140</v>
      </c>
      <c r="K51" s="215"/>
      <c r="L51" s="215"/>
      <c r="M51" s="156"/>
      <c r="N51" s="129"/>
      <c r="O51" s="142"/>
      <c r="P51" s="129"/>
      <c r="Q51" s="129"/>
      <c r="R51" s="129"/>
      <c r="S51" s="129"/>
      <c r="T51" s="129"/>
      <c r="U51" s="129"/>
      <c r="V51" s="129"/>
      <c r="W51" s="129"/>
      <c r="X51" s="129"/>
      <c r="Y51" s="129"/>
      <c r="Z51" s="129"/>
      <c r="AA51" s="129"/>
      <c r="AB51" s="271" t="e">
        <f ca="1">W19</f>
        <v>#NAME?</v>
      </c>
      <c r="AC51" s="221"/>
      <c r="AD51" s="221"/>
      <c r="AE51" s="222"/>
      <c r="AF51" s="7"/>
      <c r="AG51" s="272"/>
      <c r="AH51" s="273"/>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spans="1:87" ht="24.75" customHeight="1" x14ac:dyDescent="0.25">
      <c r="A52" s="142"/>
      <c r="B52" s="129"/>
      <c r="C52" s="129"/>
      <c r="D52" s="129"/>
      <c r="E52" s="129"/>
      <c r="F52" s="129"/>
      <c r="G52" s="129"/>
      <c r="H52" s="129"/>
      <c r="I52" s="129"/>
      <c r="J52" s="214" t="s">
        <v>141</v>
      </c>
      <c r="K52" s="215"/>
      <c r="L52" s="215"/>
      <c r="M52" s="156"/>
      <c r="N52" s="129"/>
      <c r="O52" s="142"/>
      <c r="P52" s="129"/>
      <c r="Q52" s="129"/>
      <c r="R52" s="129"/>
      <c r="S52" s="129"/>
      <c r="T52" s="129"/>
      <c r="U52" s="129"/>
      <c r="V52" s="129"/>
      <c r="W52" s="129"/>
      <c r="X52" s="129"/>
      <c r="Y52" s="129"/>
      <c r="Z52" s="129"/>
      <c r="AA52" s="129"/>
      <c r="AB52" s="274" t="e">
        <f ca="1">AA19</f>
        <v>#NAME?</v>
      </c>
      <c r="AC52" s="231"/>
      <c r="AD52" s="231"/>
      <c r="AE52" s="206"/>
      <c r="AF52" s="7"/>
      <c r="AG52" s="275"/>
      <c r="AH52" s="276"/>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spans="1:87" ht="24.75" customHeight="1" thickBot="1" x14ac:dyDescent="0.3">
      <c r="A53" s="142"/>
      <c r="B53" s="129"/>
      <c r="C53" s="129"/>
      <c r="D53" s="129"/>
      <c r="E53" s="129"/>
      <c r="F53" s="129"/>
      <c r="G53" s="129"/>
      <c r="H53" s="129"/>
      <c r="I53" s="129"/>
      <c r="J53" s="129"/>
      <c r="K53" s="129"/>
      <c r="L53" s="129"/>
      <c r="M53" s="156"/>
      <c r="N53" s="129"/>
      <c r="O53" s="142"/>
      <c r="P53" s="129"/>
      <c r="Q53" s="129"/>
      <c r="R53" s="129"/>
      <c r="S53" s="129"/>
      <c r="T53" s="129"/>
      <c r="U53" s="129"/>
      <c r="V53" s="129"/>
      <c r="W53" s="129"/>
      <c r="X53" s="129"/>
      <c r="Y53" s="129"/>
      <c r="Z53" s="129"/>
      <c r="AA53" s="129"/>
      <c r="AB53" s="279" t="e">
        <f ca="1">AE19</f>
        <v>#NAME?</v>
      </c>
      <c r="AC53" s="217"/>
      <c r="AD53" s="217"/>
      <c r="AE53" s="204"/>
      <c r="AF53" s="53"/>
      <c r="AG53" s="277"/>
      <c r="AH53" s="278"/>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spans="1:87" ht="24.75" customHeight="1" x14ac:dyDescent="0.25">
      <c r="A54" s="142"/>
      <c r="B54" s="129"/>
      <c r="C54" s="129"/>
      <c r="D54" s="129"/>
      <c r="E54" s="129"/>
      <c r="F54" s="129"/>
      <c r="G54" s="129"/>
      <c r="H54" s="129"/>
      <c r="I54" s="129"/>
      <c r="J54" s="360" t="s">
        <v>142</v>
      </c>
      <c r="K54" s="215"/>
      <c r="L54" s="215"/>
      <c r="M54" s="156"/>
      <c r="N54" s="129"/>
      <c r="O54" s="142"/>
      <c r="P54" s="129"/>
      <c r="Q54" s="129"/>
      <c r="R54" s="129"/>
      <c r="S54" s="129"/>
      <c r="T54" s="129"/>
      <c r="U54" s="129"/>
      <c r="V54" s="129"/>
      <c r="W54" s="129"/>
      <c r="X54" s="129"/>
      <c r="Y54" s="129"/>
      <c r="Z54" s="129"/>
      <c r="AA54" s="280" t="s">
        <v>133</v>
      </c>
      <c r="AB54" s="215"/>
      <c r="AC54" s="215"/>
      <c r="AD54" s="215"/>
      <c r="AE54" s="129"/>
      <c r="AF54" s="281" t="s">
        <v>142</v>
      </c>
      <c r="AG54" s="213"/>
      <c r="AH54" s="255"/>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spans="1:87" ht="14.25" customHeight="1" x14ac:dyDescent="0.25">
      <c r="A55" s="142"/>
      <c r="B55" s="129"/>
      <c r="C55" s="129"/>
      <c r="D55" s="129"/>
      <c r="E55" s="129"/>
      <c r="F55" s="129"/>
      <c r="G55" s="129"/>
      <c r="H55" s="129"/>
      <c r="I55" s="129"/>
      <c r="J55" s="129"/>
      <c r="K55" s="129"/>
      <c r="L55" s="129"/>
      <c r="M55" s="156"/>
      <c r="N55" s="129"/>
      <c r="O55" s="142"/>
      <c r="P55" s="129"/>
      <c r="Q55" s="129"/>
      <c r="R55" s="129"/>
      <c r="S55" s="129"/>
      <c r="T55" s="129"/>
      <c r="U55" s="129"/>
      <c r="V55" s="129"/>
      <c r="W55" s="129"/>
      <c r="X55" s="129"/>
      <c r="Y55" s="129"/>
      <c r="Z55" s="129"/>
      <c r="AA55" s="215"/>
      <c r="AB55" s="215"/>
      <c r="AC55" s="215"/>
      <c r="AD55" s="215"/>
      <c r="AE55" s="129"/>
      <c r="AF55" s="215"/>
      <c r="AG55" s="215"/>
      <c r="AH55" s="244"/>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spans="1:87" ht="48.75" customHeight="1" x14ac:dyDescent="0.25">
      <c r="A56" s="142"/>
      <c r="B56" s="129"/>
      <c r="C56" s="129"/>
      <c r="D56" s="129"/>
      <c r="E56" s="129"/>
      <c r="F56" s="129"/>
      <c r="G56" s="129"/>
      <c r="H56" s="129"/>
      <c r="I56" s="129"/>
      <c r="J56" s="129"/>
      <c r="K56" s="129"/>
      <c r="L56" s="129"/>
      <c r="M56" s="156"/>
      <c r="N56" s="129"/>
      <c r="O56" s="142"/>
      <c r="P56" s="129"/>
      <c r="Q56" s="129"/>
      <c r="R56" s="129"/>
      <c r="S56" s="129"/>
      <c r="T56" s="129"/>
      <c r="U56" s="129"/>
      <c r="V56" s="129"/>
      <c r="W56" s="129"/>
      <c r="X56" s="129"/>
      <c r="Y56" s="129"/>
      <c r="Z56" s="129"/>
      <c r="AA56" s="130"/>
      <c r="AB56" s="130"/>
      <c r="AC56" s="130"/>
      <c r="AD56" s="129"/>
      <c r="AE56" s="129"/>
      <c r="AF56" s="130"/>
      <c r="AG56" s="130"/>
      <c r="AH56" s="197"/>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spans="1:87" ht="24.75" customHeight="1" x14ac:dyDescent="0.25">
      <c r="A57" s="142"/>
      <c r="B57" s="129"/>
      <c r="C57" s="129"/>
      <c r="D57" s="129"/>
      <c r="E57" s="129"/>
      <c r="F57" s="129"/>
      <c r="G57" s="129"/>
      <c r="H57" s="129"/>
      <c r="I57" s="129"/>
      <c r="J57" s="129"/>
      <c r="K57" s="129"/>
      <c r="L57" s="129"/>
      <c r="M57" s="168"/>
      <c r="N57" s="129"/>
      <c r="O57" s="142"/>
      <c r="P57" s="129"/>
      <c r="Q57" s="129"/>
      <c r="R57" s="129"/>
      <c r="S57" s="129"/>
      <c r="T57" s="129"/>
      <c r="U57" s="129"/>
      <c r="V57" s="129"/>
      <c r="W57" s="129"/>
      <c r="X57" s="129"/>
      <c r="Y57" s="129"/>
      <c r="Z57" s="129"/>
      <c r="AA57" s="130"/>
      <c r="AB57" s="130"/>
      <c r="AC57" s="130"/>
      <c r="AD57" s="129"/>
      <c r="AE57" s="129"/>
      <c r="AF57" s="130"/>
      <c r="AG57" s="130"/>
      <c r="AH57" s="197"/>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spans="1:87" ht="15.75" customHeight="1" x14ac:dyDescent="0.25">
      <c r="A58" s="142"/>
      <c r="B58" s="129"/>
      <c r="C58" s="129"/>
      <c r="D58" s="129"/>
      <c r="E58" s="129"/>
      <c r="F58" s="129"/>
      <c r="G58" s="129"/>
      <c r="H58" s="129"/>
      <c r="I58" s="129"/>
      <c r="J58" s="241" t="s">
        <v>192</v>
      </c>
      <c r="K58" s="242"/>
      <c r="L58" s="242"/>
      <c r="M58" s="156"/>
      <c r="N58" s="129"/>
      <c r="O58" s="142"/>
      <c r="P58" s="129"/>
      <c r="Q58" s="129"/>
      <c r="R58" s="129"/>
      <c r="S58" s="129"/>
      <c r="T58" s="129"/>
      <c r="U58" s="129"/>
      <c r="V58" s="129"/>
      <c r="W58" s="129"/>
      <c r="X58" s="129"/>
      <c r="Y58" s="129"/>
      <c r="Z58" s="129"/>
      <c r="AA58" s="130"/>
      <c r="AB58" s="130"/>
      <c r="AC58" s="130"/>
      <c r="AD58" s="129"/>
      <c r="AE58" s="129"/>
      <c r="AF58" s="130"/>
      <c r="AG58" s="130"/>
      <c r="AH58" s="197"/>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spans="1:87" ht="15.75" customHeight="1" x14ac:dyDescent="0.25">
      <c r="A59" s="142"/>
      <c r="B59" s="129"/>
      <c r="C59" s="129"/>
      <c r="D59" s="129"/>
      <c r="E59" s="129"/>
      <c r="F59" s="129"/>
      <c r="G59" s="129"/>
      <c r="H59" s="129"/>
      <c r="I59" s="129"/>
      <c r="J59" s="214" t="s">
        <v>143</v>
      </c>
      <c r="K59" s="215"/>
      <c r="L59" s="215"/>
      <c r="M59" s="156"/>
      <c r="N59" s="129"/>
      <c r="O59" s="142"/>
      <c r="P59" s="129"/>
      <c r="Q59" s="129"/>
      <c r="R59" s="129"/>
      <c r="S59" s="129"/>
      <c r="T59" s="129"/>
      <c r="U59" s="129"/>
      <c r="V59" s="129"/>
      <c r="W59" s="129"/>
      <c r="X59" s="129"/>
      <c r="Y59" s="129"/>
      <c r="Z59" s="129"/>
      <c r="AA59" s="198"/>
      <c r="AB59" s="198"/>
      <c r="AC59" s="198"/>
      <c r="AD59" s="129"/>
      <c r="AE59" s="129"/>
      <c r="AF59" s="130"/>
      <c r="AG59" s="130"/>
      <c r="AH59" s="197"/>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spans="1:87" ht="15.75" customHeight="1" x14ac:dyDescent="0.25">
      <c r="A60" s="142"/>
      <c r="B60" s="169" t="s">
        <v>144</v>
      </c>
      <c r="C60" s="55"/>
      <c r="D60" s="55"/>
      <c r="E60" s="55"/>
      <c r="F60" s="55"/>
      <c r="G60" s="55"/>
      <c r="H60" s="55"/>
      <c r="I60" s="55"/>
      <c r="J60" s="55"/>
      <c r="K60" s="55"/>
      <c r="L60" s="55"/>
      <c r="M60" s="156"/>
      <c r="N60" s="129"/>
      <c r="O60" s="142"/>
      <c r="P60" s="129"/>
      <c r="Q60" s="129"/>
      <c r="R60" s="129"/>
      <c r="S60" s="129"/>
      <c r="T60" s="129"/>
      <c r="U60" s="129"/>
      <c r="V60" s="129"/>
      <c r="W60" s="129"/>
      <c r="X60" s="129"/>
      <c r="Y60" s="129"/>
      <c r="Z60" s="129"/>
      <c r="AA60" s="241" t="s">
        <v>140</v>
      </c>
      <c r="AB60" s="242"/>
      <c r="AC60" s="242"/>
      <c r="AD60" s="242"/>
      <c r="AE60" s="129"/>
      <c r="AF60" s="241" t="s">
        <v>192</v>
      </c>
      <c r="AG60" s="242"/>
      <c r="AH60" s="243"/>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spans="1:87" ht="14.25" customHeight="1" x14ac:dyDescent="0.25">
      <c r="A61" s="142"/>
      <c r="B61" s="129"/>
      <c r="C61" s="170"/>
      <c r="D61" s="170"/>
      <c r="E61" s="170"/>
      <c r="F61" s="170"/>
      <c r="G61" s="170"/>
      <c r="H61" s="163"/>
      <c r="I61" s="129"/>
      <c r="J61" s="129"/>
      <c r="K61" s="129"/>
      <c r="L61" s="129"/>
      <c r="M61" s="156"/>
      <c r="N61" s="129"/>
      <c r="O61" s="142"/>
      <c r="P61" s="129"/>
      <c r="Q61" s="129"/>
      <c r="R61" s="129"/>
      <c r="S61" s="129"/>
      <c r="T61" s="129"/>
      <c r="U61" s="129"/>
      <c r="V61" s="129"/>
      <c r="W61" s="129"/>
      <c r="X61" s="129"/>
      <c r="Y61" s="129"/>
      <c r="Z61" s="129"/>
      <c r="AA61" s="214" t="s">
        <v>141</v>
      </c>
      <c r="AB61" s="215"/>
      <c r="AC61" s="215"/>
      <c r="AD61" s="215"/>
      <c r="AE61" s="129"/>
      <c r="AF61" s="214" t="s">
        <v>143</v>
      </c>
      <c r="AG61" s="215"/>
      <c r="AH61" s="244"/>
      <c r="AI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spans="1:87" ht="15.75" customHeight="1" x14ac:dyDescent="0.25">
      <c r="A62" s="142"/>
      <c r="B62" s="129"/>
      <c r="C62" s="361"/>
      <c r="D62" s="215"/>
      <c r="E62" s="215"/>
      <c r="F62" s="215"/>
      <c r="G62" s="215"/>
      <c r="H62" s="215"/>
      <c r="I62" s="129"/>
      <c r="J62" s="129"/>
      <c r="K62" s="129"/>
      <c r="L62" s="129"/>
      <c r="M62" s="156"/>
      <c r="N62" s="129"/>
      <c r="O62" s="142"/>
      <c r="P62" s="129"/>
      <c r="Q62" s="129"/>
      <c r="R62" s="129"/>
      <c r="S62" s="129"/>
      <c r="T62" s="129"/>
      <c r="U62" s="129"/>
      <c r="V62" s="129"/>
      <c r="W62" s="129"/>
      <c r="X62" s="129"/>
      <c r="Y62" s="129"/>
      <c r="Z62" s="129"/>
      <c r="AA62" s="215"/>
      <c r="AB62" s="215"/>
      <c r="AC62" s="215"/>
      <c r="AD62" s="215"/>
      <c r="AE62" s="129"/>
      <c r="AF62" s="215"/>
      <c r="AG62" s="215"/>
      <c r="AH62" s="244"/>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spans="1:87" ht="15.75" customHeight="1" x14ac:dyDescent="0.25">
      <c r="A63" s="142"/>
      <c r="B63" s="170"/>
      <c r="C63" s="361"/>
      <c r="D63" s="215"/>
      <c r="E63" s="215"/>
      <c r="F63" s="215"/>
      <c r="G63" s="215"/>
      <c r="H63" s="215"/>
      <c r="I63" s="129"/>
      <c r="J63" s="129"/>
      <c r="K63" s="129"/>
      <c r="L63" s="129"/>
      <c r="M63" s="156"/>
      <c r="N63" s="129"/>
      <c r="O63" s="142"/>
      <c r="P63" s="129"/>
      <c r="Q63" s="129"/>
      <c r="R63" s="129"/>
      <c r="S63" s="129"/>
      <c r="T63" s="129"/>
      <c r="U63" s="129"/>
      <c r="V63" s="129"/>
      <c r="W63" s="129"/>
      <c r="X63" s="129"/>
      <c r="Y63" s="129"/>
      <c r="Z63" s="129"/>
      <c r="AA63" s="129"/>
      <c r="AB63" s="129"/>
      <c r="AC63" s="129"/>
      <c r="AD63" s="129"/>
      <c r="AE63" s="129"/>
      <c r="AF63" s="129"/>
      <c r="AG63" s="129"/>
      <c r="AH63" s="156"/>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spans="1:87" ht="15.75" customHeight="1" x14ac:dyDescent="0.25">
      <c r="A64" s="142"/>
      <c r="B64" s="361" t="s">
        <v>145</v>
      </c>
      <c r="C64" s="215"/>
      <c r="D64" s="215"/>
      <c r="E64" s="215"/>
      <c r="F64" s="215"/>
      <c r="G64" s="215"/>
      <c r="H64" s="215"/>
      <c r="I64" s="215"/>
      <c r="J64" s="215"/>
      <c r="K64" s="215"/>
      <c r="L64" s="215"/>
      <c r="M64" s="244"/>
      <c r="N64" s="129"/>
      <c r="O64" s="263" t="s">
        <v>145</v>
      </c>
      <c r="P64" s="215"/>
      <c r="Q64" s="215"/>
      <c r="R64" s="215"/>
      <c r="S64" s="215"/>
      <c r="T64" s="215"/>
      <c r="U64" s="215"/>
      <c r="V64" s="215"/>
      <c r="W64" s="215"/>
      <c r="X64" s="215"/>
      <c r="Y64" s="215"/>
      <c r="Z64" s="215"/>
      <c r="AA64" s="215"/>
      <c r="AB64" s="215"/>
      <c r="AC64" s="215"/>
      <c r="AD64" s="215"/>
      <c r="AE64" s="215"/>
      <c r="AF64" s="215"/>
      <c r="AG64" s="215"/>
      <c r="AH64" s="244"/>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spans="1:87" ht="15" customHeight="1" x14ac:dyDescent="0.25">
      <c r="A65" s="142"/>
      <c r="B65" s="412" t="s">
        <v>146</v>
      </c>
      <c r="C65" s="215"/>
      <c r="D65" s="215"/>
      <c r="E65" s="215"/>
      <c r="F65" s="215"/>
      <c r="G65" s="215"/>
      <c r="H65" s="215"/>
      <c r="I65" s="215"/>
      <c r="J65" s="215"/>
      <c r="K65" s="215"/>
      <c r="L65" s="215"/>
      <c r="M65" s="244"/>
      <c r="N65" s="129"/>
      <c r="O65" s="264" t="s">
        <v>146</v>
      </c>
      <c r="P65" s="215"/>
      <c r="Q65" s="215"/>
      <c r="R65" s="215"/>
      <c r="S65" s="215"/>
      <c r="T65" s="215"/>
      <c r="U65" s="215"/>
      <c r="V65" s="215"/>
      <c r="W65" s="215"/>
      <c r="X65" s="215"/>
      <c r="Y65" s="215"/>
      <c r="Z65" s="215"/>
      <c r="AA65" s="215"/>
      <c r="AB65" s="215"/>
      <c r="AC65" s="215"/>
      <c r="AD65" s="215"/>
      <c r="AE65" s="215"/>
      <c r="AF65" s="215"/>
      <c r="AG65" s="215"/>
      <c r="AH65" s="244"/>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spans="1:87" ht="34.5" customHeight="1" x14ac:dyDescent="0.25">
      <c r="A66" s="142"/>
      <c r="B66" s="215"/>
      <c r="C66" s="215"/>
      <c r="D66" s="215"/>
      <c r="E66" s="215"/>
      <c r="F66" s="215"/>
      <c r="G66" s="215"/>
      <c r="H66" s="215"/>
      <c r="I66" s="215"/>
      <c r="J66" s="215"/>
      <c r="K66" s="215"/>
      <c r="L66" s="215"/>
      <c r="M66" s="244"/>
      <c r="N66" s="129"/>
      <c r="O66" s="265"/>
      <c r="P66" s="215"/>
      <c r="Q66" s="215"/>
      <c r="R66" s="215"/>
      <c r="S66" s="215"/>
      <c r="T66" s="215"/>
      <c r="U66" s="215"/>
      <c r="V66" s="215"/>
      <c r="W66" s="215"/>
      <c r="X66" s="215"/>
      <c r="Y66" s="215"/>
      <c r="Z66" s="215"/>
      <c r="AA66" s="215"/>
      <c r="AB66" s="215"/>
      <c r="AC66" s="215"/>
      <c r="AD66" s="215"/>
      <c r="AE66" s="215"/>
      <c r="AF66" s="215"/>
      <c r="AG66" s="215"/>
      <c r="AH66" s="244"/>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spans="1:87" ht="15" customHeight="1" thickBot="1" x14ac:dyDescent="0.3">
      <c r="A67" s="385" t="s">
        <v>147</v>
      </c>
      <c r="B67" s="267"/>
      <c r="C67" s="267"/>
      <c r="D67" s="267"/>
      <c r="E67" s="267"/>
      <c r="F67" s="267"/>
      <c r="G67" s="267"/>
      <c r="H67" s="267"/>
      <c r="I67" s="267"/>
      <c r="J67" s="267"/>
      <c r="K67" s="267"/>
      <c r="L67" s="267"/>
      <c r="M67" s="268"/>
      <c r="N67" s="200"/>
      <c r="O67" s="266" t="s">
        <v>147</v>
      </c>
      <c r="P67" s="267"/>
      <c r="Q67" s="267"/>
      <c r="R67" s="267"/>
      <c r="S67" s="267"/>
      <c r="T67" s="267"/>
      <c r="U67" s="267"/>
      <c r="V67" s="267"/>
      <c r="W67" s="267"/>
      <c r="X67" s="267"/>
      <c r="Y67" s="267"/>
      <c r="Z67" s="267"/>
      <c r="AA67" s="267"/>
      <c r="AB67" s="267"/>
      <c r="AC67" s="267"/>
      <c r="AD67" s="267"/>
      <c r="AE67" s="267"/>
      <c r="AF67" s="267"/>
      <c r="AG67" s="267"/>
      <c r="AH67" s="268"/>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spans="1:87" ht="15.75" customHeight="1" thickBot="1" x14ac:dyDescent="0.3">
      <c r="A68" s="129"/>
      <c r="B68" s="129"/>
      <c r="C68" s="129"/>
      <c r="D68" s="129"/>
      <c r="E68" s="129"/>
      <c r="F68" s="129"/>
      <c r="G68" s="129"/>
      <c r="H68" s="129"/>
      <c r="I68" s="129"/>
      <c r="J68" s="129"/>
      <c r="K68" s="129"/>
      <c r="L68" s="140"/>
      <c r="M68" s="129"/>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spans="1:87" ht="15.75" customHeight="1" x14ac:dyDescent="0.25">
      <c r="A69" s="1"/>
      <c r="B69" s="386" t="s">
        <v>148</v>
      </c>
      <c r="C69" s="387"/>
      <c r="D69" s="56"/>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spans="1:87" ht="15.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spans="1:87" ht="15" customHeight="1" x14ac:dyDescent="0.25">
      <c r="A71" s="1"/>
      <c r="B71" s="388" t="s">
        <v>149</v>
      </c>
      <c r="C71" s="389"/>
      <c r="D71" s="57"/>
      <c r="E71" s="14"/>
      <c r="F71" s="14"/>
      <c r="G71" s="14"/>
      <c r="H71" s="14"/>
      <c r="I71" s="14"/>
      <c r="J71" s="14"/>
      <c r="K71" s="1"/>
      <c r="L71" s="1"/>
      <c r="M71" s="1"/>
      <c r="N71" s="1"/>
      <c r="O71" s="1"/>
      <c r="P71" s="1"/>
      <c r="Q71" s="1"/>
      <c r="R71" s="1"/>
      <c r="S71" s="1"/>
      <c r="T71" s="1"/>
      <c r="U71" s="1"/>
      <c r="V71" s="1"/>
      <c r="W71" s="1"/>
      <c r="X71" s="1"/>
      <c r="Y71" s="1"/>
      <c r="Z71" s="1"/>
      <c r="AA71" s="1"/>
      <c r="AB71" s="1"/>
      <c r="AC71" s="1"/>
      <c r="AD71" s="1"/>
      <c r="AE71" s="1"/>
      <c r="AF71" s="1"/>
      <c r="AG71" s="1"/>
      <c r="AH71" s="1"/>
      <c r="AI71" s="1"/>
      <c r="AJ71" s="58" t="s">
        <v>64</v>
      </c>
      <c r="AK71" s="59"/>
      <c r="AL71" s="60" t="s">
        <v>150</v>
      </c>
      <c r="AM71" s="61"/>
      <c r="AN71" s="60" t="s">
        <v>151</v>
      </c>
      <c r="AO71" s="61"/>
      <c r="AP71" s="60" t="s">
        <v>152</v>
      </c>
      <c r="AQ71" s="6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spans="1:87" ht="26.25" customHeight="1" x14ac:dyDescent="0.25">
      <c r="A72" s="3"/>
      <c r="B72" s="390" t="s">
        <v>153</v>
      </c>
      <c r="C72" s="391"/>
      <c r="D72" s="62"/>
      <c r="E72" s="1"/>
      <c r="F72" s="1"/>
      <c r="G72" s="1"/>
      <c r="H72" s="1"/>
      <c r="I72" s="1"/>
      <c r="J72" s="1"/>
      <c r="K72" s="1"/>
      <c r="L72" s="1"/>
      <c r="M72" s="63" t="s">
        <v>154</v>
      </c>
      <c r="N72" s="7"/>
      <c r="O72" s="1"/>
      <c r="P72" s="1"/>
      <c r="Q72" s="1"/>
      <c r="R72" s="1"/>
      <c r="S72" s="1"/>
      <c r="T72" s="1"/>
      <c r="U72" s="1"/>
      <c r="V72" s="36"/>
      <c r="W72" s="51"/>
      <c r="X72" s="51"/>
      <c r="Y72" s="51"/>
      <c r="Z72" s="36"/>
      <c r="AA72" s="36"/>
      <c r="AB72" s="1"/>
      <c r="AC72" s="1"/>
      <c r="AD72" s="1"/>
      <c r="AE72" s="1"/>
      <c r="AF72" s="36"/>
      <c r="AG72" s="36"/>
      <c r="AH72" s="36"/>
      <c r="AI72" s="1"/>
      <c r="AJ72" s="64"/>
      <c r="AK72" s="65"/>
      <c r="AL72" s="66" t="s">
        <v>68</v>
      </c>
      <c r="AM72" s="66" t="s">
        <v>69</v>
      </c>
      <c r="AN72" s="66" t="s">
        <v>70</v>
      </c>
      <c r="AO72" s="66" t="s">
        <v>69</v>
      </c>
      <c r="AP72" s="66" t="s">
        <v>70</v>
      </c>
      <c r="AQ72" s="66" t="s">
        <v>69</v>
      </c>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spans="1:87" ht="26.25" customHeight="1" x14ac:dyDescent="0.25">
      <c r="A73" s="3"/>
      <c r="B73" s="390" t="s">
        <v>155</v>
      </c>
      <c r="C73" s="391"/>
      <c r="D73" s="67"/>
      <c r="E73" s="1"/>
      <c r="F73" s="1"/>
      <c r="G73" s="1"/>
      <c r="H73" s="1"/>
      <c r="I73" s="1"/>
      <c r="J73" s="407" t="s">
        <v>156</v>
      </c>
      <c r="K73" s="408"/>
      <c r="L73" s="1"/>
      <c r="M73" s="1"/>
      <c r="N73" s="1"/>
      <c r="O73" s="68">
        <v>9.81</v>
      </c>
      <c r="P73" s="1"/>
      <c r="Q73" s="1"/>
      <c r="R73" s="1"/>
      <c r="S73" s="1"/>
      <c r="T73" s="1"/>
      <c r="U73" s="36"/>
      <c r="V73" s="1"/>
      <c r="W73" s="1"/>
      <c r="X73" s="1"/>
      <c r="Y73" s="1"/>
      <c r="Z73" s="1"/>
      <c r="AA73" s="1"/>
      <c r="AB73" s="36"/>
      <c r="AC73" s="36"/>
      <c r="AD73" s="36"/>
      <c r="AE73" s="36"/>
      <c r="AF73" s="1"/>
      <c r="AG73" s="1"/>
      <c r="AH73" s="1"/>
      <c r="AI73" s="1"/>
      <c r="AJ73" s="69" t="s">
        <v>74</v>
      </c>
      <c r="AK73" s="70" t="s">
        <v>75</v>
      </c>
      <c r="AL73" s="70" t="s">
        <v>76</v>
      </c>
      <c r="AM73" s="70" t="s">
        <v>77</v>
      </c>
      <c r="AN73" s="70" t="s">
        <v>76</v>
      </c>
      <c r="AO73" s="70" t="s">
        <v>77</v>
      </c>
      <c r="AP73" s="70" t="s">
        <v>76</v>
      </c>
      <c r="AQ73" s="71" t="s">
        <v>77</v>
      </c>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spans="1:87" ht="26.25" customHeight="1" x14ac:dyDescent="0.25">
      <c r="A74" s="3"/>
      <c r="B74" s="390" t="s">
        <v>157</v>
      </c>
      <c r="C74" s="391"/>
      <c r="D74" s="72"/>
      <c r="E74" s="73" t="s">
        <v>158</v>
      </c>
      <c r="F74" s="74"/>
      <c r="G74" s="75">
        <v>-0.12509999999999999</v>
      </c>
      <c r="H74" s="1"/>
      <c r="I74" s="1"/>
      <c r="J74" s="409"/>
      <c r="K74" s="387"/>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spans="1:87" ht="26.25" customHeight="1" x14ac:dyDescent="0.25">
      <c r="A75" s="3"/>
      <c r="B75" s="390" t="s">
        <v>159</v>
      </c>
      <c r="C75" s="391"/>
      <c r="D75" s="76"/>
      <c r="E75" s="77" t="s">
        <v>160</v>
      </c>
      <c r="F75" s="78"/>
      <c r="G75" s="79">
        <v>3.6941000000000002</v>
      </c>
      <c r="H75" s="1"/>
      <c r="I75" s="1"/>
      <c r="J75" s="394"/>
      <c r="K75" s="395"/>
      <c r="L75" s="1"/>
      <c r="M75" s="1"/>
      <c r="N75" s="1"/>
      <c r="O75" s="1"/>
      <c r="P75" s="1"/>
      <c r="Q75" s="1"/>
      <c r="R75" s="1"/>
      <c r="S75" s="1"/>
      <c r="T75" s="1"/>
      <c r="U75" s="1"/>
      <c r="V75" s="1"/>
      <c r="W75" s="1"/>
      <c r="X75" s="1"/>
      <c r="Y75" s="1"/>
      <c r="Z75" s="1"/>
      <c r="AA75" s="1"/>
      <c r="AB75" s="1"/>
      <c r="AC75" s="1"/>
      <c r="AD75" s="1"/>
      <c r="AE75" s="1"/>
      <c r="AF75" s="1"/>
      <c r="AG75" s="1"/>
      <c r="AH75" s="1"/>
      <c r="AI75" s="1"/>
      <c r="AJ75" s="80">
        <f t="shared" ref="AJ75:AJ79" si="24">U22</f>
        <v>5.0000000000000001E-3</v>
      </c>
      <c r="AK75" s="81">
        <f t="shared" ref="AK75:AK86" si="25">AJ75*25.4</f>
        <v>0.127</v>
      </c>
      <c r="AL75" s="82">
        <f t="shared" ref="AL75:AL79" si="26">W22</f>
        <v>0</v>
      </c>
      <c r="AM75" s="81">
        <f t="shared" ref="AM75:AM86" si="27">((AL75/19.32)*10)</f>
        <v>0</v>
      </c>
      <c r="AN75" s="82">
        <f t="shared" ref="AN75:AN79" si="28">AA22</f>
        <v>0</v>
      </c>
      <c r="AO75" s="81">
        <f t="shared" ref="AO75:AO86" si="29">((AN75/19.32)*10)</f>
        <v>0</v>
      </c>
      <c r="AP75" s="82">
        <f t="shared" ref="AP75:AP79" si="30">AE22</f>
        <v>0</v>
      </c>
      <c r="AQ75" s="83">
        <f t="shared" ref="AQ75:AQ86" si="31">((AP75/19.32)*10)</f>
        <v>0</v>
      </c>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spans="1:87" ht="26.25" customHeight="1" x14ac:dyDescent="0.25">
      <c r="A76" s="3"/>
      <c r="B76" s="390" t="s">
        <v>161</v>
      </c>
      <c r="C76" s="391"/>
      <c r="D76" s="84"/>
      <c r="E76" s="85" t="s">
        <v>162</v>
      </c>
      <c r="F76" s="86"/>
      <c r="G76" s="1"/>
      <c r="H76" s="1"/>
      <c r="I76" s="1"/>
      <c r="J76" s="392">
        <v>6</v>
      </c>
      <c r="K76" s="393"/>
      <c r="L76" s="1"/>
      <c r="M76" s="1"/>
      <c r="N76" s="1"/>
      <c r="O76" s="1"/>
      <c r="P76" s="1"/>
      <c r="Q76" s="1"/>
      <c r="R76" s="1"/>
      <c r="S76" s="1"/>
      <c r="T76" s="1"/>
      <c r="U76" s="1"/>
      <c r="V76" s="1"/>
      <c r="W76" s="1"/>
      <c r="X76" s="1"/>
      <c r="Y76" s="1"/>
      <c r="Z76" s="1"/>
      <c r="AA76" s="1"/>
      <c r="AB76" s="1"/>
      <c r="AC76" s="1"/>
      <c r="AD76" s="1"/>
      <c r="AE76" s="1"/>
      <c r="AF76" s="1"/>
      <c r="AG76" s="1"/>
      <c r="AH76" s="1"/>
      <c r="AI76" s="1"/>
      <c r="AJ76" s="80">
        <f t="shared" si="24"/>
        <v>2.5000000000000001E-2</v>
      </c>
      <c r="AK76" s="81">
        <f t="shared" si="25"/>
        <v>0.63500000000000001</v>
      </c>
      <c r="AL76" s="82">
        <f t="shared" si="26"/>
        <v>0</v>
      </c>
      <c r="AM76" s="81">
        <f t="shared" si="27"/>
        <v>0</v>
      </c>
      <c r="AN76" s="82">
        <f t="shared" si="28"/>
        <v>0</v>
      </c>
      <c r="AO76" s="81">
        <f t="shared" si="29"/>
        <v>0</v>
      </c>
      <c r="AP76" s="82">
        <f t="shared" si="30"/>
        <v>0</v>
      </c>
      <c r="AQ76" s="83">
        <f t="shared" si="31"/>
        <v>0</v>
      </c>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spans="1:87" ht="26.25" customHeight="1" x14ac:dyDescent="0.25">
      <c r="A77" s="3"/>
      <c r="B77" s="390" t="s">
        <v>163</v>
      </c>
      <c r="C77" s="391"/>
      <c r="D77" s="87"/>
      <c r="E77" s="1"/>
      <c r="F77" s="1"/>
      <c r="G77" s="1"/>
      <c r="H77" s="1"/>
      <c r="I77" s="1"/>
      <c r="J77" s="394"/>
      <c r="K77" s="395"/>
      <c r="L77" s="1"/>
      <c r="M77" s="1"/>
      <c r="N77" s="1"/>
      <c r="O77" s="1"/>
      <c r="P77" s="1"/>
      <c r="Q77" s="1"/>
      <c r="R77" s="1"/>
      <c r="S77" s="1"/>
      <c r="T77" s="1"/>
      <c r="U77" s="1"/>
      <c r="V77" s="1"/>
      <c r="W77" s="1"/>
      <c r="X77" s="1"/>
      <c r="Y77" s="1"/>
      <c r="Z77" s="1"/>
      <c r="AA77" s="1"/>
      <c r="AB77" s="1"/>
      <c r="AC77" s="1"/>
      <c r="AD77" s="1"/>
      <c r="AE77" s="1"/>
      <c r="AF77" s="1"/>
      <c r="AG77" s="1"/>
      <c r="AH77" s="1"/>
      <c r="AI77" s="1"/>
      <c r="AJ77" s="80">
        <f t="shared" si="24"/>
        <v>0.05</v>
      </c>
      <c r="AK77" s="81">
        <f t="shared" si="25"/>
        <v>1.27</v>
      </c>
      <c r="AL77" s="82">
        <f t="shared" si="26"/>
        <v>0</v>
      </c>
      <c r="AM77" s="81">
        <f t="shared" si="27"/>
        <v>0</v>
      </c>
      <c r="AN77" s="82">
        <f t="shared" si="28"/>
        <v>0</v>
      </c>
      <c r="AO77" s="81">
        <f t="shared" si="29"/>
        <v>0</v>
      </c>
      <c r="AP77" s="82">
        <f t="shared" si="30"/>
        <v>0</v>
      </c>
      <c r="AQ77" s="83">
        <f t="shared" si="31"/>
        <v>0</v>
      </c>
      <c r="AR77" s="1"/>
      <c r="AS77" s="1"/>
      <c r="AT77" s="1"/>
      <c r="AU77" s="1"/>
      <c r="AV77" s="1"/>
      <c r="AW77" s="1"/>
      <c r="AX77" s="1"/>
      <c r="AY77" s="1"/>
      <c r="AZ77" s="1"/>
      <c r="BA77" s="1"/>
      <c r="BB77" s="1"/>
      <c r="BC77" s="1"/>
      <c r="BD77" s="88">
        <v>19</v>
      </c>
      <c r="BE77" s="88">
        <v>20</v>
      </c>
      <c r="BF77" s="88">
        <v>21</v>
      </c>
      <c r="BG77" s="88">
        <v>22</v>
      </c>
      <c r="BH77" s="88">
        <v>23</v>
      </c>
      <c r="BI77" s="88">
        <v>24</v>
      </c>
      <c r="BJ77" s="88">
        <v>25</v>
      </c>
      <c r="BK77" s="88">
        <v>26</v>
      </c>
      <c r="BL77" s="88">
        <v>27</v>
      </c>
      <c r="BM77" s="88">
        <v>28</v>
      </c>
      <c r="BN77" s="88">
        <v>29</v>
      </c>
      <c r="BO77" s="88">
        <v>30</v>
      </c>
      <c r="BP77" s="1"/>
      <c r="BQ77" s="1"/>
      <c r="BR77" s="1"/>
      <c r="BS77" s="1"/>
      <c r="BT77" s="1"/>
      <c r="BU77" s="1"/>
      <c r="BV77" s="1"/>
      <c r="BW77" s="1"/>
      <c r="BX77" s="1"/>
      <c r="BY77" s="1"/>
      <c r="BZ77" s="1"/>
      <c r="CA77" s="1"/>
      <c r="CB77" s="1"/>
      <c r="CC77" s="1"/>
      <c r="CD77" s="1"/>
      <c r="CE77" s="1"/>
      <c r="CF77" s="1"/>
      <c r="CG77" s="1"/>
      <c r="CH77" s="1"/>
      <c r="CI77" s="1"/>
    </row>
    <row r="78" spans="1:87" ht="26.25" customHeight="1" x14ac:dyDescent="0.25">
      <c r="A78" s="41"/>
      <c r="B78" s="390" t="s">
        <v>164</v>
      </c>
      <c r="C78" s="391"/>
      <c r="D78" s="89" t="str">
        <f>+IF(D72="","",(D72*D76)/(D73+D72-D74))</f>
        <v/>
      </c>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80">
        <f t="shared" si="24"/>
        <v>7.4999999999999997E-2</v>
      </c>
      <c r="AK78" s="81">
        <f t="shared" si="25"/>
        <v>1.9049999999999998</v>
      </c>
      <c r="AL78" s="82">
        <f t="shared" si="26"/>
        <v>0</v>
      </c>
      <c r="AM78" s="81">
        <f t="shared" si="27"/>
        <v>0</v>
      </c>
      <c r="AN78" s="82">
        <f t="shared" si="28"/>
        <v>0</v>
      </c>
      <c r="AO78" s="81">
        <f t="shared" si="29"/>
        <v>0</v>
      </c>
      <c r="AP78" s="82">
        <f t="shared" si="30"/>
        <v>0</v>
      </c>
      <c r="AQ78" s="83">
        <f t="shared" si="31"/>
        <v>0</v>
      </c>
      <c r="AR78" s="1"/>
      <c r="AS78" s="1"/>
      <c r="AT78" s="1"/>
      <c r="AU78" s="1"/>
      <c r="AV78" s="1"/>
      <c r="AW78" s="1"/>
      <c r="AX78" s="1"/>
      <c r="AY78" s="1"/>
      <c r="AZ78" s="1"/>
      <c r="BA78" s="1"/>
      <c r="BB78" s="1"/>
      <c r="BC78" s="1"/>
      <c r="BD78" s="90">
        <v>0.99853499999999995</v>
      </c>
      <c r="BE78" s="90">
        <v>0.99823399999999995</v>
      </c>
      <c r="BF78" s="90">
        <v>0.99802199999999996</v>
      </c>
      <c r="BG78" s="90">
        <v>0.99780100000000005</v>
      </c>
      <c r="BH78" s="90">
        <v>0.99756900000000004</v>
      </c>
      <c r="BI78" s="90">
        <v>0.99732699999999996</v>
      </c>
      <c r="BJ78" s="90">
        <v>0.99707500000000004</v>
      </c>
      <c r="BK78" s="90">
        <v>0.99681399999999998</v>
      </c>
      <c r="BL78" s="90">
        <v>0.99654399999999999</v>
      </c>
      <c r="BM78" s="90">
        <v>0.99626400000000004</v>
      </c>
      <c r="BN78" s="90">
        <v>0.99597599999999997</v>
      </c>
      <c r="BO78" s="90">
        <v>0.99567799999999995</v>
      </c>
      <c r="BP78" s="1"/>
      <c r="BQ78" s="1"/>
      <c r="BR78" s="1"/>
      <c r="BS78" s="1"/>
      <c r="BT78" s="1"/>
      <c r="BU78" s="1"/>
      <c r="BV78" s="1"/>
      <c r="BW78" s="1"/>
      <c r="BX78" s="1"/>
      <c r="BY78" s="1"/>
      <c r="BZ78" s="1"/>
      <c r="CA78" s="1"/>
      <c r="CB78" s="1"/>
      <c r="CC78" s="1"/>
      <c r="CD78" s="1"/>
      <c r="CE78" s="1"/>
      <c r="CF78" s="1"/>
      <c r="CG78" s="1"/>
      <c r="CH78" s="1"/>
      <c r="CI78" s="1"/>
    </row>
    <row r="79" spans="1:87" ht="15.75" customHeight="1" x14ac:dyDescent="0.25">
      <c r="A79" s="1"/>
      <c r="B79" s="1"/>
      <c r="C79" s="1"/>
      <c r="D79" s="2" t="s">
        <v>41</v>
      </c>
      <c r="E79" s="1"/>
      <c r="F79" s="1"/>
      <c r="G79" s="1"/>
      <c r="H79" s="396" t="s">
        <v>165</v>
      </c>
      <c r="I79" s="397"/>
      <c r="J79" s="398"/>
      <c r="K79" s="1"/>
      <c r="L79" s="1"/>
      <c r="M79" s="1"/>
      <c r="N79" s="1"/>
      <c r="O79" s="1"/>
      <c r="P79" s="1"/>
      <c r="Q79" s="1"/>
      <c r="R79" s="1"/>
      <c r="S79" s="1"/>
      <c r="T79" s="1"/>
      <c r="U79" s="1"/>
      <c r="V79" s="1"/>
      <c r="W79" s="1"/>
      <c r="X79" s="1"/>
      <c r="Y79" s="1"/>
      <c r="Z79" s="1"/>
      <c r="AA79" s="1"/>
      <c r="AB79" s="1"/>
      <c r="AC79" s="1"/>
      <c r="AD79" s="1"/>
      <c r="AE79" s="1"/>
      <c r="AF79" s="1"/>
      <c r="AG79" s="1"/>
      <c r="AH79" s="1"/>
      <c r="AI79" s="1"/>
      <c r="AJ79" s="80">
        <f t="shared" si="24"/>
        <v>0.1</v>
      </c>
      <c r="AK79" s="81">
        <f t="shared" si="25"/>
        <v>2.54</v>
      </c>
      <c r="AL79" s="82">
        <f t="shared" si="26"/>
        <v>0</v>
      </c>
      <c r="AM79" s="91">
        <f t="shared" si="27"/>
        <v>0</v>
      </c>
      <c r="AN79" s="82">
        <f t="shared" si="28"/>
        <v>0</v>
      </c>
      <c r="AO79" s="91">
        <f t="shared" si="29"/>
        <v>0</v>
      </c>
      <c r="AP79" s="82">
        <f t="shared" si="30"/>
        <v>0</v>
      </c>
      <c r="AQ79" s="92">
        <f t="shared" si="31"/>
        <v>0</v>
      </c>
      <c r="AR79" s="1"/>
      <c r="AS79" s="1"/>
      <c r="AT79" s="1"/>
      <c r="AU79" s="1"/>
      <c r="AV79" s="1"/>
      <c r="AW79" s="1"/>
      <c r="AX79" s="1"/>
      <c r="AY79" s="1"/>
      <c r="AZ79" s="1"/>
      <c r="BA79" s="1"/>
      <c r="BB79" s="88">
        <v>17</v>
      </c>
      <c r="BC79" s="88">
        <v>18</v>
      </c>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spans="1:87" ht="42" customHeight="1" x14ac:dyDescent="0.25">
      <c r="A80" s="1"/>
      <c r="B80" s="1"/>
      <c r="C80" s="1"/>
      <c r="D80" s="2"/>
      <c r="E80" s="1"/>
      <c r="F80" s="1"/>
      <c r="G80" s="1"/>
      <c r="H80" s="399" t="s">
        <v>166</v>
      </c>
      <c r="I80" s="400"/>
      <c r="J80" s="93"/>
      <c r="K80" s="1"/>
      <c r="L80" s="1"/>
      <c r="M80" s="1"/>
      <c r="N80" s="1"/>
      <c r="O80" s="1"/>
      <c r="P80" s="1"/>
      <c r="Q80" s="1"/>
      <c r="R80" s="1"/>
      <c r="S80" s="1"/>
      <c r="T80" s="1"/>
      <c r="U80" s="1"/>
      <c r="V80" s="1"/>
      <c r="W80" s="1"/>
      <c r="X80" s="1"/>
      <c r="Y80" s="1"/>
      <c r="Z80" s="1"/>
      <c r="AA80" s="1"/>
      <c r="AB80" s="1"/>
      <c r="AC80" s="1"/>
      <c r="AD80" s="1"/>
      <c r="AE80" s="1"/>
      <c r="AF80" s="1"/>
      <c r="AG80" s="1"/>
      <c r="AH80" s="1"/>
      <c r="AI80" s="1"/>
      <c r="AJ80" s="80">
        <f>U28</f>
        <v>0.125</v>
      </c>
      <c r="AK80" s="81">
        <f t="shared" si="25"/>
        <v>3.1749999999999998</v>
      </c>
      <c r="AL80" s="82">
        <f>W28</f>
        <v>0</v>
      </c>
      <c r="AM80" s="81">
        <f t="shared" si="27"/>
        <v>0</v>
      </c>
      <c r="AN80" s="82">
        <f>AA28</f>
        <v>0</v>
      </c>
      <c r="AO80" s="81">
        <f t="shared" si="29"/>
        <v>0</v>
      </c>
      <c r="AP80" s="82">
        <f>AE28</f>
        <v>0</v>
      </c>
      <c r="AQ80" s="83">
        <f t="shared" si="31"/>
        <v>0</v>
      </c>
      <c r="AR80" s="1"/>
      <c r="AS80" s="1"/>
      <c r="AT80" s="1"/>
      <c r="AU80" s="1"/>
      <c r="AV80" s="1"/>
      <c r="AW80" s="1"/>
      <c r="AX80" s="1"/>
      <c r="AY80" s="1"/>
      <c r="AZ80" s="1"/>
      <c r="BA80" s="1"/>
      <c r="BB80" s="1"/>
      <c r="BC80" s="90">
        <v>0.99880400000000003</v>
      </c>
      <c r="BD80" s="90">
        <v>0.99862499999999998</v>
      </c>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spans="1:87"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80">
        <f t="shared" ref="AJ81:AJ82" si="32">U30</f>
        <v>0.15</v>
      </c>
      <c r="AK81" s="81">
        <f t="shared" si="25"/>
        <v>3.8099999999999996</v>
      </c>
      <c r="AL81" s="82">
        <f t="shared" ref="AL81:AL82" si="33">W30</f>
        <v>0</v>
      </c>
      <c r="AM81" s="81">
        <f t="shared" si="27"/>
        <v>0</v>
      </c>
      <c r="AN81" s="82">
        <f t="shared" ref="AN81:AN82" si="34">AA30</f>
        <v>0</v>
      </c>
      <c r="AO81" s="81">
        <f t="shared" si="29"/>
        <v>0</v>
      </c>
      <c r="AP81" s="82">
        <f t="shared" ref="AP81:AP82" si="35">AE30</f>
        <v>0</v>
      </c>
      <c r="AQ81" s="83">
        <f t="shared" si="31"/>
        <v>0</v>
      </c>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spans="1:87" ht="36.75" customHeight="1" x14ac:dyDescent="0.25">
      <c r="A82" s="1"/>
      <c r="B82" s="377"/>
      <c r="C82" s="378"/>
      <c r="D82" s="377"/>
      <c r="E82" s="378"/>
      <c r="F82" s="377" t="s">
        <v>167</v>
      </c>
      <c r="G82" s="378"/>
      <c r="H82" s="378"/>
      <c r="I82" s="378"/>
      <c r="J82" s="378"/>
      <c r="K82" s="378"/>
      <c r="L82" s="1"/>
      <c r="M82" s="1"/>
      <c r="N82" s="1"/>
      <c r="O82" s="379" t="s">
        <v>168</v>
      </c>
      <c r="P82" s="242"/>
      <c r="Q82" s="242"/>
      <c r="R82" s="380"/>
      <c r="S82" s="383">
        <v>2.7120000000000002</v>
      </c>
      <c r="T82" s="1"/>
      <c r="U82" s="1"/>
      <c r="V82" s="1"/>
      <c r="W82" s="1"/>
      <c r="X82" s="1"/>
      <c r="Y82" s="1"/>
      <c r="Z82" s="1"/>
      <c r="AA82" s="1"/>
      <c r="AB82" s="1"/>
      <c r="AC82" s="1"/>
      <c r="AD82" s="1"/>
      <c r="AE82" s="1"/>
      <c r="AF82" s="1"/>
      <c r="AG82" s="1"/>
      <c r="AH82" s="1"/>
      <c r="AI82" s="1"/>
      <c r="AJ82" s="80">
        <f t="shared" si="32"/>
        <v>0.17499999999999999</v>
      </c>
      <c r="AK82" s="81">
        <f t="shared" si="25"/>
        <v>4.4449999999999994</v>
      </c>
      <c r="AL82" s="82">
        <f t="shared" si="33"/>
        <v>0</v>
      </c>
      <c r="AM82" s="81">
        <f t="shared" si="27"/>
        <v>0</v>
      </c>
      <c r="AN82" s="82">
        <f t="shared" si="34"/>
        <v>0</v>
      </c>
      <c r="AO82" s="81">
        <f t="shared" si="29"/>
        <v>0</v>
      </c>
      <c r="AP82" s="82">
        <f t="shared" si="35"/>
        <v>0</v>
      </c>
      <c r="AQ82" s="83">
        <f t="shared" si="31"/>
        <v>0</v>
      </c>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spans="1:87" ht="15" customHeight="1" x14ac:dyDescent="0.25">
      <c r="A83" s="1"/>
      <c r="B83" s="2"/>
      <c r="C83" s="2"/>
      <c r="D83" s="2">
        <v>0</v>
      </c>
      <c r="E83" s="44" t="str">
        <f>M42</f>
        <v/>
      </c>
      <c r="F83" s="2"/>
      <c r="G83" s="6" t="e">
        <f t="shared" ref="G83:J83" si="36">G84/10</f>
        <v>#VALUE!</v>
      </c>
      <c r="H83" s="6" t="e">
        <f t="shared" si="36"/>
        <v>#VALUE!</v>
      </c>
      <c r="I83" s="6" t="e">
        <f t="shared" si="36"/>
        <v>#VALUE!</v>
      </c>
      <c r="J83" s="6" t="e">
        <f t="shared" si="36"/>
        <v>#VALUE!</v>
      </c>
      <c r="K83" s="6"/>
      <c r="L83" s="1">
        <v>0</v>
      </c>
      <c r="M83" s="1"/>
      <c r="N83" s="1"/>
      <c r="O83" s="381"/>
      <c r="P83" s="369"/>
      <c r="Q83" s="369"/>
      <c r="R83" s="382"/>
      <c r="S83" s="384"/>
      <c r="T83" s="1"/>
      <c r="U83" s="1"/>
      <c r="V83" s="1"/>
      <c r="W83" s="27"/>
      <c r="X83" s="1"/>
      <c r="Y83" s="1"/>
      <c r="Z83" s="1"/>
      <c r="AA83" s="1"/>
      <c r="AB83" s="1"/>
      <c r="AC83" s="1"/>
      <c r="AD83" s="1"/>
      <c r="AE83" s="1"/>
      <c r="AF83" s="1"/>
      <c r="AG83" s="1"/>
      <c r="AH83" s="1"/>
      <c r="AI83" s="1"/>
      <c r="AJ83" s="80">
        <f t="shared" ref="AJ83:AJ85" si="37">U33</f>
        <v>0.2</v>
      </c>
      <c r="AK83" s="91">
        <f t="shared" si="25"/>
        <v>5.08</v>
      </c>
      <c r="AL83" s="82">
        <f t="shared" ref="AL83:AL85" si="38">W33</f>
        <v>0</v>
      </c>
      <c r="AM83" s="91">
        <f t="shared" si="27"/>
        <v>0</v>
      </c>
      <c r="AN83" s="82">
        <f t="shared" ref="AN83:AN85" si="39">AA33</f>
        <v>0</v>
      </c>
      <c r="AO83" s="91">
        <f t="shared" si="29"/>
        <v>0</v>
      </c>
      <c r="AP83" s="82">
        <f t="shared" ref="AP83:AP85" si="40">AE33</f>
        <v>0</v>
      </c>
      <c r="AQ83" s="92">
        <f t="shared" si="31"/>
        <v>0</v>
      </c>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spans="1:87" ht="15" customHeight="1" x14ac:dyDescent="0.25">
      <c r="A84" s="1"/>
      <c r="B84" s="1"/>
      <c r="C84" s="94"/>
      <c r="D84" s="94"/>
      <c r="E84" s="94"/>
      <c r="F84" s="2"/>
      <c r="G84" s="6" t="e">
        <f t="shared" ref="G84:J84" si="41">($M$34/(1+(E34*$M$34/100)))*($O$73)</f>
        <v>#VALUE!</v>
      </c>
      <c r="H84" s="6" t="e">
        <f t="shared" si="41"/>
        <v>#VALUE!</v>
      </c>
      <c r="I84" s="6" t="e">
        <f t="shared" si="41"/>
        <v>#VALUE!</v>
      </c>
      <c r="J84" s="6" t="e">
        <f t="shared" si="41"/>
        <v>#VALUE!</v>
      </c>
      <c r="K84" s="6"/>
      <c r="L84" s="1"/>
      <c r="M84" s="1"/>
      <c r="N84" s="1"/>
      <c r="O84" s="379" t="s">
        <v>169</v>
      </c>
      <c r="P84" s="242"/>
      <c r="Q84" s="242"/>
      <c r="R84" s="380"/>
      <c r="S84" s="383">
        <v>2240</v>
      </c>
      <c r="T84" s="1"/>
      <c r="U84" s="1"/>
      <c r="V84" s="1"/>
      <c r="W84" s="27"/>
      <c r="X84" s="1"/>
      <c r="Y84" s="1"/>
      <c r="Z84" s="1"/>
      <c r="AA84" s="1"/>
      <c r="AB84" s="1"/>
      <c r="AC84" s="1"/>
      <c r="AD84" s="1"/>
      <c r="AE84" s="1"/>
      <c r="AF84" s="1"/>
      <c r="AG84" s="1"/>
      <c r="AH84" s="1"/>
      <c r="AI84" s="1"/>
      <c r="AJ84" s="80">
        <f t="shared" si="37"/>
        <v>0.3</v>
      </c>
      <c r="AK84" s="81">
        <f t="shared" si="25"/>
        <v>7.6199999999999992</v>
      </c>
      <c r="AL84" s="82">
        <f t="shared" si="38"/>
        <v>0</v>
      </c>
      <c r="AM84" s="81">
        <f t="shared" si="27"/>
        <v>0</v>
      </c>
      <c r="AN84" s="82">
        <f t="shared" si="39"/>
        <v>0</v>
      </c>
      <c r="AO84" s="81">
        <f t="shared" si="29"/>
        <v>0</v>
      </c>
      <c r="AP84" s="82">
        <f t="shared" si="40"/>
        <v>0</v>
      </c>
      <c r="AQ84" s="83">
        <f t="shared" si="31"/>
        <v>0</v>
      </c>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spans="1:87" ht="15" customHeight="1" x14ac:dyDescent="0.25">
      <c r="A85" s="1"/>
      <c r="B85" s="94"/>
      <c r="C85" s="94"/>
      <c r="D85" s="94"/>
      <c r="E85" s="94"/>
      <c r="F85" s="2"/>
      <c r="G85" s="6"/>
      <c r="H85" s="95"/>
      <c r="I85" s="95"/>
      <c r="J85" s="95"/>
      <c r="K85" s="95"/>
      <c r="L85" s="1">
        <f>F85</f>
        <v>0</v>
      </c>
      <c r="M85" s="1"/>
      <c r="N85" s="1"/>
      <c r="O85" s="381"/>
      <c r="P85" s="369"/>
      <c r="Q85" s="369"/>
      <c r="R85" s="382"/>
      <c r="S85" s="384"/>
      <c r="T85" s="1"/>
      <c r="U85" s="1"/>
      <c r="V85" s="1"/>
      <c r="W85" s="27"/>
      <c r="X85" s="1"/>
      <c r="Y85" s="1"/>
      <c r="Z85" s="1"/>
      <c r="AA85" s="1"/>
      <c r="AB85" s="1"/>
      <c r="AC85" s="1"/>
      <c r="AD85" s="1"/>
      <c r="AE85" s="1"/>
      <c r="AF85" s="1"/>
      <c r="AG85" s="1"/>
      <c r="AH85" s="1"/>
      <c r="AI85" s="1"/>
      <c r="AJ85" s="80">
        <f t="shared" si="37"/>
        <v>0.4</v>
      </c>
      <c r="AK85" s="81">
        <f t="shared" si="25"/>
        <v>10.16</v>
      </c>
      <c r="AL85" s="82">
        <f t="shared" si="38"/>
        <v>0</v>
      </c>
      <c r="AM85" s="81">
        <f t="shared" si="27"/>
        <v>0</v>
      </c>
      <c r="AN85" s="82">
        <f t="shared" si="39"/>
        <v>0</v>
      </c>
      <c r="AO85" s="81">
        <f t="shared" si="29"/>
        <v>0</v>
      </c>
      <c r="AP85" s="82">
        <f t="shared" si="40"/>
        <v>0</v>
      </c>
      <c r="AQ85" s="83">
        <f t="shared" si="31"/>
        <v>0</v>
      </c>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spans="1:87" ht="15" customHeight="1" x14ac:dyDescent="0.25">
      <c r="A86" s="1"/>
      <c r="B86" s="94" t="s">
        <v>13</v>
      </c>
      <c r="C86" s="94"/>
      <c r="D86" s="94"/>
      <c r="E86" s="94"/>
      <c r="F86" s="2"/>
      <c r="G86" s="2"/>
      <c r="H86" s="2"/>
      <c r="I86" s="2"/>
      <c r="J86" s="1"/>
      <c r="K86" s="1"/>
      <c r="L86" s="1"/>
      <c r="M86" s="1"/>
      <c r="N86" s="1"/>
      <c r="O86" s="379" t="s">
        <v>170</v>
      </c>
      <c r="P86" s="242"/>
      <c r="Q86" s="242"/>
      <c r="R86" s="380"/>
      <c r="S86" s="402">
        <v>999.52</v>
      </c>
      <c r="T86" s="1"/>
      <c r="U86" s="1"/>
      <c r="V86" s="1"/>
      <c r="W86" s="27"/>
      <c r="X86" s="1"/>
      <c r="Y86" s="1"/>
      <c r="Z86" s="1"/>
      <c r="AA86" s="1"/>
      <c r="AB86" s="1"/>
      <c r="AC86" s="1"/>
      <c r="AD86" s="1"/>
      <c r="AE86" s="1"/>
      <c r="AF86" s="1"/>
      <c r="AG86" s="1"/>
      <c r="AH86" s="1"/>
      <c r="AI86" s="1"/>
      <c r="AJ86" s="96">
        <f>U37</f>
        <v>0.5</v>
      </c>
      <c r="AK86" s="97">
        <f t="shared" si="25"/>
        <v>12.7</v>
      </c>
      <c r="AL86" s="98">
        <f>W37</f>
        <v>0</v>
      </c>
      <c r="AM86" s="97">
        <f t="shared" si="27"/>
        <v>0</v>
      </c>
      <c r="AN86" s="98">
        <f>AA37</f>
        <v>0</v>
      </c>
      <c r="AO86" s="97">
        <f t="shared" si="29"/>
        <v>0</v>
      </c>
      <c r="AP86" s="98">
        <f>AE37</f>
        <v>0</v>
      </c>
      <c r="AQ86" s="99">
        <f t="shared" si="31"/>
        <v>0</v>
      </c>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spans="1:87" ht="15.75" customHeight="1" x14ac:dyDescent="0.25">
      <c r="A87" s="1"/>
      <c r="B87" s="100" t="s">
        <v>28</v>
      </c>
      <c r="C87" s="101"/>
      <c r="D87" s="101"/>
      <c r="E87" s="101"/>
      <c r="F87" s="2"/>
      <c r="G87" s="2"/>
      <c r="H87" s="2"/>
      <c r="I87" s="2"/>
      <c r="J87" s="1"/>
      <c r="K87" s="1"/>
      <c r="L87" s="1"/>
      <c r="M87" s="1"/>
      <c r="N87" s="1"/>
      <c r="O87" s="381"/>
      <c r="P87" s="369"/>
      <c r="Q87" s="369"/>
      <c r="R87" s="382"/>
      <c r="S87" s="384"/>
      <c r="T87" s="1"/>
      <c r="U87" s="1"/>
      <c r="V87" s="1"/>
      <c r="W87" s="285"/>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spans="1:87" ht="15.75" customHeight="1" x14ac:dyDescent="0.25">
      <c r="A88" s="1"/>
      <c r="B88" s="100" t="s">
        <v>31</v>
      </c>
      <c r="C88" s="101"/>
      <c r="D88" s="101"/>
      <c r="E88" s="101"/>
      <c r="F88" s="2"/>
      <c r="G88" s="2"/>
      <c r="H88" s="2"/>
      <c r="I88" s="2"/>
      <c r="J88" s="1"/>
      <c r="K88" s="1"/>
      <c r="L88" s="1"/>
      <c r="M88" s="1"/>
      <c r="N88" s="1"/>
      <c r="O88" s="1"/>
      <c r="P88" s="1"/>
      <c r="Q88" s="1"/>
      <c r="R88" s="1"/>
      <c r="S88" s="1"/>
      <c r="T88" s="1"/>
      <c r="U88" s="1"/>
      <c r="V88" s="1"/>
      <c r="W88" s="286"/>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spans="1:87" ht="15.75" customHeight="1" x14ac:dyDescent="0.25">
      <c r="A89" s="1"/>
      <c r="B89" s="100" t="s">
        <v>34</v>
      </c>
      <c r="C89" s="101"/>
      <c r="D89" s="101"/>
      <c r="E89" s="101"/>
      <c r="F89" s="2"/>
      <c r="G89" s="2"/>
      <c r="H89" s="2"/>
      <c r="I89" s="2"/>
      <c r="J89" s="102"/>
      <c r="K89" s="103"/>
      <c r="L89" s="102"/>
      <c r="M89" s="103"/>
      <c r="N89" s="1"/>
      <c r="O89" s="1"/>
      <c r="P89" s="1"/>
      <c r="Q89" s="1"/>
      <c r="R89" s="1"/>
      <c r="S89" s="1"/>
      <c r="T89" s="1"/>
      <c r="U89" s="1"/>
      <c r="V89" s="1"/>
      <c r="W89" s="376"/>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row r="90" spans="1:87" ht="15.75" customHeight="1" x14ac:dyDescent="0.25">
      <c r="A90" s="1"/>
      <c r="B90" s="100" t="s">
        <v>38</v>
      </c>
      <c r="C90" s="101"/>
      <c r="D90" s="101"/>
      <c r="E90" s="101"/>
      <c r="F90" s="2"/>
      <c r="G90" s="1"/>
      <c r="H90" s="1"/>
      <c r="I90" s="1"/>
      <c r="J90" s="1"/>
      <c r="K90" s="1"/>
      <c r="L90" s="1"/>
      <c r="M90" s="1"/>
      <c r="N90" s="1"/>
      <c r="O90" s="1"/>
      <c r="P90" s="1"/>
      <c r="Q90" s="1"/>
      <c r="R90" s="1"/>
      <c r="S90" s="1"/>
      <c r="T90" s="1"/>
      <c r="U90" s="1"/>
      <c r="V90" s="1"/>
      <c r="W90" s="286"/>
      <c r="X90" s="1"/>
      <c r="Y90" s="1"/>
      <c r="Z90" s="1"/>
      <c r="AA90" s="1"/>
      <c r="AB90" s="1"/>
      <c r="AC90" s="1"/>
      <c r="AD90" s="1"/>
      <c r="AE90" s="1"/>
      <c r="AF90" s="1"/>
      <c r="AG90" s="1"/>
      <c r="AH90" s="1"/>
      <c r="AI90" s="1"/>
      <c r="AJ90" s="104" t="e">
        <f ca="1">W19</f>
        <v>#NAME?</v>
      </c>
      <c r="AK90" s="105" t="e">
        <f ca="1">AA19</f>
        <v>#NAME?</v>
      </c>
      <c r="AL90" s="106" t="e">
        <f ca="1">AE19</f>
        <v>#NAME?</v>
      </c>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row>
    <row r="91" spans="1:87" ht="21" customHeight="1" x14ac:dyDescent="0.25">
      <c r="A91" s="1"/>
      <c r="B91" s="100" t="s">
        <v>41</v>
      </c>
      <c r="C91" s="101"/>
      <c r="D91" s="101"/>
      <c r="E91" s="101"/>
      <c r="F91" s="2"/>
      <c r="G91" s="403" t="s">
        <v>171</v>
      </c>
      <c r="H91" s="246"/>
      <c r="I91" s="247"/>
      <c r="J91" s="15"/>
      <c r="K91" s="1"/>
      <c r="L91" s="1"/>
      <c r="M91" s="1"/>
      <c r="N91" s="1"/>
      <c r="O91" s="1"/>
      <c r="P91" s="1"/>
      <c r="Q91" s="1"/>
      <c r="R91" s="1"/>
      <c r="S91" s="1"/>
      <c r="T91" s="1"/>
      <c r="U91" s="1"/>
      <c r="V91" s="1"/>
      <c r="W91" s="27"/>
      <c r="X91" s="1"/>
      <c r="Y91" s="1"/>
      <c r="Z91" s="1"/>
      <c r="AA91" s="1"/>
      <c r="AB91" s="1"/>
      <c r="AC91" s="1"/>
      <c r="AD91" s="1"/>
      <c r="AE91" s="1"/>
      <c r="AF91" s="1"/>
      <c r="AG91" s="1"/>
      <c r="AH91" s="1"/>
      <c r="AI91" s="1"/>
      <c r="AJ91" s="107" t="e">
        <f t="shared" ref="AJ91:AL91" si="42">Q31</f>
        <v>#DIV/0!</v>
      </c>
      <c r="AK91" s="108" t="e">
        <f t="shared" si="42"/>
        <v>#DIV/0!</v>
      </c>
      <c r="AL91" s="109" t="e">
        <f t="shared" si="42"/>
        <v>#DIV/0!</v>
      </c>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row>
    <row r="92" spans="1:87" ht="21" customHeight="1" x14ac:dyDescent="0.25">
      <c r="A92" s="1"/>
      <c r="B92" s="100"/>
      <c r="C92" s="101"/>
      <c r="D92" s="101"/>
      <c r="E92" s="101"/>
      <c r="F92" s="110"/>
      <c r="G92" s="111"/>
      <c r="H92" s="2"/>
      <c r="I92" s="2"/>
      <c r="J92" s="1"/>
      <c r="K92" s="1"/>
      <c r="L92" s="1"/>
      <c r="M92" s="1"/>
      <c r="N92" s="1"/>
      <c r="O92" s="404" t="s">
        <v>172</v>
      </c>
      <c r="P92" s="405"/>
      <c r="Q92" s="405"/>
      <c r="R92" s="233"/>
      <c r="S92" s="112" t="str">
        <f>M42</f>
        <v/>
      </c>
      <c r="T92" s="1"/>
      <c r="U92" s="1"/>
      <c r="V92" s="1"/>
      <c r="W92" s="376"/>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row>
    <row r="93" spans="1:87" ht="21" customHeight="1" x14ac:dyDescent="0.25">
      <c r="A93" s="1"/>
      <c r="B93" s="100"/>
      <c r="C93" s="101"/>
      <c r="D93" s="101"/>
      <c r="E93" s="101"/>
      <c r="F93" s="1"/>
      <c r="G93" s="1"/>
      <c r="H93" s="113"/>
      <c r="I93" s="114"/>
      <c r="J93" s="1"/>
      <c r="K93" s="1"/>
      <c r="L93" s="1"/>
      <c r="M93" s="1"/>
      <c r="N93" s="1"/>
      <c r="O93" s="261" t="s">
        <v>173</v>
      </c>
      <c r="P93" s="406"/>
      <c r="Q93" s="406"/>
      <c r="R93" s="206"/>
      <c r="S93" s="115">
        <v>1.4</v>
      </c>
      <c r="T93" s="1"/>
      <c r="U93" s="1"/>
      <c r="V93" s="1"/>
      <c r="W93" s="286"/>
      <c r="X93" s="1"/>
      <c r="Y93" s="1"/>
      <c r="Z93" s="1"/>
      <c r="AA93" s="1"/>
      <c r="AB93" s="1"/>
      <c r="AC93" s="1"/>
      <c r="AD93" s="1"/>
      <c r="AE93" s="1"/>
      <c r="AF93" s="1"/>
      <c r="AG93" s="1"/>
      <c r="AH93" s="1"/>
      <c r="AI93" s="1"/>
      <c r="AJ93" s="245" t="s">
        <v>174</v>
      </c>
      <c r="AK93" s="246"/>
      <c r="AL93" s="247"/>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row>
    <row r="94" spans="1:87" ht="21" customHeight="1" x14ac:dyDescent="0.25">
      <c r="A94" s="1"/>
      <c r="B94" s="100"/>
      <c r="C94" s="101"/>
      <c r="D94" s="101"/>
      <c r="E94" s="101"/>
      <c r="F94" s="1"/>
      <c r="G94" s="1"/>
      <c r="H94" s="1"/>
      <c r="I94" s="1"/>
      <c r="J94" s="1"/>
      <c r="K94" s="1"/>
      <c r="L94" s="1"/>
      <c r="M94" s="1"/>
      <c r="N94" s="1"/>
      <c r="O94" s="261" t="s">
        <v>175</v>
      </c>
      <c r="P94" s="406"/>
      <c r="Q94" s="406"/>
      <c r="R94" s="206"/>
      <c r="S94" s="115">
        <v>0.75</v>
      </c>
      <c r="T94" s="1"/>
      <c r="U94" s="1"/>
      <c r="V94" s="1"/>
      <c r="W94" s="37"/>
      <c r="X94" s="1"/>
      <c r="Y94" s="1"/>
      <c r="Z94" s="1"/>
      <c r="AA94" s="1"/>
      <c r="AB94" s="1"/>
      <c r="AC94" s="1"/>
      <c r="AD94" s="1"/>
      <c r="AE94" s="1"/>
      <c r="AF94" s="1"/>
      <c r="AG94" s="1"/>
      <c r="AH94" s="1"/>
      <c r="AI94" s="1"/>
      <c r="AJ94" s="116">
        <f>W42</f>
        <v>0</v>
      </c>
      <c r="AK94" s="116">
        <f>AA42</f>
        <v>0</v>
      </c>
      <c r="AL94" s="116">
        <f>AD42</f>
        <v>0</v>
      </c>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row>
    <row r="95" spans="1:87" ht="15.75" customHeight="1" x14ac:dyDescent="0.25">
      <c r="A95" s="1"/>
      <c r="B95" s="2"/>
      <c r="C95" s="2"/>
      <c r="D95" s="2"/>
      <c r="E95" s="1"/>
      <c r="F95" s="1"/>
      <c r="G95" s="1"/>
      <c r="H95" s="1"/>
      <c r="I95" s="1"/>
      <c r="J95" s="1"/>
      <c r="K95" s="1"/>
      <c r="L95" s="1"/>
      <c r="M95" s="1"/>
      <c r="N95" s="1"/>
      <c r="O95" s="375" t="s">
        <v>176</v>
      </c>
      <c r="P95" s="217"/>
      <c r="Q95" s="217"/>
      <c r="R95" s="204"/>
      <c r="S95" s="117">
        <v>0.25</v>
      </c>
      <c r="T95" s="1"/>
      <c r="U95" s="1"/>
      <c r="V95" s="1"/>
      <c r="W95" s="27"/>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row>
    <row r="96" spans="1:87" ht="15.75" customHeight="1" x14ac:dyDescent="0.25">
      <c r="A96" s="1"/>
      <c r="B96" s="2"/>
      <c r="C96" s="2"/>
      <c r="D96" s="2"/>
      <c r="E96" s="2"/>
      <c r="F96" s="1"/>
      <c r="G96" s="1"/>
      <c r="H96" s="1"/>
      <c r="I96" s="1"/>
      <c r="J96" s="1"/>
      <c r="K96" s="1"/>
      <c r="L96" s="1"/>
      <c r="M96" s="1"/>
      <c r="N96" s="1"/>
      <c r="O96" s="1"/>
      <c r="P96" s="1"/>
      <c r="Q96" s="1"/>
      <c r="R96" s="1"/>
      <c r="S96" s="1"/>
      <c r="T96" s="1"/>
      <c r="U96" s="1"/>
      <c r="V96" s="1"/>
      <c r="W96" s="376"/>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row>
    <row r="97" spans="1:87" ht="15.75" customHeight="1" x14ac:dyDescent="0.25">
      <c r="A97" s="1"/>
      <c r="B97" s="2"/>
      <c r="C97" s="2"/>
      <c r="D97" s="2"/>
      <c r="E97" s="2"/>
      <c r="F97" s="1"/>
      <c r="G97" s="1"/>
      <c r="H97" s="1"/>
      <c r="I97" s="1"/>
      <c r="J97" s="1"/>
      <c r="K97" s="1"/>
      <c r="L97" s="1"/>
      <c r="M97" s="1"/>
      <c r="N97" s="1"/>
      <c r="O97" s="1"/>
      <c r="P97" s="1"/>
      <c r="Q97" s="1"/>
      <c r="R97" s="1"/>
      <c r="S97" s="1"/>
      <c r="T97" s="1"/>
      <c r="U97" s="1"/>
      <c r="V97" s="1"/>
      <c r="W97" s="286"/>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row>
    <row r="98" spans="1:87" ht="15.75" customHeight="1" x14ac:dyDescent="0.25">
      <c r="A98" s="1"/>
      <c r="B98" s="2"/>
      <c r="C98" s="2"/>
      <c r="D98" s="113"/>
      <c r="E98" s="118"/>
      <c r="F98" s="1"/>
      <c r="G98" s="1"/>
      <c r="H98" s="1"/>
      <c r="I98" s="1"/>
      <c r="J98" s="1"/>
      <c r="K98" s="1"/>
      <c r="L98" s="1"/>
      <c r="M98" s="1"/>
      <c r="N98" s="1"/>
      <c r="O98" s="1"/>
      <c r="P98" s="1"/>
      <c r="Q98" s="1"/>
      <c r="R98" s="1"/>
      <c r="S98" s="1"/>
      <c r="T98" s="1"/>
      <c r="U98" s="1"/>
      <c r="V98" s="1"/>
      <c r="W98" s="47"/>
      <c r="X98" s="1"/>
      <c r="Y98" s="1"/>
      <c r="Z98" s="119"/>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row>
    <row r="99" spans="1:87" ht="15.75" customHeight="1" x14ac:dyDescent="0.25">
      <c r="A99" s="1"/>
      <c r="B99" s="110"/>
      <c r="C99" s="120"/>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row>
    <row r="100" spans="1:87" ht="15.75" customHeight="1" x14ac:dyDescent="0.25">
      <c r="A100" s="1"/>
      <c r="B100" s="401"/>
      <c r="C100" s="377"/>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row>
    <row r="101" spans="1:87" ht="15.75" customHeight="1" x14ac:dyDescent="0.25">
      <c r="A101" s="1"/>
      <c r="B101" s="378"/>
      <c r="C101" s="378"/>
      <c r="D101" s="121" t="s">
        <v>177</v>
      </c>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row>
    <row r="102" spans="1:87" ht="15.75" customHeight="1" x14ac:dyDescent="0.25">
      <c r="A102" s="1"/>
      <c r="B102" s="378"/>
      <c r="C102" s="378"/>
      <c r="D102" s="121" t="s">
        <v>178</v>
      </c>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row>
    <row r="103" spans="1:87" ht="15.75" customHeight="1" x14ac:dyDescent="0.25">
      <c r="A103" s="1"/>
      <c r="B103" s="1"/>
      <c r="C103" s="1"/>
      <c r="D103" s="1" t="s">
        <v>25</v>
      </c>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row>
    <row r="104" spans="1:87"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row>
    <row r="105" spans="1:87"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row>
    <row r="106" spans="1:87"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row>
    <row r="107" spans="1:87"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row>
    <row r="108" spans="1:87"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row>
    <row r="109" spans="1:87" ht="24.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row>
    <row r="110" spans="1:87" ht="24.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row>
    <row r="111" spans="1:87" ht="24.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row>
    <row r="112" spans="1:87" ht="24.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row>
    <row r="113" spans="1:87" ht="24.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row>
    <row r="114" spans="1:87"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row>
    <row r="115" spans="1:87"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row>
    <row r="116" spans="1:87" ht="24.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row>
    <row r="117" spans="1:87"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row>
    <row r="118" spans="1:87"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row>
    <row r="119" spans="1:87" ht="24.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row>
    <row r="120" spans="1:87" ht="24.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row>
    <row r="121" spans="1:87" ht="24.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row>
    <row r="122" spans="1:87" ht="24.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row>
    <row r="123" spans="1:87" ht="24.75" customHeight="1" x14ac:dyDescent="0.25">
      <c r="A123" s="1"/>
      <c r="B123" s="1"/>
      <c r="C123" s="1"/>
      <c r="D123" s="1"/>
      <c r="E123" s="1"/>
      <c r="F123" s="1"/>
      <c r="G123" s="1"/>
      <c r="H123" s="1"/>
      <c r="I123" s="1"/>
      <c r="J123" s="1"/>
      <c r="K123" s="1"/>
      <c r="L123" s="1"/>
      <c r="M123" s="1"/>
      <c r="N123" s="1"/>
      <c r="O123" s="50"/>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row>
    <row r="124" spans="1:87" ht="24.75" customHeight="1" x14ac:dyDescent="0.25">
      <c r="A124" s="1"/>
      <c r="B124" s="1"/>
      <c r="C124" s="1"/>
      <c r="D124" s="1"/>
      <c r="E124" s="1"/>
      <c r="F124" s="1"/>
      <c r="G124" s="1"/>
      <c r="H124" s="1"/>
      <c r="I124" s="1"/>
      <c r="J124" s="1"/>
      <c r="K124" s="1"/>
      <c r="L124" s="1"/>
      <c r="M124" s="1"/>
      <c r="N124" s="1"/>
      <c r="O124" s="50"/>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row>
    <row r="125" spans="1:87" ht="24.75" customHeight="1" x14ac:dyDescent="0.25">
      <c r="A125" s="1"/>
      <c r="B125" s="1"/>
      <c r="C125" s="1"/>
      <c r="D125" s="1"/>
      <c r="E125" s="1"/>
      <c r="F125" s="1"/>
      <c r="G125" s="1"/>
      <c r="H125" s="1"/>
      <c r="I125" s="1"/>
      <c r="J125" s="1"/>
      <c r="K125" s="1"/>
      <c r="L125" s="1"/>
      <c r="M125" s="1"/>
      <c r="N125" s="1"/>
      <c r="O125" s="50"/>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row>
    <row r="126" spans="1:87" ht="24.75" customHeight="1" x14ac:dyDescent="0.25">
      <c r="A126" s="1"/>
      <c r="B126" s="1"/>
      <c r="C126" s="1"/>
      <c r="D126" s="1"/>
      <c r="E126" s="1"/>
      <c r="F126" s="1"/>
      <c r="G126" s="1"/>
      <c r="H126" s="1"/>
      <c r="I126" s="1"/>
      <c r="J126" s="1"/>
      <c r="K126" s="1"/>
      <c r="L126" s="1"/>
      <c r="M126" s="1"/>
      <c r="N126" s="1"/>
      <c r="O126" s="50"/>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row>
    <row r="127" spans="1:87" ht="42" customHeight="1" x14ac:dyDescent="0.25">
      <c r="A127" s="1"/>
      <c r="B127" s="1"/>
      <c r="C127" s="1"/>
      <c r="D127" s="1"/>
      <c r="E127" s="1"/>
      <c r="F127" s="1"/>
      <c r="G127" s="1"/>
      <c r="H127" s="1"/>
      <c r="I127" s="1"/>
      <c r="J127" s="1"/>
      <c r="K127" s="1"/>
      <c r="L127" s="1"/>
      <c r="M127" s="1"/>
      <c r="N127" s="1"/>
      <c r="O127" s="54"/>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row>
    <row r="128" spans="1:87" ht="42" customHeight="1" x14ac:dyDescent="0.25">
      <c r="A128" s="1"/>
      <c r="B128" s="1"/>
      <c r="C128" s="1"/>
      <c r="D128" s="1"/>
      <c r="E128" s="1"/>
      <c r="F128" s="1"/>
      <c r="G128" s="1"/>
      <c r="H128" s="1"/>
      <c r="I128" s="1"/>
      <c r="J128" s="1"/>
      <c r="K128" s="1"/>
      <c r="L128" s="1"/>
      <c r="M128" s="1"/>
      <c r="N128" s="1"/>
      <c r="O128" s="54"/>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row>
    <row r="129" spans="1:87" ht="42" customHeight="1" x14ac:dyDescent="0.25">
      <c r="A129" s="1"/>
      <c r="B129" s="1"/>
      <c r="C129" s="1"/>
      <c r="D129" s="1"/>
      <c r="E129" s="1"/>
      <c r="F129" s="1"/>
      <c r="G129" s="1"/>
      <c r="H129" s="1"/>
      <c r="I129" s="1"/>
      <c r="J129" s="1"/>
      <c r="K129" s="1"/>
      <c r="L129" s="1"/>
      <c r="M129" s="1"/>
      <c r="N129" s="1"/>
      <c r="O129" s="50"/>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row>
    <row r="130" spans="1:87" ht="42"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row>
    <row r="131" spans="1:87" ht="42"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row>
    <row r="132" spans="1:87" ht="42"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row>
    <row r="133" spans="1:87" ht="42"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row>
    <row r="134" spans="1:87" ht="42"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row>
    <row r="135" spans="1:87" ht="42"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row>
    <row r="136" spans="1:87" ht="42"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row>
    <row r="137" spans="1:87" ht="42"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row>
    <row r="138" spans="1:87" ht="42"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row>
    <row r="139" spans="1:87" ht="42"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row>
    <row r="140" spans="1:87" ht="42"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row>
    <row r="141" spans="1:87" ht="42"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row>
    <row r="142" spans="1:87" ht="42"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row>
    <row r="143" spans="1:87" ht="42"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row>
    <row r="144" spans="1:87" ht="42"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row>
    <row r="145" spans="1:87" ht="42"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row>
    <row r="146" spans="1:87" ht="42"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row>
    <row r="147" spans="1:87" ht="42"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row>
    <row r="148" spans="1:87" ht="42"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row>
    <row r="149" spans="1:87" ht="42"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row>
    <row r="150" spans="1:87" ht="42"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row>
    <row r="151" spans="1:87" ht="42"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row>
    <row r="152" spans="1:87" ht="42"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row>
    <row r="153" spans="1:87" ht="42"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row>
    <row r="154" spans="1:87"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row>
    <row r="155" spans="1:87"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row>
    <row r="156" spans="1:87"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row>
    <row r="157" spans="1:87"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row>
    <row r="158" spans="1:87"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row>
    <row r="159" spans="1:87"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row>
    <row r="160" spans="1:87"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row>
    <row r="161" spans="1:87"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row>
    <row r="162" spans="1:87"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row>
    <row r="163" spans="1:87"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row>
    <row r="164" spans="1:87"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row>
    <row r="165" spans="1:87"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row>
    <row r="166" spans="1:87"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row>
    <row r="167" spans="1:87"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row>
    <row r="168" spans="1:87"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row>
    <row r="169" spans="1:87"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row>
    <row r="170" spans="1:87"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row>
    <row r="171" spans="1:87"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row>
    <row r="172" spans="1:87"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row>
    <row r="173" spans="1:87"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row>
    <row r="174" spans="1:87"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row>
    <row r="175" spans="1:87"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row>
    <row r="176" spans="1:87"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row>
    <row r="177" spans="1:87"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row>
    <row r="178" spans="1:87"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row>
    <row r="179" spans="1:87"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row>
    <row r="180" spans="1:87"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row>
    <row r="181" spans="1:87"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row>
    <row r="182" spans="1:87"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row>
    <row r="183" spans="1:87"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row>
    <row r="184" spans="1:87"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row>
    <row r="185" spans="1:87"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row>
    <row r="186" spans="1:87"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row>
    <row r="187" spans="1:87"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row>
    <row r="188" spans="1:87"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row>
    <row r="189" spans="1:87"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row>
    <row r="190" spans="1:87"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row>
    <row r="191" spans="1:87"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row>
    <row r="192" spans="1:87"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row>
    <row r="193" spans="1:87"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row>
    <row r="194" spans="1:87"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row>
    <row r="195" spans="1:87"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row>
    <row r="196" spans="1:87"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row>
    <row r="197" spans="1:87"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row>
    <row r="198" spans="1:87"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row>
    <row r="199" spans="1:87"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row>
    <row r="200" spans="1:87"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row>
    <row r="201" spans="1:87"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row>
    <row r="202" spans="1:87"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row>
    <row r="203" spans="1:87"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row>
    <row r="204" spans="1:87"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row>
    <row r="205" spans="1:87"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row>
    <row r="206" spans="1:87"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row>
    <row r="207" spans="1:87"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row>
    <row r="208" spans="1:87"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row>
    <row r="209" spans="1:87"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row>
    <row r="210" spans="1:87"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row>
    <row r="211" spans="1:87"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row>
    <row r="212" spans="1:87"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row>
    <row r="213" spans="1:87"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row>
    <row r="214" spans="1:87"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row>
    <row r="215" spans="1:87"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row>
    <row r="216" spans="1:87"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row>
    <row r="217" spans="1:87"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row>
    <row r="218" spans="1:87"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row>
    <row r="219" spans="1:87"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row>
    <row r="220" spans="1:87"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row>
    <row r="221" spans="1:87"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row>
    <row r="222" spans="1:87"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row>
    <row r="223" spans="1:87"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row>
    <row r="224" spans="1:87"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row>
    <row r="225" spans="1:87"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row>
    <row r="226" spans="1:87"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row>
    <row r="227" spans="1:87"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row>
    <row r="228" spans="1:87"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row>
    <row r="229" spans="1:87"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row>
    <row r="230" spans="1:87"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row>
    <row r="231" spans="1:87"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row>
    <row r="232" spans="1:87"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row>
    <row r="233" spans="1:87"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row>
    <row r="234" spans="1:87"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row>
    <row r="235" spans="1:87"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row>
    <row r="236" spans="1:87"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row>
    <row r="237" spans="1:87"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row>
    <row r="238" spans="1:87"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row>
    <row r="239" spans="1:87"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row>
    <row r="240" spans="1:87"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row>
    <row r="241" spans="1:87"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row>
    <row r="242" spans="1:87"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row>
    <row r="243" spans="1:87"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row>
    <row r="244" spans="1:87"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row>
    <row r="245" spans="1:87"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row>
    <row r="246" spans="1:87"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row>
    <row r="247" spans="1:87"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row>
    <row r="248" spans="1:87"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row>
    <row r="249" spans="1:87"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row>
    <row r="250" spans="1:87"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row>
    <row r="251" spans="1:87"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row>
    <row r="252" spans="1:87"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row>
    <row r="253" spans="1:87"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row>
    <row r="254" spans="1:87"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row>
    <row r="255" spans="1:87"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row>
    <row r="256" spans="1:87"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row>
    <row r="257" spans="1:87"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row>
    <row r="258" spans="1:87"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row>
    <row r="259" spans="1:87"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row>
    <row r="260" spans="1:87"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row>
    <row r="261" spans="1:87"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c r="BX261" s="1"/>
      <c r="BY261" s="1"/>
      <c r="BZ261" s="1"/>
      <c r="CA261" s="1"/>
      <c r="CB261" s="1"/>
      <c r="CC261" s="1"/>
      <c r="CD261" s="1"/>
      <c r="CE261" s="1"/>
      <c r="CF261" s="1"/>
      <c r="CG261" s="1"/>
      <c r="CH261" s="1"/>
      <c r="CI261" s="1"/>
    </row>
    <row r="262" spans="1:87"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c r="BX262" s="1"/>
      <c r="BY262" s="1"/>
      <c r="BZ262" s="1"/>
      <c r="CA262" s="1"/>
      <c r="CB262" s="1"/>
      <c r="CC262" s="1"/>
      <c r="CD262" s="1"/>
      <c r="CE262" s="1"/>
      <c r="CF262" s="1"/>
      <c r="CG262" s="1"/>
      <c r="CH262" s="1"/>
      <c r="CI262" s="1"/>
    </row>
    <row r="263" spans="1:87"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c r="BX263" s="1"/>
      <c r="BY263" s="1"/>
      <c r="BZ263" s="1"/>
      <c r="CA263" s="1"/>
      <c r="CB263" s="1"/>
      <c r="CC263" s="1"/>
      <c r="CD263" s="1"/>
      <c r="CE263" s="1"/>
      <c r="CF263" s="1"/>
      <c r="CG263" s="1"/>
      <c r="CH263" s="1"/>
      <c r="CI263" s="1"/>
    </row>
    <row r="264" spans="1:87"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c r="BX264" s="1"/>
      <c r="BY264" s="1"/>
      <c r="BZ264" s="1"/>
      <c r="CA264" s="1"/>
      <c r="CB264" s="1"/>
      <c r="CC264" s="1"/>
      <c r="CD264" s="1"/>
      <c r="CE264" s="1"/>
      <c r="CF264" s="1"/>
      <c r="CG264" s="1"/>
      <c r="CH264" s="1"/>
      <c r="CI264" s="1"/>
    </row>
    <row r="265" spans="1:87"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c r="BX265" s="1"/>
      <c r="BY265" s="1"/>
      <c r="BZ265" s="1"/>
      <c r="CA265" s="1"/>
      <c r="CB265" s="1"/>
      <c r="CC265" s="1"/>
      <c r="CD265" s="1"/>
      <c r="CE265" s="1"/>
      <c r="CF265" s="1"/>
      <c r="CG265" s="1"/>
      <c r="CH265" s="1"/>
      <c r="CI265" s="1"/>
    </row>
    <row r="266" spans="1:87"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c r="BX266" s="1"/>
      <c r="BY266" s="1"/>
      <c r="BZ266" s="1"/>
      <c r="CA266" s="1"/>
      <c r="CB266" s="1"/>
      <c r="CC266" s="1"/>
      <c r="CD266" s="1"/>
      <c r="CE266" s="1"/>
      <c r="CF266" s="1"/>
      <c r="CG266" s="1"/>
      <c r="CH266" s="1"/>
      <c r="CI266" s="1"/>
    </row>
    <row r="267" spans="1:87"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c r="BX267" s="1"/>
      <c r="BY267" s="1"/>
      <c r="BZ267" s="1"/>
      <c r="CA267" s="1"/>
      <c r="CB267" s="1"/>
      <c r="CC267" s="1"/>
      <c r="CD267" s="1"/>
      <c r="CE267" s="1"/>
      <c r="CF267" s="1"/>
      <c r="CG267" s="1"/>
      <c r="CH267" s="1"/>
      <c r="CI267" s="1"/>
    </row>
    <row r="268" spans="1:87"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c r="BX268" s="1"/>
      <c r="BY268" s="1"/>
      <c r="BZ268" s="1"/>
      <c r="CA268" s="1"/>
      <c r="CB268" s="1"/>
      <c r="CC268" s="1"/>
      <c r="CD268" s="1"/>
      <c r="CE268" s="1"/>
      <c r="CF268" s="1"/>
      <c r="CG268" s="1"/>
      <c r="CH268" s="1"/>
      <c r="CI268" s="1"/>
    </row>
    <row r="269" spans="1:87"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c r="BX269" s="1"/>
      <c r="BY269" s="1"/>
      <c r="BZ269" s="1"/>
      <c r="CA269" s="1"/>
      <c r="CB269" s="1"/>
      <c r="CC269" s="1"/>
      <c r="CD269" s="1"/>
      <c r="CE269" s="1"/>
      <c r="CF269" s="1"/>
      <c r="CG269" s="1"/>
      <c r="CH269" s="1"/>
      <c r="CI269" s="1"/>
    </row>
    <row r="270" spans="1:87"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c r="BX270" s="1"/>
      <c r="BY270" s="1"/>
      <c r="BZ270" s="1"/>
      <c r="CA270" s="1"/>
      <c r="CB270" s="1"/>
      <c r="CC270" s="1"/>
      <c r="CD270" s="1"/>
      <c r="CE270" s="1"/>
      <c r="CF270" s="1"/>
      <c r="CG270" s="1"/>
      <c r="CH270" s="1"/>
      <c r="CI270" s="1"/>
    </row>
    <row r="271" spans="1:87"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c r="BX271" s="1"/>
      <c r="BY271" s="1"/>
      <c r="BZ271" s="1"/>
      <c r="CA271" s="1"/>
      <c r="CB271" s="1"/>
      <c r="CC271" s="1"/>
      <c r="CD271" s="1"/>
      <c r="CE271" s="1"/>
      <c r="CF271" s="1"/>
      <c r="CG271" s="1"/>
      <c r="CH271" s="1"/>
      <c r="CI271" s="1"/>
    </row>
    <row r="272" spans="1:87"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c r="BX272" s="1"/>
      <c r="BY272" s="1"/>
      <c r="BZ272" s="1"/>
      <c r="CA272" s="1"/>
      <c r="CB272" s="1"/>
      <c r="CC272" s="1"/>
      <c r="CD272" s="1"/>
      <c r="CE272" s="1"/>
      <c r="CF272" s="1"/>
      <c r="CG272" s="1"/>
      <c r="CH272" s="1"/>
      <c r="CI272" s="1"/>
    </row>
    <row r="273" spans="1:87"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c r="BX273" s="1"/>
      <c r="BY273" s="1"/>
      <c r="BZ273" s="1"/>
      <c r="CA273" s="1"/>
      <c r="CB273" s="1"/>
      <c r="CC273" s="1"/>
      <c r="CD273" s="1"/>
      <c r="CE273" s="1"/>
      <c r="CF273" s="1"/>
      <c r="CG273" s="1"/>
      <c r="CH273" s="1"/>
      <c r="CI273" s="1"/>
    </row>
    <row r="274" spans="1:87"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c r="BX274" s="1"/>
      <c r="BY274" s="1"/>
      <c r="BZ274" s="1"/>
      <c r="CA274" s="1"/>
      <c r="CB274" s="1"/>
      <c r="CC274" s="1"/>
      <c r="CD274" s="1"/>
      <c r="CE274" s="1"/>
      <c r="CF274" s="1"/>
      <c r="CG274" s="1"/>
      <c r="CH274" s="1"/>
      <c r="CI274" s="1"/>
    </row>
    <row r="275" spans="1:87"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c r="BX275" s="1"/>
      <c r="BY275" s="1"/>
      <c r="BZ275" s="1"/>
      <c r="CA275" s="1"/>
      <c r="CB275" s="1"/>
      <c r="CC275" s="1"/>
      <c r="CD275" s="1"/>
      <c r="CE275" s="1"/>
      <c r="CF275" s="1"/>
      <c r="CG275" s="1"/>
      <c r="CH275" s="1"/>
      <c r="CI275" s="1"/>
    </row>
    <row r="276" spans="1:87"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c r="BX276" s="1"/>
      <c r="BY276" s="1"/>
      <c r="BZ276" s="1"/>
      <c r="CA276" s="1"/>
      <c r="CB276" s="1"/>
      <c r="CC276" s="1"/>
      <c r="CD276" s="1"/>
      <c r="CE276" s="1"/>
      <c r="CF276" s="1"/>
      <c r="CG276" s="1"/>
      <c r="CH276" s="1"/>
      <c r="CI276" s="1"/>
    </row>
    <row r="277" spans="1:87"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c r="BX277" s="1"/>
      <c r="BY277" s="1"/>
      <c r="BZ277" s="1"/>
      <c r="CA277" s="1"/>
      <c r="CB277" s="1"/>
      <c r="CC277" s="1"/>
      <c r="CD277" s="1"/>
      <c r="CE277" s="1"/>
      <c r="CF277" s="1"/>
      <c r="CG277" s="1"/>
      <c r="CH277" s="1"/>
      <c r="CI277" s="1"/>
    </row>
    <row r="278" spans="1:87"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c r="BX278" s="1"/>
      <c r="BY278" s="1"/>
      <c r="BZ278" s="1"/>
      <c r="CA278" s="1"/>
      <c r="CB278" s="1"/>
      <c r="CC278" s="1"/>
      <c r="CD278" s="1"/>
      <c r="CE278" s="1"/>
      <c r="CF278" s="1"/>
      <c r="CG278" s="1"/>
      <c r="CH278" s="1"/>
      <c r="CI278" s="1"/>
    </row>
    <row r="279" spans="1:87"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c r="BX279" s="1"/>
      <c r="BY279" s="1"/>
      <c r="BZ279" s="1"/>
      <c r="CA279" s="1"/>
      <c r="CB279" s="1"/>
      <c r="CC279" s="1"/>
      <c r="CD279" s="1"/>
      <c r="CE279" s="1"/>
      <c r="CF279" s="1"/>
      <c r="CG279" s="1"/>
      <c r="CH279" s="1"/>
      <c r="CI279" s="1"/>
    </row>
    <row r="280" spans="1:87"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c r="BX280" s="1"/>
      <c r="BY280" s="1"/>
      <c r="BZ280" s="1"/>
      <c r="CA280" s="1"/>
      <c r="CB280" s="1"/>
      <c r="CC280" s="1"/>
      <c r="CD280" s="1"/>
      <c r="CE280" s="1"/>
      <c r="CF280" s="1"/>
      <c r="CG280" s="1"/>
      <c r="CH280" s="1"/>
      <c r="CI280" s="1"/>
    </row>
    <row r="281" spans="1:87"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c r="BX281" s="1"/>
      <c r="BY281" s="1"/>
      <c r="BZ281" s="1"/>
      <c r="CA281" s="1"/>
      <c r="CB281" s="1"/>
      <c r="CC281" s="1"/>
      <c r="CD281" s="1"/>
      <c r="CE281" s="1"/>
      <c r="CF281" s="1"/>
      <c r="CG281" s="1"/>
      <c r="CH281" s="1"/>
      <c r="CI281" s="1"/>
    </row>
    <row r="282" spans="1:87"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c r="BX282" s="1"/>
      <c r="BY282" s="1"/>
      <c r="BZ282" s="1"/>
      <c r="CA282" s="1"/>
      <c r="CB282" s="1"/>
      <c r="CC282" s="1"/>
      <c r="CD282" s="1"/>
      <c r="CE282" s="1"/>
      <c r="CF282" s="1"/>
      <c r="CG282" s="1"/>
      <c r="CH282" s="1"/>
      <c r="CI282" s="1"/>
    </row>
    <row r="283" spans="1:87"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c r="BX283" s="1"/>
      <c r="BY283" s="1"/>
      <c r="BZ283" s="1"/>
      <c r="CA283" s="1"/>
      <c r="CB283" s="1"/>
      <c r="CC283" s="1"/>
      <c r="CD283" s="1"/>
      <c r="CE283" s="1"/>
      <c r="CF283" s="1"/>
      <c r="CG283" s="1"/>
      <c r="CH283" s="1"/>
      <c r="CI283" s="1"/>
    </row>
    <row r="284" spans="1:87"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c r="BX284" s="1"/>
      <c r="BY284" s="1"/>
      <c r="BZ284" s="1"/>
      <c r="CA284" s="1"/>
      <c r="CB284" s="1"/>
      <c r="CC284" s="1"/>
      <c r="CD284" s="1"/>
      <c r="CE284" s="1"/>
      <c r="CF284" s="1"/>
      <c r="CG284" s="1"/>
      <c r="CH284" s="1"/>
      <c r="CI284" s="1"/>
    </row>
    <row r="285" spans="1:87"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c r="BX285" s="1"/>
      <c r="BY285" s="1"/>
      <c r="BZ285" s="1"/>
      <c r="CA285" s="1"/>
      <c r="CB285" s="1"/>
      <c r="CC285" s="1"/>
      <c r="CD285" s="1"/>
      <c r="CE285" s="1"/>
      <c r="CF285" s="1"/>
      <c r="CG285" s="1"/>
      <c r="CH285" s="1"/>
      <c r="CI285" s="1"/>
    </row>
    <row r="286" spans="1:87"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c r="BX286" s="1"/>
      <c r="BY286" s="1"/>
      <c r="BZ286" s="1"/>
      <c r="CA286" s="1"/>
      <c r="CB286" s="1"/>
      <c r="CC286" s="1"/>
      <c r="CD286" s="1"/>
      <c r="CE286" s="1"/>
      <c r="CF286" s="1"/>
      <c r="CG286" s="1"/>
      <c r="CH286" s="1"/>
      <c r="CI286" s="1"/>
    </row>
    <row r="287" spans="1:87"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c r="BX287" s="1"/>
      <c r="BY287" s="1"/>
      <c r="BZ287" s="1"/>
      <c r="CA287" s="1"/>
      <c r="CB287" s="1"/>
      <c r="CC287" s="1"/>
      <c r="CD287" s="1"/>
      <c r="CE287" s="1"/>
      <c r="CF287" s="1"/>
      <c r="CG287" s="1"/>
      <c r="CH287" s="1"/>
      <c r="CI287" s="1"/>
    </row>
    <row r="288" spans="1:87"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c r="BX288" s="1"/>
      <c r="BY288" s="1"/>
      <c r="BZ288" s="1"/>
      <c r="CA288" s="1"/>
      <c r="CB288" s="1"/>
      <c r="CC288" s="1"/>
      <c r="CD288" s="1"/>
      <c r="CE288" s="1"/>
      <c r="CF288" s="1"/>
      <c r="CG288" s="1"/>
      <c r="CH288" s="1"/>
      <c r="CI288" s="1"/>
    </row>
    <row r="289" spans="1:87"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c r="BX289" s="1"/>
      <c r="BY289" s="1"/>
      <c r="BZ289" s="1"/>
      <c r="CA289" s="1"/>
      <c r="CB289" s="1"/>
      <c r="CC289" s="1"/>
      <c r="CD289" s="1"/>
      <c r="CE289" s="1"/>
      <c r="CF289" s="1"/>
      <c r="CG289" s="1"/>
      <c r="CH289" s="1"/>
      <c r="CI289" s="1"/>
    </row>
    <row r="290" spans="1:87"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c r="BX290" s="1"/>
      <c r="BY290" s="1"/>
      <c r="BZ290" s="1"/>
      <c r="CA290" s="1"/>
      <c r="CB290" s="1"/>
      <c r="CC290" s="1"/>
      <c r="CD290" s="1"/>
      <c r="CE290" s="1"/>
      <c r="CF290" s="1"/>
      <c r="CG290" s="1"/>
      <c r="CH290" s="1"/>
      <c r="CI290" s="1"/>
    </row>
    <row r="291" spans="1:87"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c r="BX291" s="1"/>
      <c r="BY291" s="1"/>
      <c r="BZ291" s="1"/>
      <c r="CA291" s="1"/>
      <c r="CB291" s="1"/>
      <c r="CC291" s="1"/>
      <c r="CD291" s="1"/>
      <c r="CE291" s="1"/>
      <c r="CF291" s="1"/>
      <c r="CG291" s="1"/>
      <c r="CH291" s="1"/>
      <c r="CI291" s="1"/>
    </row>
    <row r="292" spans="1:87"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c r="BX292" s="1"/>
      <c r="BY292" s="1"/>
      <c r="BZ292" s="1"/>
      <c r="CA292" s="1"/>
      <c r="CB292" s="1"/>
      <c r="CC292" s="1"/>
      <c r="CD292" s="1"/>
      <c r="CE292" s="1"/>
      <c r="CF292" s="1"/>
      <c r="CG292" s="1"/>
      <c r="CH292" s="1"/>
      <c r="CI292" s="1"/>
    </row>
    <row r="293" spans="1:87"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c r="BX293" s="1"/>
      <c r="BY293" s="1"/>
      <c r="BZ293" s="1"/>
      <c r="CA293" s="1"/>
      <c r="CB293" s="1"/>
      <c r="CC293" s="1"/>
      <c r="CD293" s="1"/>
      <c r="CE293" s="1"/>
      <c r="CF293" s="1"/>
      <c r="CG293" s="1"/>
      <c r="CH293" s="1"/>
      <c r="CI293" s="1"/>
    </row>
    <row r="294" spans="1:87"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c r="BX294" s="1"/>
      <c r="BY294" s="1"/>
      <c r="BZ294" s="1"/>
      <c r="CA294" s="1"/>
      <c r="CB294" s="1"/>
      <c r="CC294" s="1"/>
      <c r="CD294" s="1"/>
      <c r="CE294" s="1"/>
      <c r="CF294" s="1"/>
      <c r="CG294" s="1"/>
      <c r="CH294" s="1"/>
      <c r="CI294" s="1"/>
    </row>
    <row r="295" spans="1:87"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c r="BX295" s="1"/>
      <c r="BY295" s="1"/>
      <c r="BZ295" s="1"/>
      <c r="CA295" s="1"/>
      <c r="CB295" s="1"/>
      <c r="CC295" s="1"/>
      <c r="CD295" s="1"/>
      <c r="CE295" s="1"/>
      <c r="CF295" s="1"/>
      <c r="CG295" s="1"/>
      <c r="CH295" s="1"/>
      <c r="CI295" s="1"/>
    </row>
    <row r="296" spans="1:87"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c r="BX296" s="1"/>
      <c r="BY296" s="1"/>
      <c r="BZ296" s="1"/>
      <c r="CA296" s="1"/>
      <c r="CB296" s="1"/>
      <c r="CC296" s="1"/>
      <c r="CD296" s="1"/>
      <c r="CE296" s="1"/>
      <c r="CF296" s="1"/>
      <c r="CG296" s="1"/>
      <c r="CH296" s="1"/>
      <c r="CI296" s="1"/>
    </row>
    <row r="297" spans="1:87"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c r="BX297" s="1"/>
      <c r="BY297" s="1"/>
      <c r="BZ297" s="1"/>
      <c r="CA297" s="1"/>
      <c r="CB297" s="1"/>
      <c r="CC297" s="1"/>
      <c r="CD297" s="1"/>
      <c r="CE297" s="1"/>
      <c r="CF297" s="1"/>
      <c r="CG297" s="1"/>
      <c r="CH297" s="1"/>
      <c r="CI297" s="1"/>
    </row>
    <row r="298" spans="1:87"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c r="BX298" s="1"/>
      <c r="BY298" s="1"/>
      <c r="BZ298" s="1"/>
      <c r="CA298" s="1"/>
      <c r="CB298" s="1"/>
      <c r="CC298" s="1"/>
      <c r="CD298" s="1"/>
      <c r="CE298" s="1"/>
      <c r="CF298" s="1"/>
      <c r="CG298" s="1"/>
      <c r="CH298" s="1"/>
      <c r="CI298" s="1"/>
    </row>
    <row r="299" spans="1:87"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c r="BX299" s="1"/>
      <c r="BY299" s="1"/>
      <c r="BZ299" s="1"/>
      <c r="CA299" s="1"/>
      <c r="CB299" s="1"/>
      <c r="CC299" s="1"/>
      <c r="CD299" s="1"/>
      <c r="CE299" s="1"/>
      <c r="CF299" s="1"/>
      <c r="CG299" s="1"/>
      <c r="CH299" s="1"/>
      <c r="CI299" s="1"/>
    </row>
    <row r="300" spans="1:87"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c r="BX300" s="1"/>
      <c r="BY300" s="1"/>
      <c r="BZ300" s="1"/>
      <c r="CA300" s="1"/>
      <c r="CB300" s="1"/>
      <c r="CC300" s="1"/>
      <c r="CD300" s="1"/>
      <c r="CE300" s="1"/>
      <c r="CF300" s="1"/>
      <c r="CG300" s="1"/>
      <c r="CH300" s="1"/>
      <c r="CI300" s="1"/>
    </row>
    <row r="301" spans="1:87"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c r="BX301" s="1"/>
      <c r="BY301" s="1"/>
      <c r="BZ301" s="1"/>
      <c r="CA301" s="1"/>
      <c r="CB301" s="1"/>
      <c r="CC301" s="1"/>
      <c r="CD301" s="1"/>
      <c r="CE301" s="1"/>
      <c r="CF301" s="1"/>
      <c r="CG301" s="1"/>
      <c r="CH301" s="1"/>
      <c r="CI301" s="1"/>
    </row>
    <row r="302" spans="1:87"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c r="BX302" s="1"/>
      <c r="BY302" s="1"/>
      <c r="BZ302" s="1"/>
      <c r="CA302" s="1"/>
      <c r="CB302" s="1"/>
      <c r="CC302" s="1"/>
      <c r="CD302" s="1"/>
      <c r="CE302" s="1"/>
      <c r="CF302" s="1"/>
      <c r="CG302" s="1"/>
      <c r="CH302" s="1"/>
      <c r="CI302" s="1"/>
    </row>
    <row r="303" spans="1:87"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c r="BX303" s="1"/>
      <c r="BY303" s="1"/>
      <c r="BZ303" s="1"/>
      <c r="CA303" s="1"/>
      <c r="CB303" s="1"/>
      <c r="CC303" s="1"/>
      <c r="CD303" s="1"/>
      <c r="CE303" s="1"/>
      <c r="CF303" s="1"/>
      <c r="CG303" s="1"/>
      <c r="CH303" s="1"/>
      <c r="CI303" s="1"/>
    </row>
    <row r="304" spans="1:87"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c r="BX304" s="1"/>
      <c r="BY304" s="1"/>
      <c r="BZ304" s="1"/>
      <c r="CA304" s="1"/>
      <c r="CB304" s="1"/>
      <c r="CC304" s="1"/>
      <c r="CD304" s="1"/>
      <c r="CE304" s="1"/>
      <c r="CF304" s="1"/>
      <c r="CG304" s="1"/>
      <c r="CH304" s="1"/>
      <c r="CI304" s="1"/>
    </row>
    <row r="305" spans="1:87"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c r="BX305" s="1"/>
      <c r="BY305" s="1"/>
      <c r="BZ305" s="1"/>
      <c r="CA305" s="1"/>
      <c r="CB305" s="1"/>
      <c r="CC305" s="1"/>
      <c r="CD305" s="1"/>
      <c r="CE305" s="1"/>
      <c r="CF305" s="1"/>
      <c r="CG305" s="1"/>
      <c r="CH305" s="1"/>
      <c r="CI305" s="1"/>
    </row>
    <row r="306" spans="1:87"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c r="BX306" s="1"/>
      <c r="BY306" s="1"/>
      <c r="BZ306" s="1"/>
      <c r="CA306" s="1"/>
      <c r="CB306" s="1"/>
      <c r="CC306" s="1"/>
      <c r="CD306" s="1"/>
      <c r="CE306" s="1"/>
      <c r="CF306" s="1"/>
      <c r="CG306" s="1"/>
      <c r="CH306" s="1"/>
      <c r="CI306" s="1"/>
    </row>
    <row r="307" spans="1:87"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c r="BX307" s="1"/>
      <c r="BY307" s="1"/>
      <c r="BZ307" s="1"/>
      <c r="CA307" s="1"/>
      <c r="CB307" s="1"/>
      <c r="CC307" s="1"/>
      <c r="CD307" s="1"/>
      <c r="CE307" s="1"/>
      <c r="CF307" s="1"/>
      <c r="CG307" s="1"/>
      <c r="CH307" s="1"/>
      <c r="CI307" s="1"/>
    </row>
    <row r="308" spans="1:87"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c r="BX308" s="1"/>
      <c r="BY308" s="1"/>
      <c r="BZ308" s="1"/>
      <c r="CA308" s="1"/>
      <c r="CB308" s="1"/>
      <c r="CC308" s="1"/>
      <c r="CD308" s="1"/>
      <c r="CE308" s="1"/>
      <c r="CF308" s="1"/>
      <c r="CG308" s="1"/>
      <c r="CH308" s="1"/>
      <c r="CI308" s="1"/>
    </row>
    <row r="309" spans="1:87"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c r="BX309" s="1"/>
      <c r="BY309" s="1"/>
      <c r="BZ309" s="1"/>
      <c r="CA309" s="1"/>
      <c r="CB309" s="1"/>
      <c r="CC309" s="1"/>
      <c r="CD309" s="1"/>
      <c r="CE309" s="1"/>
      <c r="CF309" s="1"/>
      <c r="CG309" s="1"/>
      <c r="CH309" s="1"/>
      <c r="CI309" s="1"/>
    </row>
    <row r="310" spans="1:87"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c r="BX310" s="1"/>
      <c r="BY310" s="1"/>
      <c r="BZ310" s="1"/>
      <c r="CA310" s="1"/>
      <c r="CB310" s="1"/>
      <c r="CC310" s="1"/>
      <c r="CD310" s="1"/>
      <c r="CE310" s="1"/>
      <c r="CF310" s="1"/>
      <c r="CG310" s="1"/>
      <c r="CH310" s="1"/>
      <c r="CI310" s="1"/>
    </row>
    <row r="311" spans="1:87"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c r="BX311" s="1"/>
      <c r="BY311" s="1"/>
      <c r="BZ311" s="1"/>
      <c r="CA311" s="1"/>
      <c r="CB311" s="1"/>
      <c r="CC311" s="1"/>
      <c r="CD311" s="1"/>
      <c r="CE311" s="1"/>
      <c r="CF311" s="1"/>
      <c r="CG311" s="1"/>
      <c r="CH311" s="1"/>
      <c r="CI311" s="1"/>
    </row>
    <row r="312" spans="1:87"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c r="BX312" s="1"/>
      <c r="BY312" s="1"/>
      <c r="BZ312" s="1"/>
      <c r="CA312" s="1"/>
      <c r="CB312" s="1"/>
      <c r="CC312" s="1"/>
      <c r="CD312" s="1"/>
      <c r="CE312" s="1"/>
      <c r="CF312" s="1"/>
      <c r="CG312" s="1"/>
      <c r="CH312" s="1"/>
      <c r="CI312" s="1"/>
    </row>
    <row r="313" spans="1:87"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c r="BX313" s="1"/>
      <c r="BY313" s="1"/>
      <c r="BZ313" s="1"/>
      <c r="CA313" s="1"/>
      <c r="CB313" s="1"/>
      <c r="CC313" s="1"/>
      <c r="CD313" s="1"/>
      <c r="CE313" s="1"/>
      <c r="CF313" s="1"/>
      <c r="CG313" s="1"/>
      <c r="CH313" s="1"/>
      <c r="CI313" s="1"/>
    </row>
    <row r="314" spans="1:87"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c r="BX314" s="1"/>
      <c r="BY314" s="1"/>
      <c r="BZ314" s="1"/>
      <c r="CA314" s="1"/>
      <c r="CB314" s="1"/>
      <c r="CC314" s="1"/>
      <c r="CD314" s="1"/>
      <c r="CE314" s="1"/>
      <c r="CF314" s="1"/>
      <c r="CG314" s="1"/>
      <c r="CH314" s="1"/>
      <c r="CI314" s="1"/>
    </row>
    <row r="315" spans="1:87"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c r="BX315" s="1"/>
      <c r="BY315" s="1"/>
      <c r="BZ315" s="1"/>
      <c r="CA315" s="1"/>
      <c r="CB315" s="1"/>
      <c r="CC315" s="1"/>
      <c r="CD315" s="1"/>
      <c r="CE315" s="1"/>
      <c r="CF315" s="1"/>
      <c r="CG315" s="1"/>
      <c r="CH315" s="1"/>
      <c r="CI315" s="1"/>
    </row>
    <row r="316" spans="1:87"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c r="BX316" s="1"/>
      <c r="BY316" s="1"/>
      <c r="BZ316" s="1"/>
      <c r="CA316" s="1"/>
      <c r="CB316" s="1"/>
      <c r="CC316" s="1"/>
      <c r="CD316" s="1"/>
      <c r="CE316" s="1"/>
      <c r="CF316" s="1"/>
      <c r="CG316" s="1"/>
      <c r="CH316" s="1"/>
      <c r="CI316" s="1"/>
    </row>
    <row r="317" spans="1:87"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c r="BX317" s="1"/>
      <c r="BY317" s="1"/>
      <c r="BZ317" s="1"/>
      <c r="CA317" s="1"/>
      <c r="CB317" s="1"/>
      <c r="CC317" s="1"/>
      <c r="CD317" s="1"/>
      <c r="CE317" s="1"/>
      <c r="CF317" s="1"/>
      <c r="CG317" s="1"/>
      <c r="CH317" s="1"/>
      <c r="CI317" s="1"/>
    </row>
    <row r="318" spans="1:87"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c r="BX318" s="1"/>
      <c r="BY318" s="1"/>
      <c r="BZ318" s="1"/>
      <c r="CA318" s="1"/>
      <c r="CB318" s="1"/>
      <c r="CC318" s="1"/>
      <c r="CD318" s="1"/>
      <c r="CE318" s="1"/>
      <c r="CF318" s="1"/>
      <c r="CG318" s="1"/>
      <c r="CH318" s="1"/>
      <c r="CI318" s="1"/>
    </row>
    <row r="319" spans="1:87"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c r="BX319" s="1"/>
      <c r="BY319" s="1"/>
      <c r="BZ319" s="1"/>
      <c r="CA319" s="1"/>
      <c r="CB319" s="1"/>
      <c r="CC319" s="1"/>
      <c r="CD319" s="1"/>
      <c r="CE319" s="1"/>
      <c r="CF319" s="1"/>
      <c r="CG319" s="1"/>
      <c r="CH319" s="1"/>
      <c r="CI319" s="1"/>
    </row>
    <row r="320" spans="1:87"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c r="BX320" s="1"/>
      <c r="BY320" s="1"/>
      <c r="BZ320" s="1"/>
      <c r="CA320" s="1"/>
      <c r="CB320" s="1"/>
      <c r="CC320" s="1"/>
      <c r="CD320" s="1"/>
      <c r="CE320" s="1"/>
      <c r="CF320" s="1"/>
      <c r="CG320" s="1"/>
      <c r="CH320" s="1"/>
      <c r="CI320" s="1"/>
    </row>
    <row r="321" spans="1:87"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c r="BX321" s="1"/>
      <c r="BY321" s="1"/>
      <c r="BZ321" s="1"/>
      <c r="CA321" s="1"/>
      <c r="CB321" s="1"/>
      <c r="CC321" s="1"/>
      <c r="CD321" s="1"/>
      <c r="CE321" s="1"/>
      <c r="CF321" s="1"/>
      <c r="CG321" s="1"/>
      <c r="CH321" s="1"/>
      <c r="CI321" s="1"/>
    </row>
    <row r="322" spans="1:87"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c r="BX322" s="1"/>
      <c r="BY322" s="1"/>
      <c r="BZ322" s="1"/>
      <c r="CA322" s="1"/>
      <c r="CB322" s="1"/>
      <c r="CC322" s="1"/>
      <c r="CD322" s="1"/>
      <c r="CE322" s="1"/>
      <c r="CF322" s="1"/>
      <c r="CG322" s="1"/>
      <c r="CH322" s="1"/>
      <c r="CI322" s="1"/>
    </row>
    <row r="323" spans="1:87"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c r="BX323" s="1"/>
      <c r="BY323" s="1"/>
      <c r="BZ323" s="1"/>
      <c r="CA323" s="1"/>
      <c r="CB323" s="1"/>
      <c r="CC323" s="1"/>
      <c r="CD323" s="1"/>
      <c r="CE323" s="1"/>
      <c r="CF323" s="1"/>
      <c r="CG323" s="1"/>
      <c r="CH323" s="1"/>
      <c r="CI323" s="1"/>
    </row>
    <row r="324" spans="1:87"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c r="BX324" s="1"/>
      <c r="BY324" s="1"/>
      <c r="BZ324" s="1"/>
      <c r="CA324" s="1"/>
      <c r="CB324" s="1"/>
      <c r="CC324" s="1"/>
      <c r="CD324" s="1"/>
      <c r="CE324" s="1"/>
      <c r="CF324" s="1"/>
      <c r="CG324" s="1"/>
      <c r="CH324" s="1"/>
      <c r="CI324" s="1"/>
    </row>
    <row r="325" spans="1:87"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c r="BX325" s="1"/>
      <c r="BY325" s="1"/>
      <c r="BZ325" s="1"/>
      <c r="CA325" s="1"/>
      <c r="CB325" s="1"/>
      <c r="CC325" s="1"/>
      <c r="CD325" s="1"/>
      <c r="CE325" s="1"/>
      <c r="CF325" s="1"/>
      <c r="CG325" s="1"/>
      <c r="CH325" s="1"/>
      <c r="CI325" s="1"/>
    </row>
    <row r="326" spans="1:87"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c r="BX326" s="1"/>
      <c r="BY326" s="1"/>
      <c r="BZ326" s="1"/>
      <c r="CA326" s="1"/>
      <c r="CB326" s="1"/>
      <c r="CC326" s="1"/>
      <c r="CD326" s="1"/>
      <c r="CE326" s="1"/>
      <c r="CF326" s="1"/>
      <c r="CG326" s="1"/>
      <c r="CH326" s="1"/>
      <c r="CI326" s="1"/>
    </row>
    <row r="327" spans="1:87"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c r="BX327" s="1"/>
      <c r="BY327" s="1"/>
      <c r="BZ327" s="1"/>
      <c r="CA327" s="1"/>
      <c r="CB327" s="1"/>
      <c r="CC327" s="1"/>
      <c r="CD327" s="1"/>
      <c r="CE327" s="1"/>
      <c r="CF327" s="1"/>
      <c r="CG327" s="1"/>
      <c r="CH327" s="1"/>
      <c r="CI327" s="1"/>
    </row>
    <row r="328" spans="1:87"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c r="BX328" s="1"/>
      <c r="BY328" s="1"/>
      <c r="BZ328" s="1"/>
      <c r="CA328" s="1"/>
      <c r="CB328" s="1"/>
      <c r="CC328" s="1"/>
      <c r="CD328" s="1"/>
      <c r="CE328" s="1"/>
      <c r="CF328" s="1"/>
      <c r="CG328" s="1"/>
      <c r="CH328" s="1"/>
      <c r="CI328" s="1"/>
    </row>
    <row r="329" spans="1:87"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c r="BX329" s="1"/>
      <c r="BY329" s="1"/>
      <c r="BZ329" s="1"/>
      <c r="CA329" s="1"/>
      <c r="CB329" s="1"/>
      <c r="CC329" s="1"/>
      <c r="CD329" s="1"/>
      <c r="CE329" s="1"/>
      <c r="CF329" s="1"/>
      <c r="CG329" s="1"/>
      <c r="CH329" s="1"/>
      <c r="CI329" s="1"/>
    </row>
    <row r="330" spans="1:87"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c r="BX330" s="1"/>
      <c r="BY330" s="1"/>
      <c r="BZ330" s="1"/>
      <c r="CA330" s="1"/>
      <c r="CB330" s="1"/>
      <c r="CC330" s="1"/>
      <c r="CD330" s="1"/>
      <c r="CE330" s="1"/>
      <c r="CF330" s="1"/>
      <c r="CG330" s="1"/>
      <c r="CH330" s="1"/>
      <c r="CI330" s="1"/>
    </row>
    <row r="331" spans="1:87"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c r="BX331" s="1"/>
      <c r="BY331" s="1"/>
      <c r="BZ331" s="1"/>
      <c r="CA331" s="1"/>
      <c r="CB331" s="1"/>
      <c r="CC331" s="1"/>
      <c r="CD331" s="1"/>
      <c r="CE331" s="1"/>
      <c r="CF331" s="1"/>
      <c r="CG331" s="1"/>
      <c r="CH331" s="1"/>
      <c r="CI331" s="1"/>
    </row>
    <row r="332" spans="1:87"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c r="BX332" s="1"/>
      <c r="BY332" s="1"/>
      <c r="BZ332" s="1"/>
      <c r="CA332" s="1"/>
      <c r="CB332" s="1"/>
      <c r="CC332" s="1"/>
      <c r="CD332" s="1"/>
      <c r="CE332" s="1"/>
      <c r="CF332" s="1"/>
      <c r="CG332" s="1"/>
      <c r="CH332" s="1"/>
      <c r="CI332" s="1"/>
    </row>
    <row r="333" spans="1:87"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c r="BX333" s="1"/>
      <c r="BY333" s="1"/>
      <c r="BZ333" s="1"/>
      <c r="CA333" s="1"/>
      <c r="CB333" s="1"/>
      <c r="CC333" s="1"/>
      <c r="CD333" s="1"/>
      <c r="CE333" s="1"/>
      <c r="CF333" s="1"/>
      <c r="CG333" s="1"/>
      <c r="CH333" s="1"/>
      <c r="CI333" s="1"/>
    </row>
    <row r="334" spans="1:87"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c r="BX334" s="1"/>
      <c r="BY334" s="1"/>
      <c r="BZ334" s="1"/>
      <c r="CA334" s="1"/>
      <c r="CB334" s="1"/>
      <c r="CC334" s="1"/>
      <c r="CD334" s="1"/>
      <c r="CE334" s="1"/>
      <c r="CF334" s="1"/>
      <c r="CG334" s="1"/>
      <c r="CH334" s="1"/>
      <c r="CI334" s="1"/>
    </row>
    <row r="335" spans="1:87"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c r="BX335" s="1"/>
      <c r="BY335" s="1"/>
      <c r="BZ335" s="1"/>
      <c r="CA335" s="1"/>
      <c r="CB335" s="1"/>
      <c r="CC335" s="1"/>
      <c r="CD335" s="1"/>
      <c r="CE335" s="1"/>
      <c r="CF335" s="1"/>
      <c r="CG335" s="1"/>
      <c r="CH335" s="1"/>
      <c r="CI335" s="1"/>
    </row>
    <row r="336" spans="1:87"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c r="BX336" s="1"/>
      <c r="BY336" s="1"/>
      <c r="BZ336" s="1"/>
      <c r="CA336" s="1"/>
      <c r="CB336" s="1"/>
      <c r="CC336" s="1"/>
      <c r="CD336" s="1"/>
      <c r="CE336" s="1"/>
      <c r="CF336" s="1"/>
      <c r="CG336" s="1"/>
      <c r="CH336" s="1"/>
      <c r="CI336" s="1"/>
    </row>
    <row r="337" spans="1:87"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c r="BX337" s="1"/>
      <c r="BY337" s="1"/>
      <c r="BZ337" s="1"/>
      <c r="CA337" s="1"/>
      <c r="CB337" s="1"/>
      <c r="CC337" s="1"/>
      <c r="CD337" s="1"/>
      <c r="CE337" s="1"/>
      <c r="CF337" s="1"/>
      <c r="CG337" s="1"/>
      <c r="CH337" s="1"/>
      <c r="CI337" s="1"/>
    </row>
    <row r="338" spans="1:87"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c r="BX338" s="1"/>
      <c r="BY338" s="1"/>
      <c r="BZ338" s="1"/>
      <c r="CA338" s="1"/>
      <c r="CB338" s="1"/>
      <c r="CC338" s="1"/>
      <c r="CD338" s="1"/>
      <c r="CE338" s="1"/>
      <c r="CF338" s="1"/>
      <c r="CG338" s="1"/>
      <c r="CH338" s="1"/>
      <c r="CI338" s="1"/>
    </row>
    <row r="339" spans="1:87"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c r="BX339" s="1"/>
      <c r="BY339" s="1"/>
      <c r="BZ339" s="1"/>
      <c r="CA339" s="1"/>
      <c r="CB339" s="1"/>
      <c r="CC339" s="1"/>
      <c r="CD339" s="1"/>
      <c r="CE339" s="1"/>
      <c r="CF339" s="1"/>
      <c r="CG339" s="1"/>
      <c r="CH339" s="1"/>
      <c r="CI339" s="1"/>
    </row>
    <row r="340" spans="1:87"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c r="BX340" s="1"/>
      <c r="BY340" s="1"/>
      <c r="BZ340" s="1"/>
      <c r="CA340" s="1"/>
      <c r="CB340" s="1"/>
      <c r="CC340" s="1"/>
      <c r="CD340" s="1"/>
      <c r="CE340" s="1"/>
      <c r="CF340" s="1"/>
      <c r="CG340" s="1"/>
      <c r="CH340" s="1"/>
      <c r="CI340" s="1"/>
    </row>
    <row r="341" spans="1:87"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c r="BX341" s="1"/>
      <c r="BY341" s="1"/>
      <c r="BZ341" s="1"/>
      <c r="CA341" s="1"/>
      <c r="CB341" s="1"/>
      <c r="CC341" s="1"/>
      <c r="CD341" s="1"/>
      <c r="CE341" s="1"/>
      <c r="CF341" s="1"/>
      <c r="CG341" s="1"/>
      <c r="CH341" s="1"/>
      <c r="CI341" s="1"/>
    </row>
    <row r="342" spans="1:87"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c r="BX342" s="1"/>
      <c r="BY342" s="1"/>
      <c r="BZ342" s="1"/>
      <c r="CA342" s="1"/>
      <c r="CB342" s="1"/>
      <c r="CC342" s="1"/>
      <c r="CD342" s="1"/>
      <c r="CE342" s="1"/>
      <c r="CF342" s="1"/>
      <c r="CG342" s="1"/>
      <c r="CH342" s="1"/>
      <c r="CI342" s="1"/>
    </row>
    <row r="343" spans="1:87"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c r="BX343" s="1"/>
      <c r="BY343" s="1"/>
      <c r="BZ343" s="1"/>
      <c r="CA343" s="1"/>
      <c r="CB343" s="1"/>
      <c r="CC343" s="1"/>
      <c r="CD343" s="1"/>
      <c r="CE343" s="1"/>
      <c r="CF343" s="1"/>
      <c r="CG343" s="1"/>
      <c r="CH343" s="1"/>
      <c r="CI343" s="1"/>
    </row>
    <row r="344" spans="1:87"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c r="BX344" s="1"/>
      <c r="BY344" s="1"/>
      <c r="BZ344" s="1"/>
      <c r="CA344" s="1"/>
      <c r="CB344" s="1"/>
      <c r="CC344" s="1"/>
      <c r="CD344" s="1"/>
      <c r="CE344" s="1"/>
      <c r="CF344" s="1"/>
      <c r="CG344" s="1"/>
      <c r="CH344" s="1"/>
      <c r="CI344" s="1"/>
    </row>
    <row r="345" spans="1:87"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c r="BX345" s="1"/>
      <c r="BY345" s="1"/>
      <c r="BZ345" s="1"/>
      <c r="CA345" s="1"/>
      <c r="CB345" s="1"/>
      <c r="CC345" s="1"/>
      <c r="CD345" s="1"/>
      <c r="CE345" s="1"/>
      <c r="CF345" s="1"/>
      <c r="CG345" s="1"/>
      <c r="CH345" s="1"/>
      <c r="CI345" s="1"/>
    </row>
    <row r="346" spans="1:87"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c r="BX346" s="1"/>
      <c r="BY346" s="1"/>
      <c r="BZ346" s="1"/>
      <c r="CA346" s="1"/>
      <c r="CB346" s="1"/>
      <c r="CC346" s="1"/>
      <c r="CD346" s="1"/>
      <c r="CE346" s="1"/>
      <c r="CF346" s="1"/>
      <c r="CG346" s="1"/>
      <c r="CH346" s="1"/>
      <c r="CI346" s="1"/>
    </row>
    <row r="347" spans="1:87"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c r="BX347" s="1"/>
      <c r="BY347" s="1"/>
      <c r="BZ347" s="1"/>
      <c r="CA347" s="1"/>
      <c r="CB347" s="1"/>
      <c r="CC347" s="1"/>
      <c r="CD347" s="1"/>
      <c r="CE347" s="1"/>
      <c r="CF347" s="1"/>
      <c r="CG347" s="1"/>
      <c r="CH347" s="1"/>
      <c r="CI347" s="1"/>
    </row>
    <row r="348" spans="1:87"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c r="BX348" s="1"/>
      <c r="BY348" s="1"/>
      <c r="BZ348" s="1"/>
      <c r="CA348" s="1"/>
      <c r="CB348" s="1"/>
      <c r="CC348" s="1"/>
      <c r="CD348" s="1"/>
      <c r="CE348" s="1"/>
      <c r="CF348" s="1"/>
      <c r="CG348" s="1"/>
      <c r="CH348" s="1"/>
      <c r="CI348" s="1"/>
    </row>
    <row r="349" spans="1:87"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c r="BX349" s="1"/>
      <c r="BY349" s="1"/>
      <c r="BZ349" s="1"/>
      <c r="CA349" s="1"/>
      <c r="CB349" s="1"/>
      <c r="CC349" s="1"/>
      <c r="CD349" s="1"/>
      <c r="CE349" s="1"/>
      <c r="CF349" s="1"/>
      <c r="CG349" s="1"/>
      <c r="CH349" s="1"/>
      <c r="CI349" s="1"/>
    </row>
    <row r="350" spans="1:87"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c r="BX350" s="1"/>
      <c r="BY350" s="1"/>
      <c r="BZ350" s="1"/>
      <c r="CA350" s="1"/>
      <c r="CB350" s="1"/>
      <c r="CC350" s="1"/>
      <c r="CD350" s="1"/>
      <c r="CE350" s="1"/>
      <c r="CF350" s="1"/>
      <c r="CG350" s="1"/>
      <c r="CH350" s="1"/>
      <c r="CI350" s="1"/>
    </row>
    <row r="351" spans="1:87"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c r="BX351" s="1"/>
      <c r="BY351" s="1"/>
      <c r="BZ351" s="1"/>
      <c r="CA351" s="1"/>
      <c r="CB351" s="1"/>
      <c r="CC351" s="1"/>
      <c r="CD351" s="1"/>
      <c r="CE351" s="1"/>
      <c r="CF351" s="1"/>
      <c r="CG351" s="1"/>
      <c r="CH351" s="1"/>
      <c r="CI351" s="1"/>
    </row>
    <row r="352" spans="1:87"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c r="BX352" s="1"/>
      <c r="BY352" s="1"/>
      <c r="BZ352" s="1"/>
      <c r="CA352" s="1"/>
      <c r="CB352" s="1"/>
      <c r="CC352" s="1"/>
      <c r="CD352" s="1"/>
      <c r="CE352" s="1"/>
      <c r="CF352" s="1"/>
      <c r="CG352" s="1"/>
      <c r="CH352" s="1"/>
      <c r="CI352" s="1"/>
    </row>
    <row r="353" spans="1:87"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c r="BX353" s="1"/>
      <c r="BY353" s="1"/>
      <c r="BZ353" s="1"/>
      <c r="CA353" s="1"/>
      <c r="CB353" s="1"/>
      <c r="CC353" s="1"/>
      <c r="CD353" s="1"/>
      <c r="CE353" s="1"/>
      <c r="CF353" s="1"/>
      <c r="CG353" s="1"/>
      <c r="CH353" s="1"/>
      <c r="CI353" s="1"/>
    </row>
    <row r="354" spans="1:87"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c r="BX354" s="1"/>
      <c r="BY354" s="1"/>
      <c r="BZ354" s="1"/>
      <c r="CA354" s="1"/>
      <c r="CB354" s="1"/>
      <c r="CC354" s="1"/>
      <c r="CD354" s="1"/>
      <c r="CE354" s="1"/>
      <c r="CF354" s="1"/>
      <c r="CG354" s="1"/>
      <c r="CH354" s="1"/>
      <c r="CI354" s="1"/>
    </row>
    <row r="355" spans="1:87"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c r="BX355" s="1"/>
      <c r="BY355" s="1"/>
      <c r="BZ355" s="1"/>
      <c r="CA355" s="1"/>
      <c r="CB355" s="1"/>
      <c r="CC355" s="1"/>
      <c r="CD355" s="1"/>
      <c r="CE355" s="1"/>
      <c r="CF355" s="1"/>
      <c r="CG355" s="1"/>
      <c r="CH355" s="1"/>
      <c r="CI355" s="1"/>
    </row>
    <row r="356" spans="1:87"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c r="BX356" s="1"/>
      <c r="BY356" s="1"/>
      <c r="BZ356" s="1"/>
      <c r="CA356" s="1"/>
      <c r="CB356" s="1"/>
      <c r="CC356" s="1"/>
      <c r="CD356" s="1"/>
      <c r="CE356" s="1"/>
      <c r="CF356" s="1"/>
      <c r="CG356" s="1"/>
      <c r="CH356" s="1"/>
      <c r="CI356" s="1"/>
    </row>
    <row r="357" spans="1:87"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c r="BX357" s="1"/>
      <c r="BY357" s="1"/>
      <c r="BZ357" s="1"/>
      <c r="CA357" s="1"/>
      <c r="CB357" s="1"/>
      <c r="CC357" s="1"/>
      <c r="CD357" s="1"/>
      <c r="CE357" s="1"/>
      <c r="CF357" s="1"/>
      <c r="CG357" s="1"/>
      <c r="CH357" s="1"/>
      <c r="CI357" s="1"/>
    </row>
    <row r="358" spans="1:87"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c r="BX358" s="1"/>
      <c r="BY358" s="1"/>
      <c r="BZ358" s="1"/>
      <c r="CA358" s="1"/>
      <c r="CB358" s="1"/>
      <c r="CC358" s="1"/>
      <c r="CD358" s="1"/>
      <c r="CE358" s="1"/>
      <c r="CF358" s="1"/>
      <c r="CG358" s="1"/>
      <c r="CH358" s="1"/>
      <c r="CI358" s="1"/>
    </row>
    <row r="359" spans="1:87"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c r="BX359" s="1"/>
      <c r="BY359" s="1"/>
      <c r="BZ359" s="1"/>
      <c r="CA359" s="1"/>
      <c r="CB359" s="1"/>
      <c r="CC359" s="1"/>
      <c r="CD359" s="1"/>
      <c r="CE359" s="1"/>
      <c r="CF359" s="1"/>
      <c r="CG359" s="1"/>
      <c r="CH359" s="1"/>
      <c r="CI359" s="1"/>
    </row>
    <row r="360" spans="1:87"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c r="BX360" s="1"/>
      <c r="BY360" s="1"/>
      <c r="BZ360" s="1"/>
      <c r="CA360" s="1"/>
      <c r="CB360" s="1"/>
      <c r="CC360" s="1"/>
      <c r="CD360" s="1"/>
      <c r="CE360" s="1"/>
      <c r="CF360" s="1"/>
      <c r="CG360" s="1"/>
      <c r="CH360" s="1"/>
      <c r="CI360" s="1"/>
    </row>
    <row r="361" spans="1:87"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c r="BX361" s="1"/>
      <c r="BY361" s="1"/>
      <c r="BZ361" s="1"/>
      <c r="CA361" s="1"/>
      <c r="CB361" s="1"/>
      <c r="CC361" s="1"/>
      <c r="CD361" s="1"/>
      <c r="CE361" s="1"/>
      <c r="CF361" s="1"/>
      <c r="CG361" s="1"/>
      <c r="CH361" s="1"/>
      <c r="CI361" s="1"/>
    </row>
    <row r="362" spans="1:87"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c r="BX362" s="1"/>
      <c r="BY362" s="1"/>
      <c r="BZ362" s="1"/>
      <c r="CA362" s="1"/>
      <c r="CB362" s="1"/>
      <c r="CC362" s="1"/>
      <c r="CD362" s="1"/>
      <c r="CE362" s="1"/>
      <c r="CF362" s="1"/>
      <c r="CG362" s="1"/>
      <c r="CH362" s="1"/>
      <c r="CI362" s="1"/>
    </row>
    <row r="363" spans="1:87"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c r="BX363" s="1"/>
      <c r="BY363" s="1"/>
      <c r="BZ363" s="1"/>
      <c r="CA363" s="1"/>
      <c r="CB363" s="1"/>
      <c r="CC363" s="1"/>
      <c r="CD363" s="1"/>
      <c r="CE363" s="1"/>
      <c r="CF363" s="1"/>
      <c r="CG363" s="1"/>
      <c r="CH363" s="1"/>
      <c r="CI363" s="1"/>
    </row>
    <row r="364" spans="1:87"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c r="BA364" s="1"/>
      <c r="BB364" s="1"/>
      <c r="BC364" s="1"/>
      <c r="BD364" s="1"/>
      <c r="BE364" s="1"/>
      <c r="BF364" s="1"/>
      <c r="BG364" s="1"/>
      <c r="BH364" s="1"/>
      <c r="BI364" s="1"/>
      <c r="BJ364" s="1"/>
      <c r="BK364" s="1"/>
      <c r="BL364" s="1"/>
      <c r="BM364" s="1"/>
      <c r="BN364" s="1"/>
      <c r="BO364" s="1"/>
      <c r="BP364" s="1"/>
      <c r="BQ364" s="1"/>
      <c r="BR364" s="1"/>
      <c r="BS364" s="1"/>
      <c r="BT364" s="1"/>
      <c r="BU364" s="1"/>
      <c r="BV364" s="1"/>
      <c r="BW364" s="1"/>
      <c r="BX364" s="1"/>
      <c r="BY364" s="1"/>
      <c r="BZ364" s="1"/>
      <c r="CA364" s="1"/>
      <c r="CB364" s="1"/>
      <c r="CC364" s="1"/>
      <c r="CD364" s="1"/>
      <c r="CE364" s="1"/>
      <c r="CF364" s="1"/>
      <c r="CG364" s="1"/>
      <c r="CH364" s="1"/>
      <c r="CI364" s="1"/>
    </row>
    <row r="365" spans="1:87"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c r="BA365" s="1"/>
      <c r="BB365" s="1"/>
      <c r="BC365" s="1"/>
      <c r="BD365" s="1"/>
      <c r="BE365" s="1"/>
      <c r="BF365" s="1"/>
      <c r="BG365" s="1"/>
      <c r="BH365" s="1"/>
      <c r="BI365" s="1"/>
      <c r="BJ365" s="1"/>
      <c r="BK365" s="1"/>
      <c r="BL365" s="1"/>
      <c r="BM365" s="1"/>
      <c r="BN365" s="1"/>
      <c r="BO365" s="1"/>
      <c r="BP365" s="1"/>
      <c r="BQ365" s="1"/>
      <c r="BR365" s="1"/>
      <c r="BS365" s="1"/>
      <c r="BT365" s="1"/>
      <c r="BU365" s="1"/>
      <c r="BV365" s="1"/>
      <c r="BW365" s="1"/>
      <c r="BX365" s="1"/>
      <c r="BY365" s="1"/>
      <c r="BZ365" s="1"/>
      <c r="CA365" s="1"/>
      <c r="CB365" s="1"/>
      <c r="CC365" s="1"/>
      <c r="CD365" s="1"/>
      <c r="CE365" s="1"/>
      <c r="CF365" s="1"/>
      <c r="CG365" s="1"/>
      <c r="CH365" s="1"/>
      <c r="CI365" s="1"/>
    </row>
    <row r="366" spans="1:87"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c r="BA366" s="1"/>
      <c r="BB366" s="1"/>
      <c r="BC366" s="1"/>
      <c r="BD366" s="1"/>
      <c r="BE366" s="1"/>
      <c r="BF366" s="1"/>
      <c r="BG366" s="1"/>
      <c r="BH366" s="1"/>
      <c r="BI366" s="1"/>
      <c r="BJ366" s="1"/>
      <c r="BK366" s="1"/>
      <c r="BL366" s="1"/>
      <c r="BM366" s="1"/>
      <c r="BN366" s="1"/>
      <c r="BO366" s="1"/>
      <c r="BP366" s="1"/>
      <c r="BQ366" s="1"/>
      <c r="BR366" s="1"/>
      <c r="BS366" s="1"/>
      <c r="BT366" s="1"/>
      <c r="BU366" s="1"/>
      <c r="BV366" s="1"/>
      <c r="BW366" s="1"/>
      <c r="BX366" s="1"/>
      <c r="BY366" s="1"/>
      <c r="BZ366" s="1"/>
      <c r="CA366" s="1"/>
      <c r="CB366" s="1"/>
      <c r="CC366" s="1"/>
      <c r="CD366" s="1"/>
      <c r="CE366" s="1"/>
      <c r="CF366" s="1"/>
      <c r="CG366" s="1"/>
      <c r="CH366" s="1"/>
      <c r="CI366" s="1"/>
    </row>
    <row r="367" spans="1:87"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c r="BA367" s="1"/>
      <c r="BB367" s="1"/>
      <c r="BC367" s="1"/>
      <c r="BD367" s="1"/>
      <c r="BE367" s="1"/>
      <c r="BF367" s="1"/>
      <c r="BG367" s="1"/>
      <c r="BH367" s="1"/>
      <c r="BI367" s="1"/>
      <c r="BJ367" s="1"/>
      <c r="BK367" s="1"/>
      <c r="BL367" s="1"/>
      <c r="BM367" s="1"/>
      <c r="BN367" s="1"/>
      <c r="BO367" s="1"/>
      <c r="BP367" s="1"/>
      <c r="BQ367" s="1"/>
      <c r="BR367" s="1"/>
      <c r="BS367" s="1"/>
      <c r="BT367" s="1"/>
      <c r="BU367" s="1"/>
      <c r="BV367" s="1"/>
      <c r="BW367" s="1"/>
      <c r="BX367" s="1"/>
      <c r="BY367" s="1"/>
      <c r="BZ367" s="1"/>
      <c r="CA367" s="1"/>
      <c r="CB367" s="1"/>
      <c r="CC367" s="1"/>
      <c r="CD367" s="1"/>
      <c r="CE367" s="1"/>
      <c r="CF367" s="1"/>
      <c r="CG367" s="1"/>
      <c r="CH367" s="1"/>
      <c r="CI367" s="1"/>
    </row>
    <row r="368" spans="1:87"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c r="BA368" s="1"/>
      <c r="BB368" s="1"/>
      <c r="BC368" s="1"/>
      <c r="BD368" s="1"/>
      <c r="BE368" s="1"/>
      <c r="BF368" s="1"/>
      <c r="BG368" s="1"/>
      <c r="BH368" s="1"/>
      <c r="BI368" s="1"/>
      <c r="BJ368" s="1"/>
      <c r="BK368" s="1"/>
      <c r="BL368" s="1"/>
      <c r="BM368" s="1"/>
      <c r="BN368" s="1"/>
      <c r="BO368" s="1"/>
      <c r="BP368" s="1"/>
      <c r="BQ368" s="1"/>
      <c r="BR368" s="1"/>
      <c r="BS368" s="1"/>
      <c r="BT368" s="1"/>
      <c r="BU368" s="1"/>
      <c r="BV368" s="1"/>
      <c r="BW368" s="1"/>
      <c r="BX368" s="1"/>
      <c r="BY368" s="1"/>
      <c r="BZ368" s="1"/>
      <c r="CA368" s="1"/>
      <c r="CB368" s="1"/>
      <c r="CC368" s="1"/>
      <c r="CD368" s="1"/>
      <c r="CE368" s="1"/>
      <c r="CF368" s="1"/>
      <c r="CG368" s="1"/>
      <c r="CH368" s="1"/>
      <c r="CI368" s="1"/>
    </row>
    <row r="369" spans="1:87"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c r="BA369" s="1"/>
      <c r="BB369" s="1"/>
      <c r="BC369" s="1"/>
      <c r="BD369" s="1"/>
      <c r="BE369" s="1"/>
      <c r="BF369" s="1"/>
      <c r="BG369" s="1"/>
      <c r="BH369" s="1"/>
      <c r="BI369" s="1"/>
      <c r="BJ369" s="1"/>
      <c r="BK369" s="1"/>
      <c r="BL369" s="1"/>
      <c r="BM369" s="1"/>
      <c r="BN369" s="1"/>
      <c r="BO369" s="1"/>
      <c r="BP369" s="1"/>
      <c r="BQ369" s="1"/>
      <c r="BR369" s="1"/>
      <c r="BS369" s="1"/>
      <c r="BT369" s="1"/>
      <c r="BU369" s="1"/>
      <c r="BV369" s="1"/>
      <c r="BW369" s="1"/>
      <c r="BX369" s="1"/>
      <c r="BY369" s="1"/>
      <c r="BZ369" s="1"/>
      <c r="CA369" s="1"/>
      <c r="CB369" s="1"/>
      <c r="CC369" s="1"/>
      <c r="CD369" s="1"/>
      <c r="CE369" s="1"/>
      <c r="CF369" s="1"/>
      <c r="CG369" s="1"/>
      <c r="CH369" s="1"/>
      <c r="CI369" s="1"/>
    </row>
    <row r="370" spans="1:87"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c r="BA370" s="1"/>
      <c r="BB370" s="1"/>
      <c r="BC370" s="1"/>
      <c r="BD370" s="1"/>
      <c r="BE370" s="1"/>
      <c r="BF370" s="1"/>
      <c r="BG370" s="1"/>
      <c r="BH370" s="1"/>
      <c r="BI370" s="1"/>
      <c r="BJ370" s="1"/>
      <c r="BK370" s="1"/>
      <c r="BL370" s="1"/>
      <c r="BM370" s="1"/>
      <c r="BN370" s="1"/>
      <c r="BO370" s="1"/>
      <c r="BP370" s="1"/>
      <c r="BQ370" s="1"/>
      <c r="BR370" s="1"/>
      <c r="BS370" s="1"/>
      <c r="BT370" s="1"/>
      <c r="BU370" s="1"/>
      <c r="BV370" s="1"/>
      <c r="BW370" s="1"/>
      <c r="BX370" s="1"/>
      <c r="BY370" s="1"/>
      <c r="BZ370" s="1"/>
      <c r="CA370" s="1"/>
      <c r="CB370" s="1"/>
      <c r="CC370" s="1"/>
      <c r="CD370" s="1"/>
      <c r="CE370" s="1"/>
      <c r="CF370" s="1"/>
      <c r="CG370" s="1"/>
      <c r="CH370" s="1"/>
      <c r="CI370" s="1"/>
    </row>
    <row r="371" spans="1:87"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c r="AX371" s="1"/>
      <c r="AY371" s="1"/>
      <c r="AZ371" s="1"/>
      <c r="BA371" s="1"/>
      <c r="BB371" s="1"/>
      <c r="BC371" s="1"/>
      <c r="BD371" s="1"/>
      <c r="BE371" s="1"/>
      <c r="BF371" s="1"/>
      <c r="BG371" s="1"/>
      <c r="BH371" s="1"/>
      <c r="BI371" s="1"/>
      <c r="BJ371" s="1"/>
      <c r="BK371" s="1"/>
      <c r="BL371" s="1"/>
      <c r="BM371" s="1"/>
      <c r="BN371" s="1"/>
      <c r="BO371" s="1"/>
      <c r="BP371" s="1"/>
      <c r="BQ371" s="1"/>
      <c r="BR371" s="1"/>
      <c r="BS371" s="1"/>
      <c r="BT371" s="1"/>
      <c r="BU371" s="1"/>
      <c r="BV371" s="1"/>
      <c r="BW371" s="1"/>
      <c r="BX371" s="1"/>
      <c r="BY371" s="1"/>
      <c r="BZ371" s="1"/>
      <c r="CA371" s="1"/>
      <c r="CB371" s="1"/>
      <c r="CC371" s="1"/>
      <c r="CD371" s="1"/>
      <c r="CE371" s="1"/>
      <c r="CF371" s="1"/>
      <c r="CG371" s="1"/>
      <c r="CH371" s="1"/>
      <c r="CI371" s="1"/>
    </row>
    <row r="372" spans="1:87"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c r="AX372" s="1"/>
      <c r="AY372" s="1"/>
      <c r="AZ372" s="1"/>
      <c r="BA372" s="1"/>
      <c r="BB372" s="1"/>
      <c r="BC372" s="1"/>
      <c r="BD372" s="1"/>
      <c r="BE372" s="1"/>
      <c r="BF372" s="1"/>
      <c r="BG372" s="1"/>
      <c r="BH372" s="1"/>
      <c r="BI372" s="1"/>
      <c r="BJ372" s="1"/>
      <c r="BK372" s="1"/>
      <c r="BL372" s="1"/>
      <c r="BM372" s="1"/>
      <c r="BN372" s="1"/>
      <c r="BO372" s="1"/>
      <c r="BP372" s="1"/>
      <c r="BQ372" s="1"/>
      <c r="BR372" s="1"/>
      <c r="BS372" s="1"/>
      <c r="BT372" s="1"/>
      <c r="BU372" s="1"/>
      <c r="BV372" s="1"/>
      <c r="BW372" s="1"/>
      <c r="BX372" s="1"/>
      <c r="BY372" s="1"/>
      <c r="BZ372" s="1"/>
      <c r="CA372" s="1"/>
      <c r="CB372" s="1"/>
      <c r="CC372" s="1"/>
      <c r="CD372" s="1"/>
      <c r="CE372" s="1"/>
      <c r="CF372" s="1"/>
      <c r="CG372" s="1"/>
      <c r="CH372" s="1"/>
      <c r="CI372" s="1"/>
    </row>
    <row r="373" spans="1:87"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c r="BA373" s="1"/>
      <c r="BB373" s="1"/>
      <c r="BC373" s="1"/>
      <c r="BD373" s="1"/>
      <c r="BE373" s="1"/>
      <c r="BF373" s="1"/>
      <c r="BG373" s="1"/>
      <c r="BH373" s="1"/>
      <c r="BI373" s="1"/>
      <c r="BJ373" s="1"/>
      <c r="BK373" s="1"/>
      <c r="BL373" s="1"/>
      <c r="BM373" s="1"/>
      <c r="BN373" s="1"/>
      <c r="BO373" s="1"/>
      <c r="BP373" s="1"/>
      <c r="BQ373" s="1"/>
      <c r="BR373" s="1"/>
      <c r="BS373" s="1"/>
      <c r="BT373" s="1"/>
      <c r="BU373" s="1"/>
      <c r="BV373" s="1"/>
      <c r="BW373" s="1"/>
      <c r="BX373" s="1"/>
      <c r="BY373" s="1"/>
      <c r="BZ373" s="1"/>
      <c r="CA373" s="1"/>
      <c r="CB373" s="1"/>
      <c r="CC373" s="1"/>
      <c r="CD373" s="1"/>
      <c r="CE373" s="1"/>
      <c r="CF373" s="1"/>
      <c r="CG373" s="1"/>
      <c r="CH373" s="1"/>
      <c r="CI373" s="1"/>
    </row>
    <row r="374" spans="1:87"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c r="AX374" s="1"/>
      <c r="AY374" s="1"/>
      <c r="AZ374" s="1"/>
      <c r="BA374" s="1"/>
      <c r="BB374" s="1"/>
      <c r="BC374" s="1"/>
      <c r="BD374" s="1"/>
      <c r="BE374" s="1"/>
      <c r="BF374" s="1"/>
      <c r="BG374" s="1"/>
      <c r="BH374" s="1"/>
      <c r="BI374" s="1"/>
      <c r="BJ374" s="1"/>
      <c r="BK374" s="1"/>
      <c r="BL374" s="1"/>
      <c r="BM374" s="1"/>
      <c r="BN374" s="1"/>
      <c r="BO374" s="1"/>
      <c r="BP374" s="1"/>
      <c r="BQ374" s="1"/>
      <c r="BR374" s="1"/>
      <c r="BS374" s="1"/>
      <c r="BT374" s="1"/>
      <c r="BU374" s="1"/>
      <c r="BV374" s="1"/>
      <c r="BW374" s="1"/>
      <c r="BX374" s="1"/>
      <c r="BY374" s="1"/>
      <c r="BZ374" s="1"/>
      <c r="CA374" s="1"/>
      <c r="CB374" s="1"/>
      <c r="CC374" s="1"/>
      <c r="CD374" s="1"/>
      <c r="CE374" s="1"/>
      <c r="CF374" s="1"/>
      <c r="CG374" s="1"/>
      <c r="CH374" s="1"/>
      <c r="CI374" s="1"/>
    </row>
    <row r="375" spans="1:87"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c r="AX375" s="1"/>
      <c r="AY375" s="1"/>
      <c r="AZ375" s="1"/>
      <c r="BA375" s="1"/>
      <c r="BB375" s="1"/>
      <c r="BC375" s="1"/>
      <c r="BD375" s="1"/>
      <c r="BE375" s="1"/>
      <c r="BF375" s="1"/>
      <c r="BG375" s="1"/>
      <c r="BH375" s="1"/>
      <c r="BI375" s="1"/>
      <c r="BJ375" s="1"/>
      <c r="BK375" s="1"/>
      <c r="BL375" s="1"/>
      <c r="BM375" s="1"/>
      <c r="BN375" s="1"/>
      <c r="BO375" s="1"/>
      <c r="BP375" s="1"/>
      <c r="BQ375" s="1"/>
      <c r="BR375" s="1"/>
      <c r="BS375" s="1"/>
      <c r="BT375" s="1"/>
      <c r="BU375" s="1"/>
      <c r="BV375" s="1"/>
      <c r="BW375" s="1"/>
      <c r="BX375" s="1"/>
      <c r="BY375" s="1"/>
      <c r="BZ375" s="1"/>
      <c r="CA375" s="1"/>
      <c r="CB375" s="1"/>
      <c r="CC375" s="1"/>
      <c r="CD375" s="1"/>
      <c r="CE375" s="1"/>
      <c r="CF375" s="1"/>
      <c r="CG375" s="1"/>
      <c r="CH375" s="1"/>
      <c r="CI375" s="1"/>
    </row>
    <row r="376" spans="1:87"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c r="BA376" s="1"/>
      <c r="BB376" s="1"/>
      <c r="BC376" s="1"/>
      <c r="BD376" s="1"/>
      <c r="BE376" s="1"/>
      <c r="BF376" s="1"/>
      <c r="BG376" s="1"/>
      <c r="BH376" s="1"/>
      <c r="BI376" s="1"/>
      <c r="BJ376" s="1"/>
      <c r="BK376" s="1"/>
      <c r="BL376" s="1"/>
      <c r="BM376" s="1"/>
      <c r="BN376" s="1"/>
      <c r="BO376" s="1"/>
      <c r="BP376" s="1"/>
      <c r="BQ376" s="1"/>
      <c r="BR376" s="1"/>
      <c r="BS376" s="1"/>
      <c r="BT376" s="1"/>
      <c r="BU376" s="1"/>
      <c r="BV376" s="1"/>
      <c r="BW376" s="1"/>
      <c r="BX376" s="1"/>
      <c r="BY376" s="1"/>
      <c r="BZ376" s="1"/>
      <c r="CA376" s="1"/>
      <c r="CB376" s="1"/>
      <c r="CC376" s="1"/>
      <c r="CD376" s="1"/>
      <c r="CE376" s="1"/>
      <c r="CF376" s="1"/>
      <c r="CG376" s="1"/>
      <c r="CH376" s="1"/>
      <c r="CI376" s="1"/>
    </row>
    <row r="377" spans="1:87"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c r="BA377" s="1"/>
      <c r="BB377" s="1"/>
      <c r="BC377" s="1"/>
      <c r="BD377" s="1"/>
      <c r="BE377" s="1"/>
      <c r="BF377" s="1"/>
      <c r="BG377" s="1"/>
      <c r="BH377" s="1"/>
      <c r="BI377" s="1"/>
      <c r="BJ377" s="1"/>
      <c r="BK377" s="1"/>
      <c r="BL377" s="1"/>
      <c r="BM377" s="1"/>
      <c r="BN377" s="1"/>
      <c r="BO377" s="1"/>
      <c r="BP377" s="1"/>
      <c r="BQ377" s="1"/>
      <c r="BR377" s="1"/>
      <c r="BS377" s="1"/>
      <c r="BT377" s="1"/>
      <c r="BU377" s="1"/>
      <c r="BV377" s="1"/>
      <c r="BW377" s="1"/>
      <c r="BX377" s="1"/>
      <c r="BY377" s="1"/>
      <c r="BZ377" s="1"/>
      <c r="CA377" s="1"/>
      <c r="CB377" s="1"/>
      <c r="CC377" s="1"/>
      <c r="CD377" s="1"/>
      <c r="CE377" s="1"/>
      <c r="CF377" s="1"/>
      <c r="CG377" s="1"/>
      <c r="CH377" s="1"/>
      <c r="CI377" s="1"/>
    </row>
    <row r="378" spans="1:87"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c r="BA378" s="1"/>
      <c r="BB378" s="1"/>
      <c r="BC378" s="1"/>
      <c r="BD378" s="1"/>
      <c r="BE378" s="1"/>
      <c r="BF378" s="1"/>
      <c r="BG378" s="1"/>
      <c r="BH378" s="1"/>
      <c r="BI378" s="1"/>
      <c r="BJ378" s="1"/>
      <c r="BK378" s="1"/>
      <c r="BL378" s="1"/>
      <c r="BM378" s="1"/>
      <c r="BN378" s="1"/>
      <c r="BO378" s="1"/>
      <c r="BP378" s="1"/>
      <c r="BQ378" s="1"/>
      <c r="BR378" s="1"/>
      <c r="BS378" s="1"/>
      <c r="BT378" s="1"/>
      <c r="BU378" s="1"/>
      <c r="BV378" s="1"/>
      <c r="BW378" s="1"/>
      <c r="BX378" s="1"/>
      <c r="BY378" s="1"/>
      <c r="BZ378" s="1"/>
      <c r="CA378" s="1"/>
      <c r="CB378" s="1"/>
      <c r="CC378" s="1"/>
      <c r="CD378" s="1"/>
      <c r="CE378" s="1"/>
      <c r="CF378" s="1"/>
      <c r="CG378" s="1"/>
      <c r="CH378" s="1"/>
      <c r="CI378" s="1"/>
    </row>
    <row r="379" spans="1:87"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c r="BA379" s="1"/>
      <c r="BB379" s="1"/>
      <c r="BC379" s="1"/>
      <c r="BD379" s="1"/>
      <c r="BE379" s="1"/>
      <c r="BF379" s="1"/>
      <c r="BG379" s="1"/>
      <c r="BH379" s="1"/>
      <c r="BI379" s="1"/>
      <c r="BJ379" s="1"/>
      <c r="BK379" s="1"/>
      <c r="BL379" s="1"/>
      <c r="BM379" s="1"/>
      <c r="BN379" s="1"/>
      <c r="BO379" s="1"/>
      <c r="BP379" s="1"/>
      <c r="BQ379" s="1"/>
      <c r="BR379" s="1"/>
      <c r="BS379" s="1"/>
      <c r="BT379" s="1"/>
      <c r="BU379" s="1"/>
      <c r="BV379" s="1"/>
      <c r="BW379" s="1"/>
      <c r="BX379" s="1"/>
      <c r="BY379" s="1"/>
      <c r="BZ379" s="1"/>
      <c r="CA379" s="1"/>
      <c r="CB379" s="1"/>
      <c r="CC379" s="1"/>
      <c r="CD379" s="1"/>
      <c r="CE379" s="1"/>
      <c r="CF379" s="1"/>
      <c r="CG379" s="1"/>
      <c r="CH379" s="1"/>
      <c r="CI379" s="1"/>
    </row>
    <row r="380" spans="1:87"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c r="BA380" s="1"/>
      <c r="BB380" s="1"/>
      <c r="BC380" s="1"/>
      <c r="BD380" s="1"/>
      <c r="BE380" s="1"/>
      <c r="BF380" s="1"/>
      <c r="BG380" s="1"/>
      <c r="BH380" s="1"/>
      <c r="BI380" s="1"/>
      <c r="BJ380" s="1"/>
      <c r="BK380" s="1"/>
      <c r="BL380" s="1"/>
      <c r="BM380" s="1"/>
      <c r="BN380" s="1"/>
      <c r="BO380" s="1"/>
      <c r="BP380" s="1"/>
      <c r="BQ380" s="1"/>
      <c r="BR380" s="1"/>
      <c r="BS380" s="1"/>
      <c r="BT380" s="1"/>
      <c r="BU380" s="1"/>
      <c r="BV380" s="1"/>
      <c r="BW380" s="1"/>
      <c r="BX380" s="1"/>
      <c r="BY380" s="1"/>
      <c r="BZ380" s="1"/>
      <c r="CA380" s="1"/>
      <c r="CB380" s="1"/>
      <c r="CC380" s="1"/>
      <c r="CD380" s="1"/>
      <c r="CE380" s="1"/>
      <c r="CF380" s="1"/>
      <c r="CG380" s="1"/>
      <c r="CH380" s="1"/>
      <c r="CI380" s="1"/>
    </row>
    <row r="381" spans="1:87"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c r="BA381" s="1"/>
      <c r="BB381" s="1"/>
      <c r="BC381" s="1"/>
      <c r="BD381" s="1"/>
      <c r="BE381" s="1"/>
      <c r="BF381" s="1"/>
      <c r="BG381" s="1"/>
      <c r="BH381" s="1"/>
      <c r="BI381" s="1"/>
      <c r="BJ381" s="1"/>
      <c r="BK381" s="1"/>
      <c r="BL381" s="1"/>
      <c r="BM381" s="1"/>
      <c r="BN381" s="1"/>
      <c r="BO381" s="1"/>
      <c r="BP381" s="1"/>
      <c r="BQ381" s="1"/>
      <c r="BR381" s="1"/>
      <c r="BS381" s="1"/>
      <c r="BT381" s="1"/>
      <c r="BU381" s="1"/>
      <c r="BV381" s="1"/>
      <c r="BW381" s="1"/>
      <c r="BX381" s="1"/>
      <c r="BY381" s="1"/>
      <c r="BZ381" s="1"/>
      <c r="CA381" s="1"/>
      <c r="CB381" s="1"/>
      <c r="CC381" s="1"/>
      <c r="CD381" s="1"/>
      <c r="CE381" s="1"/>
      <c r="CF381" s="1"/>
      <c r="CG381" s="1"/>
      <c r="CH381" s="1"/>
      <c r="CI381" s="1"/>
    </row>
    <row r="382" spans="1:87"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c r="BA382" s="1"/>
      <c r="BB382" s="1"/>
      <c r="BC382" s="1"/>
      <c r="BD382" s="1"/>
      <c r="BE382" s="1"/>
      <c r="BF382" s="1"/>
      <c r="BG382" s="1"/>
      <c r="BH382" s="1"/>
      <c r="BI382" s="1"/>
      <c r="BJ382" s="1"/>
      <c r="BK382" s="1"/>
      <c r="BL382" s="1"/>
      <c r="BM382" s="1"/>
      <c r="BN382" s="1"/>
      <c r="BO382" s="1"/>
      <c r="BP382" s="1"/>
      <c r="BQ382" s="1"/>
      <c r="BR382" s="1"/>
      <c r="BS382" s="1"/>
      <c r="BT382" s="1"/>
      <c r="BU382" s="1"/>
      <c r="BV382" s="1"/>
      <c r="BW382" s="1"/>
      <c r="BX382" s="1"/>
      <c r="BY382" s="1"/>
      <c r="BZ382" s="1"/>
      <c r="CA382" s="1"/>
      <c r="CB382" s="1"/>
      <c r="CC382" s="1"/>
      <c r="CD382" s="1"/>
      <c r="CE382" s="1"/>
      <c r="CF382" s="1"/>
      <c r="CG382" s="1"/>
      <c r="CH382" s="1"/>
      <c r="CI382" s="1"/>
    </row>
    <row r="383" spans="1:87"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c r="BA383" s="1"/>
      <c r="BB383" s="1"/>
      <c r="BC383" s="1"/>
      <c r="BD383" s="1"/>
      <c r="BE383" s="1"/>
      <c r="BF383" s="1"/>
      <c r="BG383" s="1"/>
      <c r="BH383" s="1"/>
      <c r="BI383" s="1"/>
      <c r="BJ383" s="1"/>
      <c r="BK383" s="1"/>
      <c r="BL383" s="1"/>
      <c r="BM383" s="1"/>
      <c r="BN383" s="1"/>
      <c r="BO383" s="1"/>
      <c r="BP383" s="1"/>
      <c r="BQ383" s="1"/>
      <c r="BR383" s="1"/>
      <c r="BS383" s="1"/>
      <c r="BT383" s="1"/>
      <c r="BU383" s="1"/>
      <c r="BV383" s="1"/>
      <c r="BW383" s="1"/>
      <c r="BX383" s="1"/>
      <c r="BY383" s="1"/>
      <c r="BZ383" s="1"/>
      <c r="CA383" s="1"/>
      <c r="CB383" s="1"/>
      <c r="CC383" s="1"/>
      <c r="CD383" s="1"/>
      <c r="CE383" s="1"/>
      <c r="CF383" s="1"/>
      <c r="CG383" s="1"/>
      <c r="CH383" s="1"/>
      <c r="CI383" s="1"/>
    </row>
    <row r="384" spans="1:87"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c r="BA384" s="1"/>
      <c r="BB384" s="1"/>
      <c r="BC384" s="1"/>
      <c r="BD384" s="1"/>
      <c r="BE384" s="1"/>
      <c r="BF384" s="1"/>
      <c r="BG384" s="1"/>
      <c r="BH384" s="1"/>
      <c r="BI384" s="1"/>
      <c r="BJ384" s="1"/>
      <c r="BK384" s="1"/>
      <c r="BL384" s="1"/>
      <c r="BM384" s="1"/>
      <c r="BN384" s="1"/>
      <c r="BO384" s="1"/>
      <c r="BP384" s="1"/>
      <c r="BQ384" s="1"/>
      <c r="BR384" s="1"/>
      <c r="BS384" s="1"/>
      <c r="BT384" s="1"/>
      <c r="BU384" s="1"/>
      <c r="BV384" s="1"/>
      <c r="BW384" s="1"/>
      <c r="BX384" s="1"/>
      <c r="BY384" s="1"/>
      <c r="BZ384" s="1"/>
      <c r="CA384" s="1"/>
      <c r="CB384" s="1"/>
      <c r="CC384" s="1"/>
      <c r="CD384" s="1"/>
      <c r="CE384" s="1"/>
      <c r="CF384" s="1"/>
      <c r="CG384" s="1"/>
      <c r="CH384" s="1"/>
      <c r="CI384" s="1"/>
    </row>
    <row r="385" spans="1:87"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c r="BA385" s="1"/>
      <c r="BB385" s="1"/>
      <c r="BC385" s="1"/>
      <c r="BD385" s="1"/>
      <c r="BE385" s="1"/>
      <c r="BF385" s="1"/>
      <c r="BG385" s="1"/>
      <c r="BH385" s="1"/>
      <c r="BI385" s="1"/>
      <c r="BJ385" s="1"/>
      <c r="BK385" s="1"/>
      <c r="BL385" s="1"/>
      <c r="BM385" s="1"/>
      <c r="BN385" s="1"/>
      <c r="BO385" s="1"/>
      <c r="BP385" s="1"/>
      <c r="BQ385" s="1"/>
      <c r="BR385" s="1"/>
      <c r="BS385" s="1"/>
      <c r="BT385" s="1"/>
      <c r="BU385" s="1"/>
      <c r="BV385" s="1"/>
      <c r="BW385" s="1"/>
      <c r="BX385" s="1"/>
      <c r="BY385" s="1"/>
      <c r="BZ385" s="1"/>
      <c r="CA385" s="1"/>
      <c r="CB385" s="1"/>
      <c r="CC385" s="1"/>
      <c r="CD385" s="1"/>
      <c r="CE385" s="1"/>
      <c r="CF385" s="1"/>
      <c r="CG385" s="1"/>
      <c r="CH385" s="1"/>
      <c r="CI385" s="1"/>
    </row>
    <row r="386" spans="1:87"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c r="AX386" s="1"/>
      <c r="AY386" s="1"/>
      <c r="AZ386" s="1"/>
      <c r="BA386" s="1"/>
      <c r="BB386" s="1"/>
      <c r="BC386" s="1"/>
      <c r="BD386" s="1"/>
      <c r="BE386" s="1"/>
      <c r="BF386" s="1"/>
      <c r="BG386" s="1"/>
      <c r="BH386" s="1"/>
      <c r="BI386" s="1"/>
      <c r="BJ386" s="1"/>
      <c r="BK386" s="1"/>
      <c r="BL386" s="1"/>
      <c r="BM386" s="1"/>
      <c r="BN386" s="1"/>
      <c r="BO386" s="1"/>
      <c r="BP386" s="1"/>
      <c r="BQ386" s="1"/>
      <c r="BR386" s="1"/>
      <c r="BS386" s="1"/>
      <c r="BT386" s="1"/>
      <c r="BU386" s="1"/>
      <c r="BV386" s="1"/>
      <c r="BW386" s="1"/>
      <c r="BX386" s="1"/>
      <c r="BY386" s="1"/>
      <c r="BZ386" s="1"/>
      <c r="CA386" s="1"/>
      <c r="CB386" s="1"/>
      <c r="CC386" s="1"/>
      <c r="CD386" s="1"/>
      <c r="CE386" s="1"/>
      <c r="CF386" s="1"/>
      <c r="CG386" s="1"/>
      <c r="CH386" s="1"/>
      <c r="CI386" s="1"/>
    </row>
    <row r="387" spans="1:87"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c r="AX387" s="1"/>
      <c r="AY387" s="1"/>
      <c r="AZ387" s="1"/>
      <c r="BA387" s="1"/>
      <c r="BB387" s="1"/>
      <c r="BC387" s="1"/>
      <c r="BD387" s="1"/>
      <c r="BE387" s="1"/>
      <c r="BF387" s="1"/>
      <c r="BG387" s="1"/>
      <c r="BH387" s="1"/>
      <c r="BI387" s="1"/>
      <c r="BJ387" s="1"/>
      <c r="BK387" s="1"/>
      <c r="BL387" s="1"/>
      <c r="BM387" s="1"/>
      <c r="BN387" s="1"/>
      <c r="BO387" s="1"/>
      <c r="BP387" s="1"/>
      <c r="BQ387" s="1"/>
      <c r="BR387" s="1"/>
      <c r="BS387" s="1"/>
      <c r="BT387" s="1"/>
      <c r="BU387" s="1"/>
      <c r="BV387" s="1"/>
      <c r="BW387" s="1"/>
      <c r="BX387" s="1"/>
      <c r="BY387" s="1"/>
      <c r="BZ387" s="1"/>
      <c r="CA387" s="1"/>
      <c r="CB387" s="1"/>
      <c r="CC387" s="1"/>
      <c r="CD387" s="1"/>
      <c r="CE387" s="1"/>
      <c r="CF387" s="1"/>
      <c r="CG387" s="1"/>
      <c r="CH387" s="1"/>
      <c r="CI387" s="1"/>
    </row>
    <row r="388" spans="1:87"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c r="BA388" s="1"/>
      <c r="BB388" s="1"/>
      <c r="BC388" s="1"/>
      <c r="BD388" s="1"/>
      <c r="BE388" s="1"/>
      <c r="BF388" s="1"/>
      <c r="BG388" s="1"/>
      <c r="BH388" s="1"/>
      <c r="BI388" s="1"/>
      <c r="BJ388" s="1"/>
      <c r="BK388" s="1"/>
      <c r="BL388" s="1"/>
      <c r="BM388" s="1"/>
      <c r="BN388" s="1"/>
      <c r="BO388" s="1"/>
      <c r="BP388" s="1"/>
      <c r="BQ388" s="1"/>
      <c r="BR388" s="1"/>
      <c r="BS388" s="1"/>
      <c r="BT388" s="1"/>
      <c r="BU388" s="1"/>
      <c r="BV388" s="1"/>
      <c r="BW388" s="1"/>
      <c r="BX388" s="1"/>
      <c r="BY388" s="1"/>
      <c r="BZ388" s="1"/>
      <c r="CA388" s="1"/>
      <c r="CB388" s="1"/>
      <c r="CC388" s="1"/>
      <c r="CD388" s="1"/>
      <c r="CE388" s="1"/>
      <c r="CF388" s="1"/>
      <c r="CG388" s="1"/>
      <c r="CH388" s="1"/>
      <c r="CI388" s="1"/>
    </row>
    <row r="389" spans="1:87"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c r="AX389" s="1"/>
      <c r="AY389" s="1"/>
      <c r="AZ389" s="1"/>
      <c r="BA389" s="1"/>
      <c r="BB389" s="1"/>
      <c r="BC389" s="1"/>
      <c r="BD389" s="1"/>
      <c r="BE389" s="1"/>
      <c r="BF389" s="1"/>
      <c r="BG389" s="1"/>
      <c r="BH389" s="1"/>
      <c r="BI389" s="1"/>
      <c r="BJ389" s="1"/>
      <c r="BK389" s="1"/>
      <c r="BL389" s="1"/>
      <c r="BM389" s="1"/>
      <c r="BN389" s="1"/>
      <c r="BO389" s="1"/>
      <c r="BP389" s="1"/>
      <c r="BQ389" s="1"/>
      <c r="BR389" s="1"/>
      <c r="BS389" s="1"/>
      <c r="BT389" s="1"/>
      <c r="BU389" s="1"/>
      <c r="BV389" s="1"/>
      <c r="BW389" s="1"/>
      <c r="BX389" s="1"/>
      <c r="BY389" s="1"/>
      <c r="BZ389" s="1"/>
      <c r="CA389" s="1"/>
      <c r="CB389" s="1"/>
      <c r="CC389" s="1"/>
      <c r="CD389" s="1"/>
      <c r="CE389" s="1"/>
      <c r="CF389" s="1"/>
      <c r="CG389" s="1"/>
      <c r="CH389" s="1"/>
      <c r="CI389" s="1"/>
    </row>
    <row r="390" spans="1:87"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c r="AX390" s="1"/>
      <c r="AY390" s="1"/>
      <c r="AZ390" s="1"/>
      <c r="BA390" s="1"/>
      <c r="BB390" s="1"/>
      <c r="BC390" s="1"/>
      <c r="BD390" s="1"/>
      <c r="BE390" s="1"/>
      <c r="BF390" s="1"/>
      <c r="BG390" s="1"/>
      <c r="BH390" s="1"/>
      <c r="BI390" s="1"/>
      <c r="BJ390" s="1"/>
      <c r="BK390" s="1"/>
      <c r="BL390" s="1"/>
      <c r="BM390" s="1"/>
      <c r="BN390" s="1"/>
      <c r="BO390" s="1"/>
      <c r="BP390" s="1"/>
      <c r="BQ390" s="1"/>
      <c r="BR390" s="1"/>
      <c r="BS390" s="1"/>
      <c r="BT390" s="1"/>
      <c r="BU390" s="1"/>
      <c r="BV390" s="1"/>
      <c r="BW390" s="1"/>
      <c r="BX390" s="1"/>
      <c r="BY390" s="1"/>
      <c r="BZ390" s="1"/>
      <c r="CA390" s="1"/>
      <c r="CB390" s="1"/>
      <c r="CC390" s="1"/>
      <c r="CD390" s="1"/>
      <c r="CE390" s="1"/>
      <c r="CF390" s="1"/>
      <c r="CG390" s="1"/>
      <c r="CH390" s="1"/>
      <c r="CI390" s="1"/>
    </row>
    <row r="391" spans="1:87"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c r="BA391" s="1"/>
      <c r="BB391" s="1"/>
      <c r="BC391" s="1"/>
      <c r="BD391" s="1"/>
      <c r="BE391" s="1"/>
      <c r="BF391" s="1"/>
      <c r="BG391" s="1"/>
      <c r="BH391" s="1"/>
      <c r="BI391" s="1"/>
      <c r="BJ391" s="1"/>
      <c r="BK391" s="1"/>
      <c r="BL391" s="1"/>
      <c r="BM391" s="1"/>
      <c r="BN391" s="1"/>
      <c r="BO391" s="1"/>
      <c r="BP391" s="1"/>
      <c r="BQ391" s="1"/>
      <c r="BR391" s="1"/>
      <c r="BS391" s="1"/>
      <c r="BT391" s="1"/>
      <c r="BU391" s="1"/>
      <c r="BV391" s="1"/>
      <c r="BW391" s="1"/>
      <c r="BX391" s="1"/>
      <c r="BY391" s="1"/>
      <c r="BZ391" s="1"/>
      <c r="CA391" s="1"/>
      <c r="CB391" s="1"/>
      <c r="CC391" s="1"/>
      <c r="CD391" s="1"/>
      <c r="CE391" s="1"/>
      <c r="CF391" s="1"/>
      <c r="CG391" s="1"/>
      <c r="CH391" s="1"/>
      <c r="CI391" s="1"/>
    </row>
    <row r="392" spans="1:87"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c r="BA392" s="1"/>
      <c r="BB392" s="1"/>
      <c r="BC392" s="1"/>
      <c r="BD392" s="1"/>
      <c r="BE392" s="1"/>
      <c r="BF392" s="1"/>
      <c r="BG392" s="1"/>
      <c r="BH392" s="1"/>
      <c r="BI392" s="1"/>
      <c r="BJ392" s="1"/>
      <c r="BK392" s="1"/>
      <c r="BL392" s="1"/>
      <c r="BM392" s="1"/>
      <c r="BN392" s="1"/>
      <c r="BO392" s="1"/>
      <c r="BP392" s="1"/>
      <c r="BQ392" s="1"/>
      <c r="BR392" s="1"/>
      <c r="BS392" s="1"/>
      <c r="BT392" s="1"/>
      <c r="BU392" s="1"/>
      <c r="BV392" s="1"/>
      <c r="BW392" s="1"/>
      <c r="BX392" s="1"/>
      <c r="BY392" s="1"/>
      <c r="BZ392" s="1"/>
      <c r="CA392" s="1"/>
      <c r="CB392" s="1"/>
      <c r="CC392" s="1"/>
      <c r="CD392" s="1"/>
      <c r="CE392" s="1"/>
      <c r="CF392" s="1"/>
      <c r="CG392" s="1"/>
      <c r="CH392" s="1"/>
      <c r="CI392" s="1"/>
    </row>
    <row r="393" spans="1:87"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c r="BA393" s="1"/>
      <c r="BB393" s="1"/>
      <c r="BC393" s="1"/>
      <c r="BD393" s="1"/>
      <c r="BE393" s="1"/>
      <c r="BF393" s="1"/>
      <c r="BG393" s="1"/>
      <c r="BH393" s="1"/>
      <c r="BI393" s="1"/>
      <c r="BJ393" s="1"/>
      <c r="BK393" s="1"/>
      <c r="BL393" s="1"/>
      <c r="BM393" s="1"/>
      <c r="BN393" s="1"/>
      <c r="BO393" s="1"/>
      <c r="BP393" s="1"/>
      <c r="BQ393" s="1"/>
      <c r="BR393" s="1"/>
      <c r="BS393" s="1"/>
      <c r="BT393" s="1"/>
      <c r="BU393" s="1"/>
      <c r="BV393" s="1"/>
      <c r="BW393" s="1"/>
      <c r="BX393" s="1"/>
      <c r="BY393" s="1"/>
      <c r="BZ393" s="1"/>
      <c r="CA393" s="1"/>
      <c r="CB393" s="1"/>
      <c r="CC393" s="1"/>
      <c r="CD393" s="1"/>
      <c r="CE393" s="1"/>
      <c r="CF393" s="1"/>
      <c r="CG393" s="1"/>
      <c r="CH393" s="1"/>
      <c r="CI393" s="1"/>
    </row>
    <row r="394" spans="1:87"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c r="BA394" s="1"/>
      <c r="BB394" s="1"/>
      <c r="BC394" s="1"/>
      <c r="BD394" s="1"/>
      <c r="BE394" s="1"/>
      <c r="BF394" s="1"/>
      <c r="BG394" s="1"/>
      <c r="BH394" s="1"/>
      <c r="BI394" s="1"/>
      <c r="BJ394" s="1"/>
      <c r="BK394" s="1"/>
      <c r="BL394" s="1"/>
      <c r="BM394" s="1"/>
      <c r="BN394" s="1"/>
      <c r="BO394" s="1"/>
      <c r="BP394" s="1"/>
      <c r="BQ394" s="1"/>
      <c r="BR394" s="1"/>
      <c r="BS394" s="1"/>
      <c r="BT394" s="1"/>
      <c r="BU394" s="1"/>
      <c r="BV394" s="1"/>
      <c r="BW394" s="1"/>
      <c r="BX394" s="1"/>
      <c r="BY394" s="1"/>
      <c r="BZ394" s="1"/>
      <c r="CA394" s="1"/>
      <c r="CB394" s="1"/>
      <c r="CC394" s="1"/>
      <c r="CD394" s="1"/>
      <c r="CE394" s="1"/>
      <c r="CF394" s="1"/>
      <c r="CG394" s="1"/>
      <c r="CH394" s="1"/>
      <c r="CI394" s="1"/>
    </row>
    <row r="395" spans="1:87"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c r="BA395" s="1"/>
      <c r="BB395" s="1"/>
      <c r="BC395" s="1"/>
      <c r="BD395" s="1"/>
      <c r="BE395" s="1"/>
      <c r="BF395" s="1"/>
      <c r="BG395" s="1"/>
      <c r="BH395" s="1"/>
      <c r="BI395" s="1"/>
      <c r="BJ395" s="1"/>
      <c r="BK395" s="1"/>
      <c r="BL395" s="1"/>
      <c r="BM395" s="1"/>
      <c r="BN395" s="1"/>
      <c r="BO395" s="1"/>
      <c r="BP395" s="1"/>
      <c r="BQ395" s="1"/>
      <c r="BR395" s="1"/>
      <c r="BS395" s="1"/>
      <c r="BT395" s="1"/>
      <c r="BU395" s="1"/>
      <c r="BV395" s="1"/>
      <c r="BW395" s="1"/>
      <c r="BX395" s="1"/>
      <c r="BY395" s="1"/>
      <c r="BZ395" s="1"/>
      <c r="CA395" s="1"/>
      <c r="CB395" s="1"/>
      <c r="CC395" s="1"/>
      <c r="CD395" s="1"/>
      <c r="CE395" s="1"/>
      <c r="CF395" s="1"/>
      <c r="CG395" s="1"/>
      <c r="CH395" s="1"/>
      <c r="CI395" s="1"/>
    </row>
    <row r="396" spans="1:87"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c r="BA396" s="1"/>
      <c r="BB396" s="1"/>
      <c r="BC396" s="1"/>
      <c r="BD396" s="1"/>
      <c r="BE396" s="1"/>
      <c r="BF396" s="1"/>
      <c r="BG396" s="1"/>
      <c r="BH396" s="1"/>
      <c r="BI396" s="1"/>
      <c r="BJ396" s="1"/>
      <c r="BK396" s="1"/>
      <c r="BL396" s="1"/>
      <c r="BM396" s="1"/>
      <c r="BN396" s="1"/>
      <c r="BO396" s="1"/>
      <c r="BP396" s="1"/>
      <c r="BQ396" s="1"/>
      <c r="BR396" s="1"/>
      <c r="BS396" s="1"/>
      <c r="BT396" s="1"/>
      <c r="BU396" s="1"/>
      <c r="BV396" s="1"/>
      <c r="BW396" s="1"/>
      <c r="BX396" s="1"/>
      <c r="BY396" s="1"/>
      <c r="BZ396" s="1"/>
      <c r="CA396" s="1"/>
      <c r="CB396" s="1"/>
      <c r="CC396" s="1"/>
      <c r="CD396" s="1"/>
      <c r="CE396" s="1"/>
      <c r="CF396" s="1"/>
      <c r="CG396" s="1"/>
      <c r="CH396" s="1"/>
      <c r="CI396" s="1"/>
    </row>
    <row r="397" spans="1:87"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c r="BA397" s="1"/>
      <c r="BB397" s="1"/>
      <c r="BC397" s="1"/>
      <c r="BD397" s="1"/>
      <c r="BE397" s="1"/>
      <c r="BF397" s="1"/>
      <c r="BG397" s="1"/>
      <c r="BH397" s="1"/>
      <c r="BI397" s="1"/>
      <c r="BJ397" s="1"/>
      <c r="BK397" s="1"/>
      <c r="BL397" s="1"/>
      <c r="BM397" s="1"/>
      <c r="BN397" s="1"/>
      <c r="BO397" s="1"/>
      <c r="BP397" s="1"/>
      <c r="BQ397" s="1"/>
      <c r="BR397" s="1"/>
      <c r="BS397" s="1"/>
      <c r="BT397" s="1"/>
      <c r="BU397" s="1"/>
      <c r="BV397" s="1"/>
      <c r="BW397" s="1"/>
      <c r="BX397" s="1"/>
      <c r="BY397" s="1"/>
      <c r="BZ397" s="1"/>
      <c r="CA397" s="1"/>
      <c r="CB397" s="1"/>
      <c r="CC397" s="1"/>
      <c r="CD397" s="1"/>
      <c r="CE397" s="1"/>
      <c r="CF397" s="1"/>
      <c r="CG397" s="1"/>
      <c r="CH397" s="1"/>
      <c r="CI397" s="1"/>
    </row>
    <row r="398" spans="1:87"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c r="BA398" s="1"/>
      <c r="BB398" s="1"/>
      <c r="BC398" s="1"/>
      <c r="BD398" s="1"/>
      <c r="BE398" s="1"/>
      <c r="BF398" s="1"/>
      <c r="BG398" s="1"/>
      <c r="BH398" s="1"/>
      <c r="BI398" s="1"/>
      <c r="BJ398" s="1"/>
      <c r="BK398" s="1"/>
      <c r="BL398" s="1"/>
      <c r="BM398" s="1"/>
      <c r="BN398" s="1"/>
      <c r="BO398" s="1"/>
      <c r="BP398" s="1"/>
      <c r="BQ398" s="1"/>
      <c r="BR398" s="1"/>
      <c r="BS398" s="1"/>
      <c r="BT398" s="1"/>
      <c r="BU398" s="1"/>
      <c r="BV398" s="1"/>
      <c r="BW398" s="1"/>
      <c r="BX398" s="1"/>
      <c r="BY398" s="1"/>
      <c r="BZ398" s="1"/>
      <c r="CA398" s="1"/>
      <c r="CB398" s="1"/>
      <c r="CC398" s="1"/>
      <c r="CD398" s="1"/>
      <c r="CE398" s="1"/>
      <c r="CF398" s="1"/>
      <c r="CG398" s="1"/>
      <c r="CH398" s="1"/>
      <c r="CI398" s="1"/>
    </row>
    <row r="399" spans="1:87"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c r="BA399" s="1"/>
      <c r="BB399" s="1"/>
      <c r="BC399" s="1"/>
      <c r="BD399" s="1"/>
      <c r="BE399" s="1"/>
      <c r="BF399" s="1"/>
      <c r="BG399" s="1"/>
      <c r="BH399" s="1"/>
      <c r="BI399" s="1"/>
      <c r="BJ399" s="1"/>
      <c r="BK399" s="1"/>
      <c r="BL399" s="1"/>
      <c r="BM399" s="1"/>
      <c r="BN399" s="1"/>
      <c r="BO399" s="1"/>
      <c r="BP399" s="1"/>
      <c r="BQ399" s="1"/>
      <c r="BR399" s="1"/>
      <c r="BS399" s="1"/>
      <c r="BT399" s="1"/>
      <c r="BU399" s="1"/>
      <c r="BV399" s="1"/>
      <c r="BW399" s="1"/>
      <c r="BX399" s="1"/>
      <c r="BY399" s="1"/>
      <c r="BZ399" s="1"/>
      <c r="CA399" s="1"/>
      <c r="CB399" s="1"/>
      <c r="CC399" s="1"/>
      <c r="CD399" s="1"/>
      <c r="CE399" s="1"/>
      <c r="CF399" s="1"/>
      <c r="CG399" s="1"/>
      <c r="CH399" s="1"/>
      <c r="CI399" s="1"/>
    </row>
    <row r="400" spans="1:87"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c r="BA400" s="1"/>
      <c r="BB400" s="1"/>
      <c r="BC400" s="1"/>
      <c r="BD400" s="1"/>
      <c r="BE400" s="1"/>
      <c r="BF400" s="1"/>
      <c r="BG400" s="1"/>
      <c r="BH400" s="1"/>
      <c r="BI400" s="1"/>
      <c r="BJ400" s="1"/>
      <c r="BK400" s="1"/>
      <c r="BL400" s="1"/>
      <c r="BM400" s="1"/>
      <c r="BN400" s="1"/>
      <c r="BO400" s="1"/>
      <c r="BP400" s="1"/>
      <c r="BQ400" s="1"/>
      <c r="BR400" s="1"/>
      <c r="BS400" s="1"/>
      <c r="BT400" s="1"/>
      <c r="BU400" s="1"/>
      <c r="BV400" s="1"/>
      <c r="BW400" s="1"/>
      <c r="BX400" s="1"/>
      <c r="BY400" s="1"/>
      <c r="BZ400" s="1"/>
      <c r="CA400" s="1"/>
      <c r="CB400" s="1"/>
      <c r="CC400" s="1"/>
      <c r="CD400" s="1"/>
      <c r="CE400" s="1"/>
      <c r="CF400" s="1"/>
      <c r="CG400" s="1"/>
      <c r="CH400" s="1"/>
      <c r="CI400" s="1"/>
    </row>
    <row r="401" spans="1:87"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c r="BA401" s="1"/>
      <c r="BB401" s="1"/>
      <c r="BC401" s="1"/>
      <c r="BD401" s="1"/>
      <c r="BE401" s="1"/>
      <c r="BF401" s="1"/>
      <c r="BG401" s="1"/>
      <c r="BH401" s="1"/>
      <c r="BI401" s="1"/>
      <c r="BJ401" s="1"/>
      <c r="BK401" s="1"/>
      <c r="BL401" s="1"/>
      <c r="BM401" s="1"/>
      <c r="BN401" s="1"/>
      <c r="BO401" s="1"/>
      <c r="BP401" s="1"/>
      <c r="BQ401" s="1"/>
      <c r="BR401" s="1"/>
      <c r="BS401" s="1"/>
      <c r="BT401" s="1"/>
      <c r="BU401" s="1"/>
      <c r="BV401" s="1"/>
      <c r="BW401" s="1"/>
      <c r="BX401" s="1"/>
      <c r="BY401" s="1"/>
      <c r="BZ401" s="1"/>
      <c r="CA401" s="1"/>
      <c r="CB401" s="1"/>
      <c r="CC401" s="1"/>
      <c r="CD401" s="1"/>
      <c r="CE401" s="1"/>
      <c r="CF401" s="1"/>
      <c r="CG401" s="1"/>
      <c r="CH401" s="1"/>
      <c r="CI401" s="1"/>
    </row>
    <row r="402" spans="1:87"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c r="AX402" s="1"/>
      <c r="AY402" s="1"/>
      <c r="AZ402" s="1"/>
      <c r="BA402" s="1"/>
      <c r="BB402" s="1"/>
      <c r="BC402" s="1"/>
      <c r="BD402" s="1"/>
      <c r="BE402" s="1"/>
      <c r="BF402" s="1"/>
      <c r="BG402" s="1"/>
      <c r="BH402" s="1"/>
      <c r="BI402" s="1"/>
      <c r="BJ402" s="1"/>
      <c r="BK402" s="1"/>
      <c r="BL402" s="1"/>
      <c r="BM402" s="1"/>
      <c r="BN402" s="1"/>
      <c r="BO402" s="1"/>
      <c r="BP402" s="1"/>
      <c r="BQ402" s="1"/>
      <c r="BR402" s="1"/>
      <c r="BS402" s="1"/>
      <c r="BT402" s="1"/>
      <c r="BU402" s="1"/>
      <c r="BV402" s="1"/>
      <c r="BW402" s="1"/>
      <c r="BX402" s="1"/>
      <c r="BY402" s="1"/>
      <c r="BZ402" s="1"/>
      <c r="CA402" s="1"/>
      <c r="CB402" s="1"/>
      <c r="CC402" s="1"/>
      <c r="CD402" s="1"/>
      <c r="CE402" s="1"/>
      <c r="CF402" s="1"/>
      <c r="CG402" s="1"/>
      <c r="CH402" s="1"/>
      <c r="CI402" s="1"/>
    </row>
    <row r="403" spans="1:87"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c r="AX403" s="1"/>
      <c r="AY403" s="1"/>
      <c r="AZ403" s="1"/>
      <c r="BA403" s="1"/>
      <c r="BB403" s="1"/>
      <c r="BC403" s="1"/>
      <c r="BD403" s="1"/>
      <c r="BE403" s="1"/>
      <c r="BF403" s="1"/>
      <c r="BG403" s="1"/>
      <c r="BH403" s="1"/>
      <c r="BI403" s="1"/>
      <c r="BJ403" s="1"/>
      <c r="BK403" s="1"/>
      <c r="BL403" s="1"/>
      <c r="BM403" s="1"/>
      <c r="BN403" s="1"/>
      <c r="BO403" s="1"/>
      <c r="BP403" s="1"/>
      <c r="BQ403" s="1"/>
      <c r="BR403" s="1"/>
      <c r="BS403" s="1"/>
      <c r="BT403" s="1"/>
      <c r="BU403" s="1"/>
      <c r="BV403" s="1"/>
      <c r="BW403" s="1"/>
      <c r="BX403" s="1"/>
      <c r="BY403" s="1"/>
      <c r="BZ403" s="1"/>
      <c r="CA403" s="1"/>
      <c r="CB403" s="1"/>
      <c r="CC403" s="1"/>
      <c r="CD403" s="1"/>
      <c r="CE403" s="1"/>
      <c r="CF403" s="1"/>
      <c r="CG403" s="1"/>
      <c r="CH403" s="1"/>
      <c r="CI403" s="1"/>
    </row>
    <row r="404" spans="1:87"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c r="BA404" s="1"/>
      <c r="BB404" s="1"/>
      <c r="BC404" s="1"/>
      <c r="BD404" s="1"/>
      <c r="BE404" s="1"/>
      <c r="BF404" s="1"/>
      <c r="BG404" s="1"/>
      <c r="BH404" s="1"/>
      <c r="BI404" s="1"/>
      <c r="BJ404" s="1"/>
      <c r="BK404" s="1"/>
      <c r="BL404" s="1"/>
      <c r="BM404" s="1"/>
      <c r="BN404" s="1"/>
      <c r="BO404" s="1"/>
      <c r="BP404" s="1"/>
      <c r="BQ404" s="1"/>
      <c r="BR404" s="1"/>
      <c r="BS404" s="1"/>
      <c r="BT404" s="1"/>
      <c r="BU404" s="1"/>
      <c r="BV404" s="1"/>
      <c r="BW404" s="1"/>
      <c r="BX404" s="1"/>
      <c r="BY404" s="1"/>
      <c r="BZ404" s="1"/>
      <c r="CA404" s="1"/>
      <c r="CB404" s="1"/>
      <c r="CC404" s="1"/>
      <c r="CD404" s="1"/>
      <c r="CE404" s="1"/>
      <c r="CF404" s="1"/>
      <c r="CG404" s="1"/>
      <c r="CH404" s="1"/>
      <c r="CI404" s="1"/>
    </row>
    <row r="405" spans="1:87"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c r="AX405" s="1"/>
      <c r="AY405" s="1"/>
      <c r="AZ405" s="1"/>
      <c r="BA405" s="1"/>
      <c r="BB405" s="1"/>
      <c r="BC405" s="1"/>
      <c r="BD405" s="1"/>
      <c r="BE405" s="1"/>
      <c r="BF405" s="1"/>
      <c r="BG405" s="1"/>
      <c r="BH405" s="1"/>
      <c r="BI405" s="1"/>
      <c r="BJ405" s="1"/>
      <c r="BK405" s="1"/>
      <c r="BL405" s="1"/>
      <c r="BM405" s="1"/>
      <c r="BN405" s="1"/>
      <c r="BO405" s="1"/>
      <c r="BP405" s="1"/>
      <c r="BQ405" s="1"/>
      <c r="BR405" s="1"/>
      <c r="BS405" s="1"/>
      <c r="BT405" s="1"/>
      <c r="BU405" s="1"/>
      <c r="BV405" s="1"/>
      <c r="BW405" s="1"/>
      <c r="BX405" s="1"/>
      <c r="BY405" s="1"/>
      <c r="BZ405" s="1"/>
      <c r="CA405" s="1"/>
      <c r="CB405" s="1"/>
      <c r="CC405" s="1"/>
      <c r="CD405" s="1"/>
      <c r="CE405" s="1"/>
      <c r="CF405" s="1"/>
      <c r="CG405" s="1"/>
      <c r="CH405" s="1"/>
      <c r="CI405" s="1"/>
    </row>
    <row r="406" spans="1:87"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c r="AX406" s="1"/>
      <c r="AY406" s="1"/>
      <c r="AZ406" s="1"/>
      <c r="BA406" s="1"/>
      <c r="BB406" s="1"/>
      <c r="BC406" s="1"/>
      <c r="BD406" s="1"/>
      <c r="BE406" s="1"/>
      <c r="BF406" s="1"/>
      <c r="BG406" s="1"/>
      <c r="BH406" s="1"/>
      <c r="BI406" s="1"/>
      <c r="BJ406" s="1"/>
      <c r="BK406" s="1"/>
      <c r="BL406" s="1"/>
      <c r="BM406" s="1"/>
      <c r="BN406" s="1"/>
      <c r="BO406" s="1"/>
      <c r="BP406" s="1"/>
      <c r="BQ406" s="1"/>
      <c r="BR406" s="1"/>
      <c r="BS406" s="1"/>
      <c r="BT406" s="1"/>
      <c r="BU406" s="1"/>
      <c r="BV406" s="1"/>
      <c r="BW406" s="1"/>
      <c r="BX406" s="1"/>
      <c r="BY406" s="1"/>
      <c r="BZ406" s="1"/>
      <c r="CA406" s="1"/>
      <c r="CB406" s="1"/>
      <c r="CC406" s="1"/>
      <c r="CD406" s="1"/>
      <c r="CE406" s="1"/>
      <c r="CF406" s="1"/>
      <c r="CG406" s="1"/>
      <c r="CH406" s="1"/>
      <c r="CI406" s="1"/>
    </row>
    <row r="407" spans="1:87"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c r="BA407" s="1"/>
      <c r="BB407" s="1"/>
      <c r="BC407" s="1"/>
      <c r="BD407" s="1"/>
      <c r="BE407" s="1"/>
      <c r="BF407" s="1"/>
      <c r="BG407" s="1"/>
      <c r="BH407" s="1"/>
      <c r="BI407" s="1"/>
      <c r="BJ407" s="1"/>
      <c r="BK407" s="1"/>
      <c r="BL407" s="1"/>
      <c r="BM407" s="1"/>
      <c r="BN407" s="1"/>
      <c r="BO407" s="1"/>
      <c r="BP407" s="1"/>
      <c r="BQ407" s="1"/>
      <c r="BR407" s="1"/>
      <c r="BS407" s="1"/>
      <c r="BT407" s="1"/>
      <c r="BU407" s="1"/>
      <c r="BV407" s="1"/>
      <c r="BW407" s="1"/>
      <c r="BX407" s="1"/>
      <c r="BY407" s="1"/>
      <c r="BZ407" s="1"/>
      <c r="CA407" s="1"/>
      <c r="CB407" s="1"/>
      <c r="CC407" s="1"/>
      <c r="CD407" s="1"/>
      <c r="CE407" s="1"/>
      <c r="CF407" s="1"/>
      <c r="CG407" s="1"/>
      <c r="CH407" s="1"/>
      <c r="CI407" s="1"/>
    </row>
    <row r="408" spans="1:87"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c r="BA408" s="1"/>
      <c r="BB408" s="1"/>
      <c r="BC408" s="1"/>
      <c r="BD408" s="1"/>
      <c r="BE408" s="1"/>
      <c r="BF408" s="1"/>
      <c r="BG408" s="1"/>
      <c r="BH408" s="1"/>
      <c r="BI408" s="1"/>
      <c r="BJ408" s="1"/>
      <c r="BK408" s="1"/>
      <c r="BL408" s="1"/>
      <c r="BM408" s="1"/>
      <c r="BN408" s="1"/>
      <c r="BO408" s="1"/>
      <c r="BP408" s="1"/>
      <c r="BQ408" s="1"/>
      <c r="BR408" s="1"/>
      <c r="BS408" s="1"/>
      <c r="BT408" s="1"/>
      <c r="BU408" s="1"/>
      <c r="BV408" s="1"/>
      <c r="BW408" s="1"/>
      <c r="BX408" s="1"/>
      <c r="BY408" s="1"/>
      <c r="BZ408" s="1"/>
      <c r="CA408" s="1"/>
      <c r="CB408" s="1"/>
      <c r="CC408" s="1"/>
      <c r="CD408" s="1"/>
      <c r="CE408" s="1"/>
      <c r="CF408" s="1"/>
      <c r="CG408" s="1"/>
      <c r="CH408" s="1"/>
      <c r="CI408" s="1"/>
    </row>
    <row r="409" spans="1:87"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c r="BA409" s="1"/>
      <c r="BB409" s="1"/>
      <c r="BC409" s="1"/>
      <c r="BD409" s="1"/>
      <c r="BE409" s="1"/>
      <c r="BF409" s="1"/>
      <c r="BG409" s="1"/>
      <c r="BH409" s="1"/>
      <c r="BI409" s="1"/>
      <c r="BJ409" s="1"/>
      <c r="BK409" s="1"/>
      <c r="BL409" s="1"/>
      <c r="BM409" s="1"/>
      <c r="BN409" s="1"/>
      <c r="BO409" s="1"/>
      <c r="BP409" s="1"/>
      <c r="BQ409" s="1"/>
      <c r="BR409" s="1"/>
      <c r="BS409" s="1"/>
      <c r="BT409" s="1"/>
      <c r="BU409" s="1"/>
      <c r="BV409" s="1"/>
      <c r="BW409" s="1"/>
      <c r="BX409" s="1"/>
      <c r="BY409" s="1"/>
      <c r="BZ409" s="1"/>
      <c r="CA409" s="1"/>
      <c r="CB409" s="1"/>
      <c r="CC409" s="1"/>
      <c r="CD409" s="1"/>
      <c r="CE409" s="1"/>
      <c r="CF409" s="1"/>
      <c r="CG409" s="1"/>
      <c r="CH409" s="1"/>
      <c r="CI409" s="1"/>
    </row>
    <row r="410" spans="1:87"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c r="BA410" s="1"/>
      <c r="BB410" s="1"/>
      <c r="BC410" s="1"/>
      <c r="BD410" s="1"/>
      <c r="BE410" s="1"/>
      <c r="BF410" s="1"/>
      <c r="BG410" s="1"/>
      <c r="BH410" s="1"/>
      <c r="BI410" s="1"/>
      <c r="BJ410" s="1"/>
      <c r="BK410" s="1"/>
      <c r="BL410" s="1"/>
      <c r="BM410" s="1"/>
      <c r="BN410" s="1"/>
      <c r="BO410" s="1"/>
      <c r="BP410" s="1"/>
      <c r="BQ410" s="1"/>
      <c r="BR410" s="1"/>
      <c r="BS410" s="1"/>
      <c r="BT410" s="1"/>
      <c r="BU410" s="1"/>
      <c r="BV410" s="1"/>
      <c r="BW410" s="1"/>
      <c r="BX410" s="1"/>
      <c r="BY410" s="1"/>
      <c r="BZ410" s="1"/>
      <c r="CA410" s="1"/>
      <c r="CB410" s="1"/>
      <c r="CC410" s="1"/>
      <c r="CD410" s="1"/>
      <c r="CE410" s="1"/>
      <c r="CF410" s="1"/>
      <c r="CG410" s="1"/>
      <c r="CH410" s="1"/>
      <c r="CI410" s="1"/>
    </row>
    <row r="411" spans="1:87"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c r="BA411" s="1"/>
      <c r="BB411" s="1"/>
      <c r="BC411" s="1"/>
      <c r="BD411" s="1"/>
      <c r="BE411" s="1"/>
      <c r="BF411" s="1"/>
      <c r="BG411" s="1"/>
      <c r="BH411" s="1"/>
      <c r="BI411" s="1"/>
      <c r="BJ411" s="1"/>
      <c r="BK411" s="1"/>
      <c r="BL411" s="1"/>
      <c r="BM411" s="1"/>
      <c r="BN411" s="1"/>
      <c r="BO411" s="1"/>
      <c r="BP411" s="1"/>
      <c r="BQ411" s="1"/>
      <c r="BR411" s="1"/>
      <c r="BS411" s="1"/>
      <c r="BT411" s="1"/>
      <c r="BU411" s="1"/>
      <c r="BV411" s="1"/>
      <c r="BW411" s="1"/>
      <c r="BX411" s="1"/>
      <c r="BY411" s="1"/>
      <c r="BZ411" s="1"/>
      <c r="CA411" s="1"/>
      <c r="CB411" s="1"/>
      <c r="CC411" s="1"/>
      <c r="CD411" s="1"/>
      <c r="CE411" s="1"/>
      <c r="CF411" s="1"/>
      <c r="CG411" s="1"/>
      <c r="CH411" s="1"/>
      <c r="CI411" s="1"/>
    </row>
    <row r="412" spans="1:87"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c r="BA412" s="1"/>
      <c r="BB412" s="1"/>
      <c r="BC412" s="1"/>
      <c r="BD412" s="1"/>
      <c r="BE412" s="1"/>
      <c r="BF412" s="1"/>
      <c r="BG412" s="1"/>
      <c r="BH412" s="1"/>
      <c r="BI412" s="1"/>
      <c r="BJ412" s="1"/>
      <c r="BK412" s="1"/>
      <c r="BL412" s="1"/>
      <c r="BM412" s="1"/>
      <c r="BN412" s="1"/>
      <c r="BO412" s="1"/>
      <c r="BP412" s="1"/>
      <c r="BQ412" s="1"/>
      <c r="BR412" s="1"/>
      <c r="BS412" s="1"/>
      <c r="BT412" s="1"/>
      <c r="BU412" s="1"/>
      <c r="BV412" s="1"/>
      <c r="BW412" s="1"/>
      <c r="BX412" s="1"/>
      <c r="BY412" s="1"/>
      <c r="BZ412" s="1"/>
      <c r="CA412" s="1"/>
      <c r="CB412" s="1"/>
      <c r="CC412" s="1"/>
      <c r="CD412" s="1"/>
      <c r="CE412" s="1"/>
      <c r="CF412" s="1"/>
      <c r="CG412" s="1"/>
      <c r="CH412" s="1"/>
      <c r="CI412" s="1"/>
    </row>
    <row r="413" spans="1:87"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c r="BE413" s="1"/>
      <c r="BF413" s="1"/>
      <c r="BG413" s="1"/>
      <c r="BH413" s="1"/>
      <c r="BI413" s="1"/>
      <c r="BJ413" s="1"/>
      <c r="BK413" s="1"/>
      <c r="BL413" s="1"/>
      <c r="BM413" s="1"/>
      <c r="BN413" s="1"/>
      <c r="BO413" s="1"/>
      <c r="BP413" s="1"/>
      <c r="BQ413" s="1"/>
      <c r="BR413" s="1"/>
      <c r="BS413" s="1"/>
      <c r="BT413" s="1"/>
      <c r="BU413" s="1"/>
      <c r="BV413" s="1"/>
      <c r="BW413" s="1"/>
      <c r="BX413" s="1"/>
      <c r="BY413" s="1"/>
      <c r="BZ413" s="1"/>
      <c r="CA413" s="1"/>
      <c r="CB413" s="1"/>
      <c r="CC413" s="1"/>
      <c r="CD413" s="1"/>
      <c r="CE413" s="1"/>
      <c r="CF413" s="1"/>
      <c r="CG413" s="1"/>
      <c r="CH413" s="1"/>
      <c r="CI413" s="1"/>
    </row>
    <row r="414" spans="1:87"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c r="BC414" s="1"/>
      <c r="BD414" s="1"/>
      <c r="BE414" s="1"/>
      <c r="BF414" s="1"/>
      <c r="BG414" s="1"/>
      <c r="BH414" s="1"/>
      <c r="BI414" s="1"/>
      <c r="BJ414" s="1"/>
      <c r="BK414" s="1"/>
      <c r="BL414" s="1"/>
      <c r="BM414" s="1"/>
      <c r="BN414" s="1"/>
      <c r="BO414" s="1"/>
      <c r="BP414" s="1"/>
      <c r="BQ414" s="1"/>
      <c r="BR414" s="1"/>
      <c r="BS414" s="1"/>
      <c r="BT414" s="1"/>
      <c r="BU414" s="1"/>
      <c r="BV414" s="1"/>
      <c r="BW414" s="1"/>
      <c r="BX414" s="1"/>
      <c r="BY414" s="1"/>
      <c r="BZ414" s="1"/>
      <c r="CA414" s="1"/>
      <c r="CB414" s="1"/>
      <c r="CC414" s="1"/>
      <c r="CD414" s="1"/>
      <c r="CE414" s="1"/>
      <c r="CF414" s="1"/>
      <c r="CG414" s="1"/>
      <c r="CH414" s="1"/>
      <c r="CI414" s="1"/>
    </row>
    <row r="415" spans="1:87"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c r="BE415" s="1"/>
      <c r="BF415" s="1"/>
      <c r="BG415" s="1"/>
      <c r="BH415" s="1"/>
      <c r="BI415" s="1"/>
      <c r="BJ415" s="1"/>
      <c r="BK415" s="1"/>
      <c r="BL415" s="1"/>
      <c r="BM415" s="1"/>
      <c r="BN415" s="1"/>
      <c r="BO415" s="1"/>
      <c r="BP415" s="1"/>
      <c r="BQ415" s="1"/>
      <c r="BR415" s="1"/>
      <c r="BS415" s="1"/>
      <c r="BT415" s="1"/>
      <c r="BU415" s="1"/>
      <c r="BV415" s="1"/>
      <c r="BW415" s="1"/>
      <c r="BX415" s="1"/>
      <c r="BY415" s="1"/>
      <c r="BZ415" s="1"/>
      <c r="CA415" s="1"/>
      <c r="CB415" s="1"/>
      <c r="CC415" s="1"/>
      <c r="CD415" s="1"/>
      <c r="CE415" s="1"/>
      <c r="CF415" s="1"/>
      <c r="CG415" s="1"/>
      <c r="CH415" s="1"/>
      <c r="CI415" s="1"/>
    </row>
    <row r="416" spans="1:87"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c r="BE416" s="1"/>
      <c r="BF416" s="1"/>
      <c r="BG416" s="1"/>
      <c r="BH416" s="1"/>
      <c r="BI416" s="1"/>
      <c r="BJ416" s="1"/>
      <c r="BK416" s="1"/>
      <c r="BL416" s="1"/>
      <c r="BM416" s="1"/>
      <c r="BN416" s="1"/>
      <c r="BO416" s="1"/>
      <c r="BP416" s="1"/>
      <c r="BQ416" s="1"/>
      <c r="BR416" s="1"/>
      <c r="BS416" s="1"/>
      <c r="BT416" s="1"/>
      <c r="BU416" s="1"/>
      <c r="BV416" s="1"/>
      <c r="BW416" s="1"/>
      <c r="BX416" s="1"/>
      <c r="BY416" s="1"/>
      <c r="BZ416" s="1"/>
      <c r="CA416" s="1"/>
      <c r="CB416" s="1"/>
      <c r="CC416" s="1"/>
      <c r="CD416" s="1"/>
      <c r="CE416" s="1"/>
      <c r="CF416" s="1"/>
      <c r="CG416" s="1"/>
      <c r="CH416" s="1"/>
      <c r="CI416" s="1"/>
    </row>
    <row r="417" spans="1:87"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c r="BC417" s="1"/>
      <c r="BD417" s="1"/>
      <c r="BE417" s="1"/>
      <c r="BF417" s="1"/>
      <c r="BG417" s="1"/>
      <c r="BH417" s="1"/>
      <c r="BI417" s="1"/>
      <c r="BJ417" s="1"/>
      <c r="BK417" s="1"/>
      <c r="BL417" s="1"/>
      <c r="BM417" s="1"/>
      <c r="BN417" s="1"/>
      <c r="BO417" s="1"/>
      <c r="BP417" s="1"/>
      <c r="BQ417" s="1"/>
      <c r="BR417" s="1"/>
      <c r="BS417" s="1"/>
      <c r="BT417" s="1"/>
      <c r="BU417" s="1"/>
      <c r="BV417" s="1"/>
      <c r="BW417" s="1"/>
      <c r="BX417" s="1"/>
      <c r="BY417" s="1"/>
      <c r="BZ417" s="1"/>
      <c r="CA417" s="1"/>
      <c r="CB417" s="1"/>
      <c r="CC417" s="1"/>
      <c r="CD417" s="1"/>
      <c r="CE417" s="1"/>
      <c r="CF417" s="1"/>
      <c r="CG417" s="1"/>
      <c r="CH417" s="1"/>
      <c r="CI417" s="1"/>
    </row>
    <row r="418" spans="1:87"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c r="BE418" s="1"/>
      <c r="BF418" s="1"/>
      <c r="BG418" s="1"/>
      <c r="BH418" s="1"/>
      <c r="BI418" s="1"/>
      <c r="BJ418" s="1"/>
      <c r="BK418" s="1"/>
      <c r="BL418" s="1"/>
      <c r="BM418" s="1"/>
      <c r="BN418" s="1"/>
      <c r="BO418" s="1"/>
      <c r="BP418" s="1"/>
      <c r="BQ418" s="1"/>
      <c r="BR418" s="1"/>
      <c r="BS418" s="1"/>
      <c r="BT418" s="1"/>
      <c r="BU418" s="1"/>
      <c r="BV418" s="1"/>
      <c r="BW418" s="1"/>
      <c r="BX418" s="1"/>
      <c r="BY418" s="1"/>
      <c r="BZ418" s="1"/>
      <c r="CA418" s="1"/>
      <c r="CB418" s="1"/>
      <c r="CC418" s="1"/>
      <c r="CD418" s="1"/>
      <c r="CE418" s="1"/>
      <c r="CF418" s="1"/>
      <c r="CG418" s="1"/>
      <c r="CH418" s="1"/>
      <c r="CI418" s="1"/>
    </row>
    <row r="419" spans="1:87"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c r="BE419" s="1"/>
      <c r="BF419" s="1"/>
      <c r="BG419" s="1"/>
      <c r="BH419" s="1"/>
      <c r="BI419" s="1"/>
      <c r="BJ419" s="1"/>
      <c r="BK419" s="1"/>
      <c r="BL419" s="1"/>
      <c r="BM419" s="1"/>
      <c r="BN419" s="1"/>
      <c r="BO419" s="1"/>
      <c r="BP419" s="1"/>
      <c r="BQ419" s="1"/>
      <c r="BR419" s="1"/>
      <c r="BS419" s="1"/>
      <c r="BT419" s="1"/>
      <c r="BU419" s="1"/>
      <c r="BV419" s="1"/>
      <c r="BW419" s="1"/>
      <c r="BX419" s="1"/>
      <c r="BY419" s="1"/>
      <c r="BZ419" s="1"/>
      <c r="CA419" s="1"/>
      <c r="CB419" s="1"/>
      <c r="CC419" s="1"/>
      <c r="CD419" s="1"/>
      <c r="CE419" s="1"/>
      <c r="CF419" s="1"/>
      <c r="CG419" s="1"/>
      <c r="CH419" s="1"/>
      <c r="CI419" s="1"/>
    </row>
    <row r="420" spans="1:87"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c r="BF420" s="1"/>
      <c r="BG420" s="1"/>
      <c r="BH420" s="1"/>
      <c r="BI420" s="1"/>
      <c r="BJ420" s="1"/>
      <c r="BK420" s="1"/>
      <c r="BL420" s="1"/>
      <c r="BM420" s="1"/>
      <c r="BN420" s="1"/>
      <c r="BO420" s="1"/>
      <c r="BP420" s="1"/>
      <c r="BQ420" s="1"/>
      <c r="BR420" s="1"/>
      <c r="BS420" s="1"/>
      <c r="BT420" s="1"/>
      <c r="BU420" s="1"/>
      <c r="BV420" s="1"/>
      <c r="BW420" s="1"/>
      <c r="BX420" s="1"/>
      <c r="BY420" s="1"/>
      <c r="BZ420" s="1"/>
      <c r="CA420" s="1"/>
      <c r="CB420" s="1"/>
      <c r="CC420" s="1"/>
      <c r="CD420" s="1"/>
      <c r="CE420" s="1"/>
      <c r="CF420" s="1"/>
      <c r="CG420" s="1"/>
      <c r="CH420" s="1"/>
      <c r="CI420" s="1"/>
    </row>
    <row r="421" spans="1:87"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c r="BF421" s="1"/>
      <c r="BG421" s="1"/>
      <c r="BH421" s="1"/>
      <c r="BI421" s="1"/>
      <c r="BJ421" s="1"/>
      <c r="BK421" s="1"/>
      <c r="BL421" s="1"/>
      <c r="BM421" s="1"/>
      <c r="BN421" s="1"/>
      <c r="BO421" s="1"/>
      <c r="BP421" s="1"/>
      <c r="BQ421" s="1"/>
      <c r="BR421" s="1"/>
      <c r="BS421" s="1"/>
      <c r="BT421" s="1"/>
      <c r="BU421" s="1"/>
      <c r="BV421" s="1"/>
      <c r="BW421" s="1"/>
      <c r="BX421" s="1"/>
      <c r="BY421" s="1"/>
      <c r="BZ421" s="1"/>
      <c r="CA421" s="1"/>
      <c r="CB421" s="1"/>
      <c r="CC421" s="1"/>
      <c r="CD421" s="1"/>
      <c r="CE421" s="1"/>
      <c r="CF421" s="1"/>
      <c r="CG421" s="1"/>
      <c r="CH421" s="1"/>
      <c r="CI421" s="1"/>
    </row>
    <row r="422" spans="1:87"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c r="BF422" s="1"/>
      <c r="BG422" s="1"/>
      <c r="BH422" s="1"/>
      <c r="BI422" s="1"/>
      <c r="BJ422" s="1"/>
      <c r="BK422" s="1"/>
      <c r="BL422" s="1"/>
      <c r="BM422" s="1"/>
      <c r="BN422" s="1"/>
      <c r="BO422" s="1"/>
      <c r="BP422" s="1"/>
      <c r="BQ422" s="1"/>
      <c r="BR422" s="1"/>
      <c r="BS422" s="1"/>
      <c r="BT422" s="1"/>
      <c r="BU422" s="1"/>
      <c r="BV422" s="1"/>
      <c r="BW422" s="1"/>
      <c r="BX422" s="1"/>
      <c r="BY422" s="1"/>
      <c r="BZ422" s="1"/>
      <c r="CA422" s="1"/>
      <c r="CB422" s="1"/>
      <c r="CC422" s="1"/>
      <c r="CD422" s="1"/>
      <c r="CE422" s="1"/>
      <c r="CF422" s="1"/>
      <c r="CG422" s="1"/>
      <c r="CH422" s="1"/>
      <c r="CI422" s="1"/>
    </row>
    <row r="423" spans="1:87"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c r="BE423" s="1"/>
      <c r="BF423" s="1"/>
      <c r="BG423" s="1"/>
      <c r="BH423" s="1"/>
      <c r="BI423" s="1"/>
      <c r="BJ423" s="1"/>
      <c r="BK423" s="1"/>
      <c r="BL423" s="1"/>
      <c r="BM423" s="1"/>
      <c r="BN423" s="1"/>
      <c r="BO423" s="1"/>
      <c r="BP423" s="1"/>
      <c r="BQ423" s="1"/>
      <c r="BR423" s="1"/>
      <c r="BS423" s="1"/>
      <c r="BT423" s="1"/>
      <c r="BU423" s="1"/>
      <c r="BV423" s="1"/>
      <c r="BW423" s="1"/>
      <c r="BX423" s="1"/>
      <c r="BY423" s="1"/>
      <c r="BZ423" s="1"/>
      <c r="CA423" s="1"/>
      <c r="CB423" s="1"/>
      <c r="CC423" s="1"/>
      <c r="CD423" s="1"/>
      <c r="CE423" s="1"/>
      <c r="CF423" s="1"/>
      <c r="CG423" s="1"/>
      <c r="CH423" s="1"/>
      <c r="CI423" s="1"/>
    </row>
    <row r="424" spans="1:87"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c r="BF424" s="1"/>
      <c r="BG424" s="1"/>
      <c r="BH424" s="1"/>
      <c r="BI424" s="1"/>
      <c r="BJ424" s="1"/>
      <c r="BK424" s="1"/>
      <c r="BL424" s="1"/>
      <c r="BM424" s="1"/>
      <c r="BN424" s="1"/>
      <c r="BO424" s="1"/>
      <c r="BP424" s="1"/>
      <c r="BQ424" s="1"/>
      <c r="BR424" s="1"/>
      <c r="BS424" s="1"/>
      <c r="BT424" s="1"/>
      <c r="BU424" s="1"/>
      <c r="BV424" s="1"/>
      <c r="BW424" s="1"/>
      <c r="BX424" s="1"/>
      <c r="BY424" s="1"/>
      <c r="BZ424" s="1"/>
      <c r="CA424" s="1"/>
      <c r="CB424" s="1"/>
      <c r="CC424" s="1"/>
      <c r="CD424" s="1"/>
      <c r="CE424" s="1"/>
      <c r="CF424" s="1"/>
      <c r="CG424" s="1"/>
      <c r="CH424" s="1"/>
      <c r="CI424" s="1"/>
    </row>
    <row r="425" spans="1:87"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c r="BE425" s="1"/>
      <c r="BF425" s="1"/>
      <c r="BG425" s="1"/>
      <c r="BH425" s="1"/>
      <c r="BI425" s="1"/>
      <c r="BJ425" s="1"/>
      <c r="BK425" s="1"/>
      <c r="BL425" s="1"/>
      <c r="BM425" s="1"/>
      <c r="BN425" s="1"/>
      <c r="BO425" s="1"/>
      <c r="BP425" s="1"/>
      <c r="BQ425" s="1"/>
      <c r="BR425" s="1"/>
      <c r="BS425" s="1"/>
      <c r="BT425" s="1"/>
      <c r="BU425" s="1"/>
      <c r="BV425" s="1"/>
      <c r="BW425" s="1"/>
      <c r="BX425" s="1"/>
      <c r="BY425" s="1"/>
      <c r="BZ425" s="1"/>
      <c r="CA425" s="1"/>
      <c r="CB425" s="1"/>
      <c r="CC425" s="1"/>
      <c r="CD425" s="1"/>
      <c r="CE425" s="1"/>
      <c r="CF425" s="1"/>
      <c r="CG425" s="1"/>
      <c r="CH425" s="1"/>
      <c r="CI425" s="1"/>
    </row>
    <row r="426" spans="1:87"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c r="BF426" s="1"/>
      <c r="BG426" s="1"/>
      <c r="BH426" s="1"/>
      <c r="BI426" s="1"/>
      <c r="BJ426" s="1"/>
      <c r="BK426" s="1"/>
      <c r="BL426" s="1"/>
      <c r="BM426" s="1"/>
      <c r="BN426" s="1"/>
      <c r="BO426" s="1"/>
      <c r="BP426" s="1"/>
      <c r="BQ426" s="1"/>
      <c r="BR426" s="1"/>
      <c r="BS426" s="1"/>
      <c r="BT426" s="1"/>
      <c r="BU426" s="1"/>
      <c r="BV426" s="1"/>
      <c r="BW426" s="1"/>
      <c r="BX426" s="1"/>
      <c r="BY426" s="1"/>
      <c r="BZ426" s="1"/>
      <c r="CA426" s="1"/>
      <c r="CB426" s="1"/>
      <c r="CC426" s="1"/>
      <c r="CD426" s="1"/>
      <c r="CE426" s="1"/>
      <c r="CF426" s="1"/>
      <c r="CG426" s="1"/>
      <c r="CH426" s="1"/>
      <c r="CI426" s="1"/>
    </row>
    <row r="427" spans="1:87"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c r="BE427" s="1"/>
      <c r="BF427" s="1"/>
      <c r="BG427" s="1"/>
      <c r="BH427" s="1"/>
      <c r="BI427" s="1"/>
      <c r="BJ427" s="1"/>
      <c r="BK427" s="1"/>
      <c r="BL427" s="1"/>
      <c r="BM427" s="1"/>
      <c r="BN427" s="1"/>
      <c r="BO427" s="1"/>
      <c r="BP427" s="1"/>
      <c r="BQ427" s="1"/>
      <c r="BR427" s="1"/>
      <c r="BS427" s="1"/>
      <c r="BT427" s="1"/>
      <c r="BU427" s="1"/>
      <c r="BV427" s="1"/>
      <c r="BW427" s="1"/>
      <c r="BX427" s="1"/>
      <c r="BY427" s="1"/>
      <c r="BZ427" s="1"/>
      <c r="CA427" s="1"/>
      <c r="CB427" s="1"/>
      <c r="CC427" s="1"/>
      <c r="CD427" s="1"/>
      <c r="CE427" s="1"/>
      <c r="CF427" s="1"/>
      <c r="CG427" s="1"/>
      <c r="CH427" s="1"/>
      <c r="CI427" s="1"/>
    </row>
    <row r="428" spans="1:87"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c r="BC428" s="1"/>
      <c r="BD428" s="1"/>
      <c r="BE428" s="1"/>
      <c r="BF428" s="1"/>
      <c r="BG428" s="1"/>
      <c r="BH428" s="1"/>
      <c r="BI428" s="1"/>
      <c r="BJ428" s="1"/>
      <c r="BK428" s="1"/>
      <c r="BL428" s="1"/>
      <c r="BM428" s="1"/>
      <c r="BN428" s="1"/>
      <c r="BO428" s="1"/>
      <c r="BP428" s="1"/>
      <c r="BQ428" s="1"/>
      <c r="BR428" s="1"/>
      <c r="BS428" s="1"/>
      <c r="BT428" s="1"/>
      <c r="BU428" s="1"/>
      <c r="BV428" s="1"/>
      <c r="BW428" s="1"/>
      <c r="BX428" s="1"/>
      <c r="BY428" s="1"/>
      <c r="BZ428" s="1"/>
      <c r="CA428" s="1"/>
      <c r="CB428" s="1"/>
      <c r="CC428" s="1"/>
      <c r="CD428" s="1"/>
      <c r="CE428" s="1"/>
      <c r="CF428" s="1"/>
      <c r="CG428" s="1"/>
      <c r="CH428" s="1"/>
      <c r="CI428" s="1"/>
    </row>
    <row r="429" spans="1:87"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c r="BE429" s="1"/>
      <c r="BF429" s="1"/>
      <c r="BG429" s="1"/>
      <c r="BH429" s="1"/>
      <c r="BI429" s="1"/>
      <c r="BJ429" s="1"/>
      <c r="BK429" s="1"/>
      <c r="BL429" s="1"/>
      <c r="BM429" s="1"/>
      <c r="BN429" s="1"/>
      <c r="BO429" s="1"/>
      <c r="BP429" s="1"/>
      <c r="BQ429" s="1"/>
      <c r="BR429" s="1"/>
      <c r="BS429" s="1"/>
      <c r="BT429" s="1"/>
      <c r="BU429" s="1"/>
      <c r="BV429" s="1"/>
      <c r="BW429" s="1"/>
      <c r="BX429" s="1"/>
      <c r="BY429" s="1"/>
      <c r="BZ429" s="1"/>
      <c r="CA429" s="1"/>
      <c r="CB429" s="1"/>
      <c r="CC429" s="1"/>
      <c r="CD429" s="1"/>
      <c r="CE429" s="1"/>
      <c r="CF429" s="1"/>
      <c r="CG429" s="1"/>
      <c r="CH429" s="1"/>
      <c r="CI429" s="1"/>
    </row>
    <row r="430" spans="1:87"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c r="BE430" s="1"/>
      <c r="BF430" s="1"/>
      <c r="BG430" s="1"/>
      <c r="BH430" s="1"/>
      <c r="BI430" s="1"/>
      <c r="BJ430" s="1"/>
      <c r="BK430" s="1"/>
      <c r="BL430" s="1"/>
      <c r="BM430" s="1"/>
      <c r="BN430" s="1"/>
      <c r="BO430" s="1"/>
      <c r="BP430" s="1"/>
      <c r="BQ430" s="1"/>
      <c r="BR430" s="1"/>
      <c r="BS430" s="1"/>
      <c r="BT430" s="1"/>
      <c r="BU430" s="1"/>
      <c r="BV430" s="1"/>
      <c r="BW430" s="1"/>
      <c r="BX430" s="1"/>
      <c r="BY430" s="1"/>
      <c r="BZ430" s="1"/>
      <c r="CA430" s="1"/>
      <c r="CB430" s="1"/>
      <c r="CC430" s="1"/>
      <c r="CD430" s="1"/>
      <c r="CE430" s="1"/>
      <c r="CF430" s="1"/>
      <c r="CG430" s="1"/>
      <c r="CH430" s="1"/>
      <c r="CI430" s="1"/>
    </row>
    <row r="431" spans="1:87"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c r="BE431" s="1"/>
      <c r="BF431" s="1"/>
      <c r="BG431" s="1"/>
      <c r="BH431" s="1"/>
      <c r="BI431" s="1"/>
      <c r="BJ431" s="1"/>
      <c r="BK431" s="1"/>
      <c r="BL431" s="1"/>
      <c r="BM431" s="1"/>
      <c r="BN431" s="1"/>
      <c r="BO431" s="1"/>
      <c r="BP431" s="1"/>
      <c r="BQ431" s="1"/>
      <c r="BR431" s="1"/>
      <c r="BS431" s="1"/>
      <c r="BT431" s="1"/>
      <c r="BU431" s="1"/>
      <c r="BV431" s="1"/>
      <c r="BW431" s="1"/>
      <c r="BX431" s="1"/>
      <c r="BY431" s="1"/>
      <c r="BZ431" s="1"/>
      <c r="CA431" s="1"/>
      <c r="CB431" s="1"/>
      <c r="CC431" s="1"/>
      <c r="CD431" s="1"/>
      <c r="CE431" s="1"/>
      <c r="CF431" s="1"/>
      <c r="CG431" s="1"/>
      <c r="CH431" s="1"/>
      <c r="CI431" s="1"/>
    </row>
    <row r="432" spans="1:87"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c r="BE432" s="1"/>
      <c r="BF432" s="1"/>
      <c r="BG432" s="1"/>
      <c r="BH432" s="1"/>
      <c r="BI432" s="1"/>
      <c r="BJ432" s="1"/>
      <c r="BK432" s="1"/>
      <c r="BL432" s="1"/>
      <c r="BM432" s="1"/>
      <c r="BN432" s="1"/>
      <c r="BO432" s="1"/>
      <c r="BP432" s="1"/>
      <c r="BQ432" s="1"/>
      <c r="BR432" s="1"/>
      <c r="BS432" s="1"/>
      <c r="BT432" s="1"/>
      <c r="BU432" s="1"/>
      <c r="BV432" s="1"/>
      <c r="BW432" s="1"/>
      <c r="BX432" s="1"/>
      <c r="BY432" s="1"/>
      <c r="BZ432" s="1"/>
      <c r="CA432" s="1"/>
      <c r="CB432" s="1"/>
      <c r="CC432" s="1"/>
      <c r="CD432" s="1"/>
      <c r="CE432" s="1"/>
      <c r="CF432" s="1"/>
      <c r="CG432" s="1"/>
      <c r="CH432" s="1"/>
      <c r="CI432" s="1"/>
    </row>
    <row r="433" spans="1:87"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c r="BC433" s="1"/>
      <c r="BD433" s="1"/>
      <c r="BE433" s="1"/>
      <c r="BF433" s="1"/>
      <c r="BG433" s="1"/>
      <c r="BH433" s="1"/>
      <c r="BI433" s="1"/>
      <c r="BJ433" s="1"/>
      <c r="BK433" s="1"/>
      <c r="BL433" s="1"/>
      <c r="BM433" s="1"/>
      <c r="BN433" s="1"/>
      <c r="BO433" s="1"/>
      <c r="BP433" s="1"/>
      <c r="BQ433" s="1"/>
      <c r="BR433" s="1"/>
      <c r="BS433" s="1"/>
      <c r="BT433" s="1"/>
      <c r="BU433" s="1"/>
      <c r="BV433" s="1"/>
      <c r="BW433" s="1"/>
      <c r="BX433" s="1"/>
      <c r="BY433" s="1"/>
      <c r="BZ433" s="1"/>
      <c r="CA433" s="1"/>
      <c r="CB433" s="1"/>
      <c r="CC433" s="1"/>
      <c r="CD433" s="1"/>
      <c r="CE433" s="1"/>
      <c r="CF433" s="1"/>
      <c r="CG433" s="1"/>
      <c r="CH433" s="1"/>
      <c r="CI433" s="1"/>
    </row>
    <row r="434" spans="1:87"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c r="BC434" s="1"/>
      <c r="BD434" s="1"/>
      <c r="BE434" s="1"/>
      <c r="BF434" s="1"/>
      <c r="BG434" s="1"/>
      <c r="BH434" s="1"/>
      <c r="BI434" s="1"/>
      <c r="BJ434" s="1"/>
      <c r="BK434" s="1"/>
      <c r="BL434" s="1"/>
      <c r="BM434" s="1"/>
      <c r="BN434" s="1"/>
      <c r="BO434" s="1"/>
      <c r="BP434" s="1"/>
      <c r="BQ434" s="1"/>
      <c r="BR434" s="1"/>
      <c r="BS434" s="1"/>
      <c r="BT434" s="1"/>
      <c r="BU434" s="1"/>
      <c r="BV434" s="1"/>
      <c r="BW434" s="1"/>
      <c r="BX434" s="1"/>
      <c r="BY434" s="1"/>
      <c r="BZ434" s="1"/>
      <c r="CA434" s="1"/>
      <c r="CB434" s="1"/>
      <c r="CC434" s="1"/>
      <c r="CD434" s="1"/>
      <c r="CE434" s="1"/>
      <c r="CF434" s="1"/>
      <c r="CG434" s="1"/>
      <c r="CH434" s="1"/>
      <c r="CI434" s="1"/>
    </row>
    <row r="435" spans="1:87"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c r="BC435" s="1"/>
      <c r="BD435" s="1"/>
      <c r="BE435" s="1"/>
      <c r="BF435" s="1"/>
      <c r="BG435" s="1"/>
      <c r="BH435" s="1"/>
      <c r="BI435" s="1"/>
      <c r="BJ435" s="1"/>
      <c r="BK435" s="1"/>
      <c r="BL435" s="1"/>
      <c r="BM435" s="1"/>
      <c r="BN435" s="1"/>
      <c r="BO435" s="1"/>
      <c r="BP435" s="1"/>
      <c r="BQ435" s="1"/>
      <c r="BR435" s="1"/>
      <c r="BS435" s="1"/>
      <c r="BT435" s="1"/>
      <c r="BU435" s="1"/>
      <c r="BV435" s="1"/>
      <c r="BW435" s="1"/>
      <c r="BX435" s="1"/>
      <c r="BY435" s="1"/>
      <c r="BZ435" s="1"/>
      <c r="CA435" s="1"/>
      <c r="CB435" s="1"/>
      <c r="CC435" s="1"/>
      <c r="CD435" s="1"/>
      <c r="CE435" s="1"/>
      <c r="CF435" s="1"/>
      <c r="CG435" s="1"/>
      <c r="CH435" s="1"/>
      <c r="CI435" s="1"/>
    </row>
    <row r="436" spans="1:87"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c r="BC436" s="1"/>
      <c r="BD436" s="1"/>
      <c r="BE436" s="1"/>
      <c r="BF436" s="1"/>
      <c r="BG436" s="1"/>
      <c r="BH436" s="1"/>
      <c r="BI436" s="1"/>
      <c r="BJ436" s="1"/>
      <c r="BK436" s="1"/>
      <c r="BL436" s="1"/>
      <c r="BM436" s="1"/>
      <c r="BN436" s="1"/>
      <c r="BO436" s="1"/>
      <c r="BP436" s="1"/>
      <c r="BQ436" s="1"/>
      <c r="BR436" s="1"/>
      <c r="BS436" s="1"/>
      <c r="BT436" s="1"/>
      <c r="BU436" s="1"/>
      <c r="BV436" s="1"/>
      <c r="BW436" s="1"/>
      <c r="BX436" s="1"/>
      <c r="BY436" s="1"/>
      <c r="BZ436" s="1"/>
      <c r="CA436" s="1"/>
      <c r="CB436" s="1"/>
      <c r="CC436" s="1"/>
      <c r="CD436" s="1"/>
      <c r="CE436" s="1"/>
      <c r="CF436" s="1"/>
      <c r="CG436" s="1"/>
      <c r="CH436" s="1"/>
      <c r="CI436" s="1"/>
    </row>
    <row r="437" spans="1:87"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c r="BE437" s="1"/>
      <c r="BF437" s="1"/>
      <c r="BG437" s="1"/>
      <c r="BH437" s="1"/>
      <c r="BI437" s="1"/>
      <c r="BJ437" s="1"/>
      <c r="BK437" s="1"/>
      <c r="BL437" s="1"/>
      <c r="BM437" s="1"/>
      <c r="BN437" s="1"/>
      <c r="BO437" s="1"/>
      <c r="BP437" s="1"/>
      <c r="BQ437" s="1"/>
      <c r="BR437" s="1"/>
      <c r="BS437" s="1"/>
      <c r="BT437" s="1"/>
      <c r="BU437" s="1"/>
      <c r="BV437" s="1"/>
      <c r="BW437" s="1"/>
      <c r="BX437" s="1"/>
      <c r="BY437" s="1"/>
      <c r="BZ437" s="1"/>
      <c r="CA437" s="1"/>
      <c r="CB437" s="1"/>
      <c r="CC437" s="1"/>
      <c r="CD437" s="1"/>
      <c r="CE437" s="1"/>
      <c r="CF437" s="1"/>
      <c r="CG437" s="1"/>
      <c r="CH437" s="1"/>
      <c r="CI437" s="1"/>
    </row>
    <row r="438" spans="1:87"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c r="BC438" s="1"/>
      <c r="BD438" s="1"/>
      <c r="BE438" s="1"/>
      <c r="BF438" s="1"/>
      <c r="BG438" s="1"/>
      <c r="BH438" s="1"/>
      <c r="BI438" s="1"/>
      <c r="BJ438" s="1"/>
      <c r="BK438" s="1"/>
      <c r="BL438" s="1"/>
      <c r="BM438" s="1"/>
      <c r="BN438" s="1"/>
      <c r="BO438" s="1"/>
      <c r="BP438" s="1"/>
      <c r="BQ438" s="1"/>
      <c r="BR438" s="1"/>
      <c r="BS438" s="1"/>
      <c r="BT438" s="1"/>
      <c r="BU438" s="1"/>
      <c r="BV438" s="1"/>
      <c r="BW438" s="1"/>
      <c r="BX438" s="1"/>
      <c r="BY438" s="1"/>
      <c r="BZ438" s="1"/>
      <c r="CA438" s="1"/>
      <c r="CB438" s="1"/>
      <c r="CC438" s="1"/>
      <c r="CD438" s="1"/>
      <c r="CE438" s="1"/>
      <c r="CF438" s="1"/>
      <c r="CG438" s="1"/>
      <c r="CH438" s="1"/>
      <c r="CI438" s="1"/>
    </row>
    <row r="439" spans="1:87"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c r="BE439" s="1"/>
      <c r="BF439" s="1"/>
      <c r="BG439" s="1"/>
      <c r="BH439" s="1"/>
      <c r="BI439" s="1"/>
      <c r="BJ439" s="1"/>
      <c r="BK439" s="1"/>
      <c r="BL439" s="1"/>
      <c r="BM439" s="1"/>
      <c r="BN439" s="1"/>
      <c r="BO439" s="1"/>
      <c r="BP439" s="1"/>
      <c r="BQ439" s="1"/>
      <c r="BR439" s="1"/>
      <c r="BS439" s="1"/>
      <c r="BT439" s="1"/>
      <c r="BU439" s="1"/>
      <c r="BV439" s="1"/>
      <c r="BW439" s="1"/>
      <c r="BX439" s="1"/>
      <c r="BY439" s="1"/>
      <c r="BZ439" s="1"/>
      <c r="CA439" s="1"/>
      <c r="CB439" s="1"/>
      <c r="CC439" s="1"/>
      <c r="CD439" s="1"/>
      <c r="CE439" s="1"/>
      <c r="CF439" s="1"/>
      <c r="CG439" s="1"/>
      <c r="CH439" s="1"/>
      <c r="CI439" s="1"/>
    </row>
    <row r="440" spans="1:87"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c r="BC440" s="1"/>
      <c r="BD440" s="1"/>
      <c r="BE440" s="1"/>
      <c r="BF440" s="1"/>
      <c r="BG440" s="1"/>
      <c r="BH440" s="1"/>
      <c r="BI440" s="1"/>
      <c r="BJ440" s="1"/>
      <c r="BK440" s="1"/>
      <c r="BL440" s="1"/>
      <c r="BM440" s="1"/>
      <c r="BN440" s="1"/>
      <c r="BO440" s="1"/>
      <c r="BP440" s="1"/>
      <c r="BQ440" s="1"/>
      <c r="BR440" s="1"/>
      <c r="BS440" s="1"/>
      <c r="BT440" s="1"/>
      <c r="BU440" s="1"/>
      <c r="BV440" s="1"/>
      <c r="BW440" s="1"/>
      <c r="BX440" s="1"/>
      <c r="BY440" s="1"/>
      <c r="BZ440" s="1"/>
      <c r="CA440" s="1"/>
      <c r="CB440" s="1"/>
      <c r="CC440" s="1"/>
      <c r="CD440" s="1"/>
      <c r="CE440" s="1"/>
      <c r="CF440" s="1"/>
      <c r="CG440" s="1"/>
      <c r="CH440" s="1"/>
      <c r="CI440" s="1"/>
    </row>
    <row r="441" spans="1:87"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c r="BC441" s="1"/>
      <c r="BD441" s="1"/>
      <c r="BE441" s="1"/>
      <c r="BF441" s="1"/>
      <c r="BG441" s="1"/>
      <c r="BH441" s="1"/>
      <c r="BI441" s="1"/>
      <c r="BJ441" s="1"/>
      <c r="BK441" s="1"/>
      <c r="BL441" s="1"/>
      <c r="BM441" s="1"/>
      <c r="BN441" s="1"/>
      <c r="BO441" s="1"/>
      <c r="BP441" s="1"/>
      <c r="BQ441" s="1"/>
      <c r="BR441" s="1"/>
      <c r="BS441" s="1"/>
      <c r="BT441" s="1"/>
      <c r="BU441" s="1"/>
      <c r="BV441" s="1"/>
      <c r="BW441" s="1"/>
      <c r="BX441" s="1"/>
      <c r="BY441" s="1"/>
      <c r="BZ441" s="1"/>
      <c r="CA441" s="1"/>
      <c r="CB441" s="1"/>
      <c r="CC441" s="1"/>
      <c r="CD441" s="1"/>
      <c r="CE441" s="1"/>
      <c r="CF441" s="1"/>
      <c r="CG441" s="1"/>
      <c r="CH441" s="1"/>
      <c r="CI441" s="1"/>
    </row>
    <row r="442" spans="1:87"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c r="BC442" s="1"/>
      <c r="BD442" s="1"/>
      <c r="BE442" s="1"/>
      <c r="BF442" s="1"/>
      <c r="BG442" s="1"/>
      <c r="BH442" s="1"/>
      <c r="BI442" s="1"/>
      <c r="BJ442" s="1"/>
      <c r="BK442" s="1"/>
      <c r="BL442" s="1"/>
      <c r="BM442" s="1"/>
      <c r="BN442" s="1"/>
      <c r="BO442" s="1"/>
      <c r="BP442" s="1"/>
      <c r="BQ442" s="1"/>
      <c r="BR442" s="1"/>
      <c r="BS442" s="1"/>
      <c r="BT442" s="1"/>
      <c r="BU442" s="1"/>
      <c r="BV442" s="1"/>
      <c r="BW442" s="1"/>
      <c r="BX442" s="1"/>
      <c r="BY442" s="1"/>
      <c r="BZ442" s="1"/>
      <c r="CA442" s="1"/>
      <c r="CB442" s="1"/>
      <c r="CC442" s="1"/>
      <c r="CD442" s="1"/>
      <c r="CE442" s="1"/>
      <c r="CF442" s="1"/>
      <c r="CG442" s="1"/>
      <c r="CH442" s="1"/>
      <c r="CI442" s="1"/>
    </row>
    <row r="443" spans="1:87"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c r="BE443" s="1"/>
      <c r="BF443" s="1"/>
      <c r="BG443" s="1"/>
      <c r="BH443" s="1"/>
      <c r="BI443" s="1"/>
      <c r="BJ443" s="1"/>
      <c r="BK443" s="1"/>
      <c r="BL443" s="1"/>
      <c r="BM443" s="1"/>
      <c r="BN443" s="1"/>
      <c r="BO443" s="1"/>
      <c r="BP443" s="1"/>
      <c r="BQ443" s="1"/>
      <c r="BR443" s="1"/>
      <c r="BS443" s="1"/>
      <c r="BT443" s="1"/>
      <c r="BU443" s="1"/>
      <c r="BV443" s="1"/>
      <c r="BW443" s="1"/>
      <c r="BX443" s="1"/>
      <c r="BY443" s="1"/>
      <c r="BZ443" s="1"/>
      <c r="CA443" s="1"/>
      <c r="CB443" s="1"/>
      <c r="CC443" s="1"/>
      <c r="CD443" s="1"/>
      <c r="CE443" s="1"/>
      <c r="CF443" s="1"/>
      <c r="CG443" s="1"/>
      <c r="CH443" s="1"/>
      <c r="CI443" s="1"/>
    </row>
    <row r="444" spans="1:87"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c r="BC444" s="1"/>
      <c r="BD444" s="1"/>
      <c r="BE444" s="1"/>
      <c r="BF444" s="1"/>
      <c r="BG444" s="1"/>
      <c r="BH444" s="1"/>
      <c r="BI444" s="1"/>
      <c r="BJ444" s="1"/>
      <c r="BK444" s="1"/>
      <c r="BL444" s="1"/>
      <c r="BM444" s="1"/>
      <c r="BN444" s="1"/>
      <c r="BO444" s="1"/>
      <c r="BP444" s="1"/>
      <c r="BQ444" s="1"/>
      <c r="BR444" s="1"/>
      <c r="BS444" s="1"/>
      <c r="BT444" s="1"/>
      <c r="BU444" s="1"/>
      <c r="BV444" s="1"/>
      <c r="BW444" s="1"/>
      <c r="BX444" s="1"/>
      <c r="BY444" s="1"/>
      <c r="BZ444" s="1"/>
      <c r="CA444" s="1"/>
      <c r="CB444" s="1"/>
      <c r="CC444" s="1"/>
      <c r="CD444" s="1"/>
      <c r="CE444" s="1"/>
      <c r="CF444" s="1"/>
      <c r="CG444" s="1"/>
      <c r="CH444" s="1"/>
      <c r="CI444" s="1"/>
    </row>
    <row r="445" spans="1:87"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c r="BF445" s="1"/>
      <c r="BG445" s="1"/>
      <c r="BH445" s="1"/>
      <c r="BI445" s="1"/>
      <c r="BJ445" s="1"/>
      <c r="BK445" s="1"/>
      <c r="BL445" s="1"/>
      <c r="BM445" s="1"/>
      <c r="BN445" s="1"/>
      <c r="BO445" s="1"/>
      <c r="BP445" s="1"/>
      <c r="BQ445" s="1"/>
      <c r="BR445" s="1"/>
      <c r="BS445" s="1"/>
      <c r="BT445" s="1"/>
      <c r="BU445" s="1"/>
      <c r="BV445" s="1"/>
      <c r="BW445" s="1"/>
      <c r="BX445" s="1"/>
      <c r="BY445" s="1"/>
      <c r="BZ445" s="1"/>
      <c r="CA445" s="1"/>
      <c r="CB445" s="1"/>
      <c r="CC445" s="1"/>
      <c r="CD445" s="1"/>
      <c r="CE445" s="1"/>
      <c r="CF445" s="1"/>
      <c r="CG445" s="1"/>
      <c r="CH445" s="1"/>
      <c r="CI445" s="1"/>
    </row>
    <row r="446" spans="1:87"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c r="BE446" s="1"/>
      <c r="BF446" s="1"/>
      <c r="BG446" s="1"/>
      <c r="BH446" s="1"/>
      <c r="BI446" s="1"/>
      <c r="BJ446" s="1"/>
      <c r="BK446" s="1"/>
      <c r="BL446" s="1"/>
      <c r="BM446" s="1"/>
      <c r="BN446" s="1"/>
      <c r="BO446" s="1"/>
      <c r="BP446" s="1"/>
      <c r="BQ446" s="1"/>
      <c r="BR446" s="1"/>
      <c r="BS446" s="1"/>
      <c r="BT446" s="1"/>
      <c r="BU446" s="1"/>
      <c r="BV446" s="1"/>
      <c r="BW446" s="1"/>
      <c r="BX446" s="1"/>
      <c r="BY446" s="1"/>
      <c r="BZ446" s="1"/>
      <c r="CA446" s="1"/>
      <c r="CB446" s="1"/>
      <c r="CC446" s="1"/>
      <c r="CD446" s="1"/>
      <c r="CE446" s="1"/>
      <c r="CF446" s="1"/>
      <c r="CG446" s="1"/>
      <c r="CH446" s="1"/>
      <c r="CI446" s="1"/>
    </row>
    <row r="447" spans="1:87"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c r="BF447" s="1"/>
      <c r="BG447" s="1"/>
      <c r="BH447" s="1"/>
      <c r="BI447" s="1"/>
      <c r="BJ447" s="1"/>
      <c r="BK447" s="1"/>
      <c r="BL447" s="1"/>
      <c r="BM447" s="1"/>
      <c r="BN447" s="1"/>
      <c r="BO447" s="1"/>
      <c r="BP447" s="1"/>
      <c r="BQ447" s="1"/>
      <c r="BR447" s="1"/>
      <c r="BS447" s="1"/>
      <c r="BT447" s="1"/>
      <c r="BU447" s="1"/>
      <c r="BV447" s="1"/>
      <c r="BW447" s="1"/>
      <c r="BX447" s="1"/>
      <c r="BY447" s="1"/>
      <c r="BZ447" s="1"/>
      <c r="CA447" s="1"/>
      <c r="CB447" s="1"/>
      <c r="CC447" s="1"/>
      <c r="CD447" s="1"/>
      <c r="CE447" s="1"/>
      <c r="CF447" s="1"/>
      <c r="CG447" s="1"/>
      <c r="CH447" s="1"/>
      <c r="CI447" s="1"/>
    </row>
    <row r="448" spans="1:87"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c r="BF448" s="1"/>
      <c r="BG448" s="1"/>
      <c r="BH448" s="1"/>
      <c r="BI448" s="1"/>
      <c r="BJ448" s="1"/>
      <c r="BK448" s="1"/>
      <c r="BL448" s="1"/>
      <c r="BM448" s="1"/>
      <c r="BN448" s="1"/>
      <c r="BO448" s="1"/>
      <c r="BP448" s="1"/>
      <c r="BQ448" s="1"/>
      <c r="BR448" s="1"/>
      <c r="BS448" s="1"/>
      <c r="BT448" s="1"/>
      <c r="BU448" s="1"/>
      <c r="BV448" s="1"/>
      <c r="BW448" s="1"/>
      <c r="BX448" s="1"/>
      <c r="BY448" s="1"/>
      <c r="BZ448" s="1"/>
      <c r="CA448" s="1"/>
      <c r="CB448" s="1"/>
      <c r="CC448" s="1"/>
      <c r="CD448" s="1"/>
      <c r="CE448" s="1"/>
      <c r="CF448" s="1"/>
      <c r="CG448" s="1"/>
      <c r="CH448" s="1"/>
      <c r="CI448" s="1"/>
    </row>
    <row r="449" spans="1:87"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c r="BF449" s="1"/>
      <c r="BG449" s="1"/>
      <c r="BH449" s="1"/>
      <c r="BI449" s="1"/>
      <c r="BJ449" s="1"/>
      <c r="BK449" s="1"/>
      <c r="BL449" s="1"/>
      <c r="BM449" s="1"/>
      <c r="BN449" s="1"/>
      <c r="BO449" s="1"/>
      <c r="BP449" s="1"/>
      <c r="BQ449" s="1"/>
      <c r="BR449" s="1"/>
      <c r="BS449" s="1"/>
      <c r="BT449" s="1"/>
      <c r="BU449" s="1"/>
      <c r="BV449" s="1"/>
      <c r="BW449" s="1"/>
      <c r="BX449" s="1"/>
      <c r="BY449" s="1"/>
      <c r="BZ449" s="1"/>
      <c r="CA449" s="1"/>
      <c r="CB449" s="1"/>
      <c r="CC449" s="1"/>
      <c r="CD449" s="1"/>
      <c r="CE449" s="1"/>
      <c r="CF449" s="1"/>
      <c r="CG449" s="1"/>
      <c r="CH449" s="1"/>
      <c r="CI449" s="1"/>
    </row>
    <row r="450" spans="1:87"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c r="BE450" s="1"/>
      <c r="BF450" s="1"/>
      <c r="BG450" s="1"/>
      <c r="BH450" s="1"/>
      <c r="BI450" s="1"/>
      <c r="BJ450" s="1"/>
      <c r="BK450" s="1"/>
      <c r="BL450" s="1"/>
      <c r="BM450" s="1"/>
      <c r="BN450" s="1"/>
      <c r="BO450" s="1"/>
      <c r="BP450" s="1"/>
      <c r="BQ450" s="1"/>
      <c r="BR450" s="1"/>
      <c r="BS450" s="1"/>
      <c r="BT450" s="1"/>
      <c r="BU450" s="1"/>
      <c r="BV450" s="1"/>
      <c r="BW450" s="1"/>
      <c r="BX450" s="1"/>
      <c r="BY450" s="1"/>
      <c r="BZ450" s="1"/>
      <c r="CA450" s="1"/>
      <c r="CB450" s="1"/>
      <c r="CC450" s="1"/>
      <c r="CD450" s="1"/>
      <c r="CE450" s="1"/>
      <c r="CF450" s="1"/>
      <c r="CG450" s="1"/>
      <c r="CH450" s="1"/>
      <c r="CI450" s="1"/>
    </row>
    <row r="451" spans="1:87"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c r="BF451" s="1"/>
      <c r="BG451" s="1"/>
      <c r="BH451" s="1"/>
      <c r="BI451" s="1"/>
      <c r="BJ451" s="1"/>
      <c r="BK451" s="1"/>
      <c r="BL451" s="1"/>
      <c r="BM451" s="1"/>
      <c r="BN451" s="1"/>
      <c r="BO451" s="1"/>
      <c r="BP451" s="1"/>
      <c r="BQ451" s="1"/>
      <c r="BR451" s="1"/>
      <c r="BS451" s="1"/>
      <c r="BT451" s="1"/>
      <c r="BU451" s="1"/>
      <c r="BV451" s="1"/>
      <c r="BW451" s="1"/>
      <c r="BX451" s="1"/>
      <c r="BY451" s="1"/>
      <c r="BZ451" s="1"/>
      <c r="CA451" s="1"/>
      <c r="CB451" s="1"/>
      <c r="CC451" s="1"/>
      <c r="CD451" s="1"/>
      <c r="CE451" s="1"/>
      <c r="CF451" s="1"/>
      <c r="CG451" s="1"/>
      <c r="CH451" s="1"/>
      <c r="CI451" s="1"/>
    </row>
    <row r="452" spans="1:87"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c r="BE452" s="1"/>
      <c r="BF452" s="1"/>
      <c r="BG452" s="1"/>
      <c r="BH452" s="1"/>
      <c r="BI452" s="1"/>
      <c r="BJ452" s="1"/>
      <c r="BK452" s="1"/>
      <c r="BL452" s="1"/>
      <c r="BM452" s="1"/>
      <c r="BN452" s="1"/>
      <c r="BO452" s="1"/>
      <c r="BP452" s="1"/>
      <c r="BQ452" s="1"/>
      <c r="BR452" s="1"/>
      <c r="BS452" s="1"/>
      <c r="BT452" s="1"/>
      <c r="BU452" s="1"/>
      <c r="BV452" s="1"/>
      <c r="BW452" s="1"/>
      <c r="BX452" s="1"/>
      <c r="BY452" s="1"/>
      <c r="BZ452" s="1"/>
      <c r="CA452" s="1"/>
      <c r="CB452" s="1"/>
      <c r="CC452" s="1"/>
      <c r="CD452" s="1"/>
      <c r="CE452" s="1"/>
      <c r="CF452" s="1"/>
      <c r="CG452" s="1"/>
      <c r="CH452" s="1"/>
      <c r="CI452" s="1"/>
    </row>
    <row r="453" spans="1:87"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c r="BE453" s="1"/>
      <c r="BF453" s="1"/>
      <c r="BG453" s="1"/>
      <c r="BH453" s="1"/>
      <c r="BI453" s="1"/>
      <c r="BJ453" s="1"/>
      <c r="BK453" s="1"/>
      <c r="BL453" s="1"/>
      <c r="BM453" s="1"/>
      <c r="BN453" s="1"/>
      <c r="BO453" s="1"/>
      <c r="BP453" s="1"/>
      <c r="BQ453" s="1"/>
      <c r="BR453" s="1"/>
      <c r="BS453" s="1"/>
      <c r="BT453" s="1"/>
      <c r="BU453" s="1"/>
      <c r="BV453" s="1"/>
      <c r="BW453" s="1"/>
      <c r="BX453" s="1"/>
      <c r="BY453" s="1"/>
      <c r="BZ453" s="1"/>
      <c r="CA453" s="1"/>
      <c r="CB453" s="1"/>
      <c r="CC453" s="1"/>
      <c r="CD453" s="1"/>
      <c r="CE453" s="1"/>
      <c r="CF453" s="1"/>
      <c r="CG453" s="1"/>
      <c r="CH453" s="1"/>
      <c r="CI453" s="1"/>
    </row>
    <row r="454" spans="1:87"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c r="BC454" s="1"/>
      <c r="BD454" s="1"/>
      <c r="BE454" s="1"/>
      <c r="BF454" s="1"/>
      <c r="BG454" s="1"/>
      <c r="BH454" s="1"/>
      <c r="BI454" s="1"/>
      <c r="BJ454" s="1"/>
      <c r="BK454" s="1"/>
      <c r="BL454" s="1"/>
      <c r="BM454" s="1"/>
      <c r="BN454" s="1"/>
      <c r="BO454" s="1"/>
      <c r="BP454" s="1"/>
      <c r="BQ454" s="1"/>
      <c r="BR454" s="1"/>
      <c r="BS454" s="1"/>
      <c r="BT454" s="1"/>
      <c r="BU454" s="1"/>
      <c r="BV454" s="1"/>
      <c r="BW454" s="1"/>
      <c r="BX454" s="1"/>
      <c r="BY454" s="1"/>
      <c r="BZ454" s="1"/>
      <c r="CA454" s="1"/>
      <c r="CB454" s="1"/>
      <c r="CC454" s="1"/>
      <c r="CD454" s="1"/>
      <c r="CE454" s="1"/>
      <c r="CF454" s="1"/>
      <c r="CG454" s="1"/>
      <c r="CH454" s="1"/>
      <c r="CI454" s="1"/>
    </row>
    <row r="455" spans="1:87"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c r="BC455" s="1"/>
      <c r="BD455" s="1"/>
      <c r="BE455" s="1"/>
      <c r="BF455" s="1"/>
      <c r="BG455" s="1"/>
      <c r="BH455" s="1"/>
      <c r="BI455" s="1"/>
      <c r="BJ455" s="1"/>
      <c r="BK455" s="1"/>
      <c r="BL455" s="1"/>
      <c r="BM455" s="1"/>
      <c r="BN455" s="1"/>
      <c r="BO455" s="1"/>
      <c r="BP455" s="1"/>
      <c r="BQ455" s="1"/>
      <c r="BR455" s="1"/>
      <c r="BS455" s="1"/>
      <c r="BT455" s="1"/>
      <c r="BU455" s="1"/>
      <c r="BV455" s="1"/>
      <c r="BW455" s="1"/>
      <c r="BX455" s="1"/>
      <c r="BY455" s="1"/>
      <c r="BZ455" s="1"/>
      <c r="CA455" s="1"/>
      <c r="CB455" s="1"/>
      <c r="CC455" s="1"/>
      <c r="CD455" s="1"/>
      <c r="CE455" s="1"/>
      <c r="CF455" s="1"/>
      <c r="CG455" s="1"/>
      <c r="CH455" s="1"/>
      <c r="CI455" s="1"/>
    </row>
    <row r="456" spans="1:87"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c r="BE456" s="1"/>
      <c r="BF456" s="1"/>
      <c r="BG456" s="1"/>
      <c r="BH456" s="1"/>
      <c r="BI456" s="1"/>
      <c r="BJ456" s="1"/>
      <c r="BK456" s="1"/>
      <c r="BL456" s="1"/>
      <c r="BM456" s="1"/>
      <c r="BN456" s="1"/>
      <c r="BO456" s="1"/>
      <c r="BP456" s="1"/>
      <c r="BQ456" s="1"/>
      <c r="BR456" s="1"/>
      <c r="BS456" s="1"/>
      <c r="BT456" s="1"/>
      <c r="BU456" s="1"/>
      <c r="BV456" s="1"/>
      <c r="BW456" s="1"/>
      <c r="BX456" s="1"/>
      <c r="BY456" s="1"/>
      <c r="BZ456" s="1"/>
      <c r="CA456" s="1"/>
      <c r="CB456" s="1"/>
      <c r="CC456" s="1"/>
      <c r="CD456" s="1"/>
      <c r="CE456" s="1"/>
      <c r="CF456" s="1"/>
      <c r="CG456" s="1"/>
      <c r="CH456" s="1"/>
      <c r="CI456" s="1"/>
    </row>
    <row r="457" spans="1:87"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c r="BC457" s="1"/>
      <c r="BD457" s="1"/>
      <c r="BE457" s="1"/>
      <c r="BF457" s="1"/>
      <c r="BG457" s="1"/>
      <c r="BH457" s="1"/>
      <c r="BI457" s="1"/>
      <c r="BJ457" s="1"/>
      <c r="BK457" s="1"/>
      <c r="BL457" s="1"/>
      <c r="BM457" s="1"/>
      <c r="BN457" s="1"/>
      <c r="BO457" s="1"/>
      <c r="BP457" s="1"/>
      <c r="BQ457" s="1"/>
      <c r="BR457" s="1"/>
      <c r="BS457" s="1"/>
      <c r="BT457" s="1"/>
      <c r="BU457" s="1"/>
      <c r="BV457" s="1"/>
      <c r="BW457" s="1"/>
      <c r="BX457" s="1"/>
      <c r="BY457" s="1"/>
      <c r="BZ457" s="1"/>
      <c r="CA457" s="1"/>
      <c r="CB457" s="1"/>
      <c r="CC457" s="1"/>
      <c r="CD457" s="1"/>
      <c r="CE457" s="1"/>
      <c r="CF457" s="1"/>
      <c r="CG457" s="1"/>
      <c r="CH457" s="1"/>
      <c r="CI457" s="1"/>
    </row>
    <row r="458" spans="1:87"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c r="BC458" s="1"/>
      <c r="BD458" s="1"/>
      <c r="BE458" s="1"/>
      <c r="BF458" s="1"/>
      <c r="BG458" s="1"/>
      <c r="BH458" s="1"/>
      <c r="BI458" s="1"/>
      <c r="BJ458" s="1"/>
      <c r="BK458" s="1"/>
      <c r="BL458" s="1"/>
      <c r="BM458" s="1"/>
      <c r="BN458" s="1"/>
      <c r="BO458" s="1"/>
      <c r="BP458" s="1"/>
      <c r="BQ458" s="1"/>
      <c r="BR458" s="1"/>
      <c r="BS458" s="1"/>
      <c r="BT458" s="1"/>
      <c r="BU458" s="1"/>
      <c r="BV458" s="1"/>
      <c r="BW458" s="1"/>
      <c r="BX458" s="1"/>
      <c r="BY458" s="1"/>
      <c r="BZ458" s="1"/>
      <c r="CA458" s="1"/>
      <c r="CB458" s="1"/>
      <c r="CC458" s="1"/>
      <c r="CD458" s="1"/>
      <c r="CE458" s="1"/>
      <c r="CF458" s="1"/>
      <c r="CG458" s="1"/>
      <c r="CH458" s="1"/>
      <c r="CI458" s="1"/>
    </row>
    <row r="459" spans="1:87"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c r="BC459" s="1"/>
      <c r="BD459" s="1"/>
      <c r="BE459" s="1"/>
      <c r="BF459" s="1"/>
      <c r="BG459" s="1"/>
      <c r="BH459" s="1"/>
      <c r="BI459" s="1"/>
      <c r="BJ459" s="1"/>
      <c r="BK459" s="1"/>
      <c r="BL459" s="1"/>
      <c r="BM459" s="1"/>
      <c r="BN459" s="1"/>
      <c r="BO459" s="1"/>
      <c r="BP459" s="1"/>
      <c r="BQ459" s="1"/>
      <c r="BR459" s="1"/>
      <c r="BS459" s="1"/>
      <c r="BT459" s="1"/>
      <c r="BU459" s="1"/>
      <c r="BV459" s="1"/>
      <c r="BW459" s="1"/>
      <c r="BX459" s="1"/>
      <c r="BY459" s="1"/>
      <c r="BZ459" s="1"/>
      <c r="CA459" s="1"/>
      <c r="CB459" s="1"/>
      <c r="CC459" s="1"/>
      <c r="CD459" s="1"/>
      <c r="CE459" s="1"/>
      <c r="CF459" s="1"/>
      <c r="CG459" s="1"/>
      <c r="CH459" s="1"/>
      <c r="CI459" s="1"/>
    </row>
    <row r="460" spans="1:87"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c r="BC460" s="1"/>
      <c r="BD460" s="1"/>
      <c r="BE460" s="1"/>
      <c r="BF460" s="1"/>
      <c r="BG460" s="1"/>
      <c r="BH460" s="1"/>
      <c r="BI460" s="1"/>
      <c r="BJ460" s="1"/>
      <c r="BK460" s="1"/>
      <c r="BL460" s="1"/>
      <c r="BM460" s="1"/>
      <c r="BN460" s="1"/>
      <c r="BO460" s="1"/>
      <c r="BP460" s="1"/>
      <c r="BQ460" s="1"/>
      <c r="BR460" s="1"/>
      <c r="BS460" s="1"/>
      <c r="BT460" s="1"/>
      <c r="BU460" s="1"/>
      <c r="BV460" s="1"/>
      <c r="BW460" s="1"/>
      <c r="BX460" s="1"/>
      <c r="BY460" s="1"/>
      <c r="BZ460" s="1"/>
      <c r="CA460" s="1"/>
      <c r="CB460" s="1"/>
      <c r="CC460" s="1"/>
      <c r="CD460" s="1"/>
      <c r="CE460" s="1"/>
      <c r="CF460" s="1"/>
      <c r="CG460" s="1"/>
      <c r="CH460" s="1"/>
      <c r="CI460" s="1"/>
    </row>
    <row r="461" spans="1:87"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c r="BC461" s="1"/>
      <c r="BD461" s="1"/>
      <c r="BE461" s="1"/>
      <c r="BF461" s="1"/>
      <c r="BG461" s="1"/>
      <c r="BH461" s="1"/>
      <c r="BI461" s="1"/>
      <c r="BJ461" s="1"/>
      <c r="BK461" s="1"/>
      <c r="BL461" s="1"/>
      <c r="BM461" s="1"/>
      <c r="BN461" s="1"/>
      <c r="BO461" s="1"/>
      <c r="BP461" s="1"/>
      <c r="BQ461" s="1"/>
      <c r="BR461" s="1"/>
      <c r="BS461" s="1"/>
      <c r="BT461" s="1"/>
      <c r="BU461" s="1"/>
      <c r="BV461" s="1"/>
      <c r="BW461" s="1"/>
      <c r="BX461" s="1"/>
      <c r="BY461" s="1"/>
      <c r="BZ461" s="1"/>
      <c r="CA461" s="1"/>
      <c r="CB461" s="1"/>
      <c r="CC461" s="1"/>
      <c r="CD461" s="1"/>
      <c r="CE461" s="1"/>
      <c r="CF461" s="1"/>
      <c r="CG461" s="1"/>
      <c r="CH461" s="1"/>
      <c r="CI461" s="1"/>
    </row>
    <row r="462" spans="1:87"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c r="BE462" s="1"/>
      <c r="BF462" s="1"/>
      <c r="BG462" s="1"/>
      <c r="BH462" s="1"/>
      <c r="BI462" s="1"/>
      <c r="BJ462" s="1"/>
      <c r="BK462" s="1"/>
      <c r="BL462" s="1"/>
      <c r="BM462" s="1"/>
      <c r="BN462" s="1"/>
      <c r="BO462" s="1"/>
      <c r="BP462" s="1"/>
      <c r="BQ462" s="1"/>
      <c r="BR462" s="1"/>
      <c r="BS462" s="1"/>
      <c r="BT462" s="1"/>
      <c r="BU462" s="1"/>
      <c r="BV462" s="1"/>
      <c r="BW462" s="1"/>
      <c r="BX462" s="1"/>
      <c r="BY462" s="1"/>
      <c r="BZ462" s="1"/>
      <c r="CA462" s="1"/>
      <c r="CB462" s="1"/>
      <c r="CC462" s="1"/>
      <c r="CD462" s="1"/>
      <c r="CE462" s="1"/>
      <c r="CF462" s="1"/>
      <c r="CG462" s="1"/>
      <c r="CH462" s="1"/>
      <c r="CI462" s="1"/>
    </row>
    <row r="463" spans="1:87"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c r="BC463" s="1"/>
      <c r="BD463" s="1"/>
      <c r="BE463" s="1"/>
      <c r="BF463" s="1"/>
      <c r="BG463" s="1"/>
      <c r="BH463" s="1"/>
      <c r="BI463" s="1"/>
      <c r="BJ463" s="1"/>
      <c r="BK463" s="1"/>
      <c r="BL463" s="1"/>
      <c r="BM463" s="1"/>
      <c r="BN463" s="1"/>
      <c r="BO463" s="1"/>
      <c r="BP463" s="1"/>
      <c r="BQ463" s="1"/>
      <c r="BR463" s="1"/>
      <c r="BS463" s="1"/>
      <c r="BT463" s="1"/>
      <c r="BU463" s="1"/>
      <c r="BV463" s="1"/>
      <c r="BW463" s="1"/>
      <c r="BX463" s="1"/>
      <c r="BY463" s="1"/>
      <c r="BZ463" s="1"/>
      <c r="CA463" s="1"/>
      <c r="CB463" s="1"/>
      <c r="CC463" s="1"/>
      <c r="CD463" s="1"/>
      <c r="CE463" s="1"/>
      <c r="CF463" s="1"/>
      <c r="CG463" s="1"/>
      <c r="CH463" s="1"/>
      <c r="CI463" s="1"/>
    </row>
    <row r="464" spans="1:87"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c r="BE464" s="1"/>
      <c r="BF464" s="1"/>
      <c r="BG464" s="1"/>
      <c r="BH464" s="1"/>
      <c r="BI464" s="1"/>
      <c r="BJ464" s="1"/>
      <c r="BK464" s="1"/>
      <c r="BL464" s="1"/>
      <c r="BM464" s="1"/>
      <c r="BN464" s="1"/>
      <c r="BO464" s="1"/>
      <c r="BP464" s="1"/>
      <c r="BQ464" s="1"/>
      <c r="BR464" s="1"/>
      <c r="BS464" s="1"/>
      <c r="BT464" s="1"/>
      <c r="BU464" s="1"/>
      <c r="BV464" s="1"/>
      <c r="BW464" s="1"/>
      <c r="BX464" s="1"/>
      <c r="BY464" s="1"/>
      <c r="BZ464" s="1"/>
      <c r="CA464" s="1"/>
      <c r="CB464" s="1"/>
      <c r="CC464" s="1"/>
      <c r="CD464" s="1"/>
      <c r="CE464" s="1"/>
      <c r="CF464" s="1"/>
      <c r="CG464" s="1"/>
      <c r="CH464" s="1"/>
      <c r="CI464" s="1"/>
    </row>
    <row r="465" spans="1:87"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c r="BE465" s="1"/>
      <c r="BF465" s="1"/>
      <c r="BG465" s="1"/>
      <c r="BH465" s="1"/>
      <c r="BI465" s="1"/>
      <c r="BJ465" s="1"/>
      <c r="BK465" s="1"/>
      <c r="BL465" s="1"/>
      <c r="BM465" s="1"/>
      <c r="BN465" s="1"/>
      <c r="BO465" s="1"/>
      <c r="BP465" s="1"/>
      <c r="BQ465" s="1"/>
      <c r="BR465" s="1"/>
      <c r="BS465" s="1"/>
      <c r="BT465" s="1"/>
      <c r="BU465" s="1"/>
      <c r="BV465" s="1"/>
      <c r="BW465" s="1"/>
      <c r="BX465" s="1"/>
      <c r="BY465" s="1"/>
      <c r="BZ465" s="1"/>
      <c r="CA465" s="1"/>
      <c r="CB465" s="1"/>
      <c r="CC465" s="1"/>
      <c r="CD465" s="1"/>
      <c r="CE465" s="1"/>
      <c r="CF465" s="1"/>
      <c r="CG465" s="1"/>
      <c r="CH465" s="1"/>
      <c r="CI465" s="1"/>
    </row>
    <row r="466" spans="1:87"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c r="BE466" s="1"/>
      <c r="BF466" s="1"/>
      <c r="BG466" s="1"/>
      <c r="BH466" s="1"/>
      <c r="BI466" s="1"/>
      <c r="BJ466" s="1"/>
      <c r="BK466" s="1"/>
      <c r="BL466" s="1"/>
      <c r="BM466" s="1"/>
      <c r="BN466" s="1"/>
      <c r="BO466" s="1"/>
      <c r="BP466" s="1"/>
      <c r="BQ466" s="1"/>
      <c r="BR466" s="1"/>
      <c r="BS466" s="1"/>
      <c r="BT466" s="1"/>
      <c r="BU466" s="1"/>
      <c r="BV466" s="1"/>
      <c r="BW466" s="1"/>
      <c r="BX466" s="1"/>
      <c r="BY466" s="1"/>
      <c r="BZ466" s="1"/>
      <c r="CA466" s="1"/>
      <c r="CB466" s="1"/>
      <c r="CC466" s="1"/>
      <c r="CD466" s="1"/>
      <c r="CE466" s="1"/>
      <c r="CF466" s="1"/>
      <c r="CG466" s="1"/>
      <c r="CH466" s="1"/>
      <c r="CI466" s="1"/>
    </row>
    <row r="467" spans="1:87"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c r="BE467" s="1"/>
      <c r="BF467" s="1"/>
      <c r="BG467" s="1"/>
      <c r="BH467" s="1"/>
      <c r="BI467" s="1"/>
      <c r="BJ467" s="1"/>
      <c r="BK467" s="1"/>
      <c r="BL467" s="1"/>
      <c r="BM467" s="1"/>
      <c r="BN467" s="1"/>
      <c r="BO467" s="1"/>
      <c r="BP467" s="1"/>
      <c r="BQ467" s="1"/>
      <c r="BR467" s="1"/>
      <c r="BS467" s="1"/>
      <c r="BT467" s="1"/>
      <c r="BU467" s="1"/>
      <c r="BV467" s="1"/>
      <c r="BW467" s="1"/>
      <c r="BX467" s="1"/>
      <c r="BY467" s="1"/>
      <c r="BZ467" s="1"/>
      <c r="CA467" s="1"/>
      <c r="CB467" s="1"/>
      <c r="CC467" s="1"/>
      <c r="CD467" s="1"/>
      <c r="CE467" s="1"/>
      <c r="CF467" s="1"/>
      <c r="CG467" s="1"/>
      <c r="CH467" s="1"/>
      <c r="CI467" s="1"/>
    </row>
    <row r="468" spans="1:87"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c r="BC468" s="1"/>
      <c r="BD468" s="1"/>
      <c r="BE468" s="1"/>
      <c r="BF468" s="1"/>
      <c r="BG468" s="1"/>
      <c r="BH468" s="1"/>
      <c r="BI468" s="1"/>
      <c r="BJ468" s="1"/>
      <c r="BK468" s="1"/>
      <c r="BL468" s="1"/>
      <c r="BM468" s="1"/>
      <c r="BN468" s="1"/>
      <c r="BO468" s="1"/>
      <c r="BP468" s="1"/>
      <c r="BQ468" s="1"/>
      <c r="BR468" s="1"/>
      <c r="BS468" s="1"/>
      <c r="BT468" s="1"/>
      <c r="BU468" s="1"/>
      <c r="BV468" s="1"/>
      <c r="BW468" s="1"/>
      <c r="BX468" s="1"/>
      <c r="BY468" s="1"/>
      <c r="BZ468" s="1"/>
      <c r="CA468" s="1"/>
      <c r="CB468" s="1"/>
      <c r="CC468" s="1"/>
      <c r="CD468" s="1"/>
      <c r="CE468" s="1"/>
      <c r="CF468" s="1"/>
      <c r="CG468" s="1"/>
      <c r="CH468" s="1"/>
      <c r="CI468" s="1"/>
    </row>
    <row r="469" spans="1:87"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c r="BF469" s="1"/>
      <c r="BG469" s="1"/>
      <c r="BH469" s="1"/>
      <c r="BI469" s="1"/>
      <c r="BJ469" s="1"/>
      <c r="BK469" s="1"/>
      <c r="BL469" s="1"/>
      <c r="BM469" s="1"/>
      <c r="BN469" s="1"/>
      <c r="BO469" s="1"/>
      <c r="BP469" s="1"/>
      <c r="BQ469" s="1"/>
      <c r="BR469" s="1"/>
      <c r="BS469" s="1"/>
      <c r="BT469" s="1"/>
      <c r="BU469" s="1"/>
      <c r="BV469" s="1"/>
      <c r="BW469" s="1"/>
      <c r="BX469" s="1"/>
      <c r="BY469" s="1"/>
      <c r="BZ469" s="1"/>
      <c r="CA469" s="1"/>
      <c r="CB469" s="1"/>
      <c r="CC469" s="1"/>
      <c r="CD469" s="1"/>
      <c r="CE469" s="1"/>
      <c r="CF469" s="1"/>
      <c r="CG469" s="1"/>
      <c r="CH469" s="1"/>
      <c r="CI469" s="1"/>
    </row>
    <row r="470" spans="1:87"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c r="BF470" s="1"/>
      <c r="BG470" s="1"/>
      <c r="BH470" s="1"/>
      <c r="BI470" s="1"/>
      <c r="BJ470" s="1"/>
      <c r="BK470" s="1"/>
      <c r="BL470" s="1"/>
      <c r="BM470" s="1"/>
      <c r="BN470" s="1"/>
      <c r="BO470" s="1"/>
      <c r="BP470" s="1"/>
      <c r="BQ470" s="1"/>
      <c r="BR470" s="1"/>
      <c r="BS470" s="1"/>
      <c r="BT470" s="1"/>
      <c r="BU470" s="1"/>
      <c r="BV470" s="1"/>
      <c r="BW470" s="1"/>
      <c r="BX470" s="1"/>
      <c r="BY470" s="1"/>
      <c r="BZ470" s="1"/>
      <c r="CA470" s="1"/>
      <c r="CB470" s="1"/>
      <c r="CC470" s="1"/>
      <c r="CD470" s="1"/>
      <c r="CE470" s="1"/>
      <c r="CF470" s="1"/>
      <c r="CG470" s="1"/>
      <c r="CH470" s="1"/>
      <c r="CI470" s="1"/>
    </row>
    <row r="471" spans="1:87"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c r="BE471" s="1"/>
      <c r="BF471" s="1"/>
      <c r="BG471" s="1"/>
      <c r="BH471" s="1"/>
      <c r="BI471" s="1"/>
      <c r="BJ471" s="1"/>
      <c r="BK471" s="1"/>
      <c r="BL471" s="1"/>
      <c r="BM471" s="1"/>
      <c r="BN471" s="1"/>
      <c r="BO471" s="1"/>
      <c r="BP471" s="1"/>
      <c r="BQ471" s="1"/>
      <c r="BR471" s="1"/>
      <c r="BS471" s="1"/>
      <c r="BT471" s="1"/>
      <c r="BU471" s="1"/>
      <c r="BV471" s="1"/>
      <c r="BW471" s="1"/>
      <c r="BX471" s="1"/>
      <c r="BY471" s="1"/>
      <c r="BZ471" s="1"/>
      <c r="CA471" s="1"/>
      <c r="CB471" s="1"/>
      <c r="CC471" s="1"/>
      <c r="CD471" s="1"/>
      <c r="CE471" s="1"/>
      <c r="CF471" s="1"/>
      <c r="CG471" s="1"/>
      <c r="CH471" s="1"/>
      <c r="CI471" s="1"/>
    </row>
    <row r="472" spans="1:87"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c r="BE472" s="1"/>
      <c r="BF472" s="1"/>
      <c r="BG472" s="1"/>
      <c r="BH472" s="1"/>
      <c r="BI472" s="1"/>
      <c r="BJ472" s="1"/>
      <c r="BK472" s="1"/>
      <c r="BL472" s="1"/>
      <c r="BM472" s="1"/>
      <c r="BN472" s="1"/>
      <c r="BO472" s="1"/>
      <c r="BP472" s="1"/>
      <c r="BQ472" s="1"/>
      <c r="BR472" s="1"/>
      <c r="BS472" s="1"/>
      <c r="BT472" s="1"/>
      <c r="BU472" s="1"/>
      <c r="BV472" s="1"/>
      <c r="BW472" s="1"/>
      <c r="BX472" s="1"/>
      <c r="BY472" s="1"/>
      <c r="BZ472" s="1"/>
      <c r="CA472" s="1"/>
      <c r="CB472" s="1"/>
      <c r="CC472" s="1"/>
      <c r="CD472" s="1"/>
      <c r="CE472" s="1"/>
      <c r="CF472" s="1"/>
      <c r="CG472" s="1"/>
      <c r="CH472" s="1"/>
      <c r="CI472" s="1"/>
    </row>
    <row r="473" spans="1:87"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c r="BE473" s="1"/>
      <c r="BF473" s="1"/>
      <c r="BG473" s="1"/>
      <c r="BH473" s="1"/>
      <c r="BI473" s="1"/>
      <c r="BJ473" s="1"/>
      <c r="BK473" s="1"/>
      <c r="BL473" s="1"/>
      <c r="BM473" s="1"/>
      <c r="BN473" s="1"/>
      <c r="BO473" s="1"/>
      <c r="BP473" s="1"/>
      <c r="BQ473" s="1"/>
      <c r="BR473" s="1"/>
      <c r="BS473" s="1"/>
      <c r="BT473" s="1"/>
      <c r="BU473" s="1"/>
      <c r="BV473" s="1"/>
      <c r="BW473" s="1"/>
      <c r="BX473" s="1"/>
      <c r="BY473" s="1"/>
      <c r="BZ473" s="1"/>
      <c r="CA473" s="1"/>
      <c r="CB473" s="1"/>
      <c r="CC473" s="1"/>
      <c r="CD473" s="1"/>
      <c r="CE473" s="1"/>
      <c r="CF473" s="1"/>
      <c r="CG473" s="1"/>
      <c r="CH473" s="1"/>
      <c r="CI473" s="1"/>
    </row>
    <row r="474" spans="1:87"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c r="BE474" s="1"/>
      <c r="BF474" s="1"/>
      <c r="BG474" s="1"/>
      <c r="BH474" s="1"/>
      <c r="BI474" s="1"/>
      <c r="BJ474" s="1"/>
      <c r="BK474" s="1"/>
      <c r="BL474" s="1"/>
      <c r="BM474" s="1"/>
      <c r="BN474" s="1"/>
      <c r="BO474" s="1"/>
      <c r="BP474" s="1"/>
      <c r="BQ474" s="1"/>
      <c r="BR474" s="1"/>
      <c r="BS474" s="1"/>
      <c r="BT474" s="1"/>
      <c r="BU474" s="1"/>
      <c r="BV474" s="1"/>
      <c r="BW474" s="1"/>
      <c r="BX474" s="1"/>
      <c r="BY474" s="1"/>
      <c r="BZ474" s="1"/>
      <c r="CA474" s="1"/>
      <c r="CB474" s="1"/>
      <c r="CC474" s="1"/>
      <c r="CD474" s="1"/>
      <c r="CE474" s="1"/>
      <c r="CF474" s="1"/>
      <c r="CG474" s="1"/>
      <c r="CH474" s="1"/>
      <c r="CI474" s="1"/>
    </row>
    <row r="475" spans="1:87"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c r="BE475" s="1"/>
      <c r="BF475" s="1"/>
      <c r="BG475" s="1"/>
      <c r="BH475" s="1"/>
      <c r="BI475" s="1"/>
      <c r="BJ475" s="1"/>
      <c r="BK475" s="1"/>
      <c r="BL475" s="1"/>
      <c r="BM475" s="1"/>
      <c r="BN475" s="1"/>
      <c r="BO475" s="1"/>
      <c r="BP475" s="1"/>
      <c r="BQ475" s="1"/>
      <c r="BR475" s="1"/>
      <c r="BS475" s="1"/>
      <c r="BT475" s="1"/>
      <c r="BU475" s="1"/>
      <c r="BV475" s="1"/>
      <c r="BW475" s="1"/>
      <c r="BX475" s="1"/>
      <c r="BY475" s="1"/>
      <c r="BZ475" s="1"/>
      <c r="CA475" s="1"/>
      <c r="CB475" s="1"/>
      <c r="CC475" s="1"/>
      <c r="CD475" s="1"/>
      <c r="CE475" s="1"/>
      <c r="CF475" s="1"/>
      <c r="CG475" s="1"/>
      <c r="CH475" s="1"/>
      <c r="CI475" s="1"/>
    </row>
    <row r="476" spans="1:87"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c r="BE476" s="1"/>
      <c r="BF476" s="1"/>
      <c r="BG476" s="1"/>
      <c r="BH476" s="1"/>
      <c r="BI476" s="1"/>
      <c r="BJ476" s="1"/>
      <c r="BK476" s="1"/>
      <c r="BL476" s="1"/>
      <c r="BM476" s="1"/>
      <c r="BN476" s="1"/>
      <c r="BO476" s="1"/>
      <c r="BP476" s="1"/>
      <c r="BQ476" s="1"/>
      <c r="BR476" s="1"/>
      <c r="BS476" s="1"/>
      <c r="BT476" s="1"/>
      <c r="BU476" s="1"/>
      <c r="BV476" s="1"/>
      <c r="BW476" s="1"/>
      <c r="BX476" s="1"/>
      <c r="BY476" s="1"/>
      <c r="BZ476" s="1"/>
      <c r="CA476" s="1"/>
      <c r="CB476" s="1"/>
      <c r="CC476" s="1"/>
      <c r="CD476" s="1"/>
      <c r="CE476" s="1"/>
      <c r="CF476" s="1"/>
      <c r="CG476" s="1"/>
      <c r="CH476" s="1"/>
      <c r="CI476" s="1"/>
    </row>
    <row r="477" spans="1:87"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c r="BC477" s="1"/>
      <c r="BD477" s="1"/>
      <c r="BE477" s="1"/>
      <c r="BF477" s="1"/>
      <c r="BG477" s="1"/>
      <c r="BH477" s="1"/>
      <c r="BI477" s="1"/>
      <c r="BJ477" s="1"/>
      <c r="BK477" s="1"/>
      <c r="BL477" s="1"/>
      <c r="BM477" s="1"/>
      <c r="BN477" s="1"/>
      <c r="BO477" s="1"/>
      <c r="BP477" s="1"/>
      <c r="BQ477" s="1"/>
      <c r="BR477" s="1"/>
      <c r="BS477" s="1"/>
      <c r="BT477" s="1"/>
      <c r="BU477" s="1"/>
      <c r="BV477" s="1"/>
      <c r="BW477" s="1"/>
      <c r="BX477" s="1"/>
      <c r="BY477" s="1"/>
      <c r="BZ477" s="1"/>
      <c r="CA477" s="1"/>
      <c r="CB477" s="1"/>
      <c r="CC477" s="1"/>
      <c r="CD477" s="1"/>
      <c r="CE477" s="1"/>
      <c r="CF477" s="1"/>
      <c r="CG477" s="1"/>
      <c r="CH477" s="1"/>
      <c r="CI477" s="1"/>
    </row>
    <row r="478" spans="1:87"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c r="BE478" s="1"/>
      <c r="BF478" s="1"/>
      <c r="BG478" s="1"/>
      <c r="BH478" s="1"/>
      <c r="BI478" s="1"/>
      <c r="BJ478" s="1"/>
      <c r="BK478" s="1"/>
      <c r="BL478" s="1"/>
      <c r="BM478" s="1"/>
      <c r="BN478" s="1"/>
      <c r="BO478" s="1"/>
      <c r="BP478" s="1"/>
      <c r="BQ478" s="1"/>
      <c r="BR478" s="1"/>
      <c r="BS478" s="1"/>
      <c r="BT478" s="1"/>
      <c r="BU478" s="1"/>
      <c r="BV478" s="1"/>
      <c r="BW478" s="1"/>
      <c r="BX478" s="1"/>
      <c r="BY478" s="1"/>
      <c r="BZ478" s="1"/>
      <c r="CA478" s="1"/>
      <c r="CB478" s="1"/>
      <c r="CC478" s="1"/>
      <c r="CD478" s="1"/>
      <c r="CE478" s="1"/>
      <c r="CF478" s="1"/>
      <c r="CG478" s="1"/>
      <c r="CH478" s="1"/>
      <c r="CI478" s="1"/>
    </row>
    <row r="479" spans="1:87"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c r="BC479" s="1"/>
      <c r="BD479" s="1"/>
      <c r="BE479" s="1"/>
      <c r="BF479" s="1"/>
      <c r="BG479" s="1"/>
      <c r="BH479" s="1"/>
      <c r="BI479" s="1"/>
      <c r="BJ479" s="1"/>
      <c r="BK479" s="1"/>
      <c r="BL479" s="1"/>
      <c r="BM479" s="1"/>
      <c r="BN479" s="1"/>
      <c r="BO479" s="1"/>
      <c r="BP479" s="1"/>
      <c r="BQ479" s="1"/>
      <c r="BR479" s="1"/>
      <c r="BS479" s="1"/>
      <c r="BT479" s="1"/>
      <c r="BU479" s="1"/>
      <c r="BV479" s="1"/>
      <c r="BW479" s="1"/>
      <c r="BX479" s="1"/>
      <c r="BY479" s="1"/>
      <c r="BZ479" s="1"/>
      <c r="CA479" s="1"/>
      <c r="CB479" s="1"/>
      <c r="CC479" s="1"/>
      <c r="CD479" s="1"/>
      <c r="CE479" s="1"/>
      <c r="CF479" s="1"/>
      <c r="CG479" s="1"/>
      <c r="CH479" s="1"/>
      <c r="CI479" s="1"/>
    </row>
    <row r="480" spans="1:87"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c r="BF480" s="1"/>
      <c r="BG480" s="1"/>
      <c r="BH480" s="1"/>
      <c r="BI480" s="1"/>
      <c r="BJ480" s="1"/>
      <c r="BK480" s="1"/>
      <c r="BL480" s="1"/>
      <c r="BM480" s="1"/>
      <c r="BN480" s="1"/>
      <c r="BO480" s="1"/>
      <c r="BP480" s="1"/>
      <c r="BQ480" s="1"/>
      <c r="BR480" s="1"/>
      <c r="BS480" s="1"/>
      <c r="BT480" s="1"/>
      <c r="BU480" s="1"/>
      <c r="BV480" s="1"/>
      <c r="BW480" s="1"/>
      <c r="BX480" s="1"/>
      <c r="BY480" s="1"/>
      <c r="BZ480" s="1"/>
      <c r="CA480" s="1"/>
      <c r="CB480" s="1"/>
      <c r="CC480" s="1"/>
      <c r="CD480" s="1"/>
      <c r="CE480" s="1"/>
      <c r="CF480" s="1"/>
      <c r="CG480" s="1"/>
      <c r="CH480" s="1"/>
      <c r="CI480" s="1"/>
    </row>
    <row r="481" spans="1:87"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c r="BF481" s="1"/>
      <c r="BG481" s="1"/>
      <c r="BH481" s="1"/>
      <c r="BI481" s="1"/>
      <c r="BJ481" s="1"/>
      <c r="BK481" s="1"/>
      <c r="BL481" s="1"/>
      <c r="BM481" s="1"/>
      <c r="BN481" s="1"/>
      <c r="BO481" s="1"/>
      <c r="BP481" s="1"/>
      <c r="BQ481" s="1"/>
      <c r="BR481" s="1"/>
      <c r="BS481" s="1"/>
      <c r="BT481" s="1"/>
      <c r="BU481" s="1"/>
      <c r="BV481" s="1"/>
      <c r="BW481" s="1"/>
      <c r="BX481" s="1"/>
      <c r="BY481" s="1"/>
      <c r="BZ481" s="1"/>
      <c r="CA481" s="1"/>
      <c r="CB481" s="1"/>
      <c r="CC481" s="1"/>
      <c r="CD481" s="1"/>
      <c r="CE481" s="1"/>
      <c r="CF481" s="1"/>
      <c r="CG481" s="1"/>
      <c r="CH481" s="1"/>
      <c r="CI481" s="1"/>
    </row>
    <row r="482" spans="1:87"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c r="BC482" s="1"/>
      <c r="BD482" s="1"/>
      <c r="BE482" s="1"/>
      <c r="BF482" s="1"/>
      <c r="BG482" s="1"/>
      <c r="BH482" s="1"/>
      <c r="BI482" s="1"/>
      <c r="BJ482" s="1"/>
      <c r="BK482" s="1"/>
      <c r="BL482" s="1"/>
      <c r="BM482" s="1"/>
      <c r="BN482" s="1"/>
      <c r="BO482" s="1"/>
      <c r="BP482" s="1"/>
      <c r="BQ482" s="1"/>
      <c r="BR482" s="1"/>
      <c r="BS482" s="1"/>
      <c r="BT482" s="1"/>
      <c r="BU482" s="1"/>
      <c r="BV482" s="1"/>
      <c r="BW482" s="1"/>
      <c r="BX482" s="1"/>
      <c r="BY482" s="1"/>
      <c r="BZ482" s="1"/>
      <c r="CA482" s="1"/>
      <c r="CB482" s="1"/>
      <c r="CC482" s="1"/>
      <c r="CD482" s="1"/>
      <c r="CE482" s="1"/>
      <c r="CF482" s="1"/>
      <c r="CG482" s="1"/>
      <c r="CH482" s="1"/>
      <c r="CI482" s="1"/>
    </row>
    <row r="483" spans="1:87"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c r="BC483" s="1"/>
      <c r="BD483" s="1"/>
      <c r="BE483" s="1"/>
      <c r="BF483" s="1"/>
      <c r="BG483" s="1"/>
      <c r="BH483" s="1"/>
      <c r="BI483" s="1"/>
      <c r="BJ483" s="1"/>
      <c r="BK483" s="1"/>
      <c r="BL483" s="1"/>
      <c r="BM483" s="1"/>
      <c r="BN483" s="1"/>
      <c r="BO483" s="1"/>
      <c r="BP483" s="1"/>
      <c r="BQ483" s="1"/>
      <c r="BR483" s="1"/>
      <c r="BS483" s="1"/>
      <c r="BT483" s="1"/>
      <c r="BU483" s="1"/>
      <c r="BV483" s="1"/>
      <c r="BW483" s="1"/>
      <c r="BX483" s="1"/>
      <c r="BY483" s="1"/>
      <c r="BZ483" s="1"/>
      <c r="CA483" s="1"/>
      <c r="CB483" s="1"/>
      <c r="CC483" s="1"/>
      <c r="CD483" s="1"/>
      <c r="CE483" s="1"/>
      <c r="CF483" s="1"/>
      <c r="CG483" s="1"/>
      <c r="CH483" s="1"/>
      <c r="CI483" s="1"/>
    </row>
    <row r="484" spans="1:87"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c r="BC484" s="1"/>
      <c r="BD484" s="1"/>
      <c r="BE484" s="1"/>
      <c r="BF484" s="1"/>
      <c r="BG484" s="1"/>
      <c r="BH484" s="1"/>
      <c r="BI484" s="1"/>
      <c r="BJ484" s="1"/>
      <c r="BK484" s="1"/>
      <c r="BL484" s="1"/>
      <c r="BM484" s="1"/>
      <c r="BN484" s="1"/>
      <c r="BO484" s="1"/>
      <c r="BP484" s="1"/>
      <c r="BQ484" s="1"/>
      <c r="BR484" s="1"/>
      <c r="BS484" s="1"/>
      <c r="BT484" s="1"/>
      <c r="BU484" s="1"/>
      <c r="BV484" s="1"/>
      <c r="BW484" s="1"/>
      <c r="BX484" s="1"/>
      <c r="BY484" s="1"/>
      <c r="BZ484" s="1"/>
      <c r="CA484" s="1"/>
      <c r="CB484" s="1"/>
      <c r="CC484" s="1"/>
      <c r="CD484" s="1"/>
      <c r="CE484" s="1"/>
      <c r="CF484" s="1"/>
      <c r="CG484" s="1"/>
      <c r="CH484" s="1"/>
      <c r="CI484" s="1"/>
    </row>
    <row r="485" spans="1:87"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c r="BE485" s="1"/>
      <c r="BF485" s="1"/>
      <c r="BG485" s="1"/>
      <c r="BH485" s="1"/>
      <c r="BI485" s="1"/>
      <c r="BJ485" s="1"/>
      <c r="BK485" s="1"/>
      <c r="BL485" s="1"/>
      <c r="BM485" s="1"/>
      <c r="BN485" s="1"/>
      <c r="BO485" s="1"/>
      <c r="BP485" s="1"/>
      <c r="BQ485" s="1"/>
      <c r="BR485" s="1"/>
      <c r="BS485" s="1"/>
      <c r="BT485" s="1"/>
      <c r="BU485" s="1"/>
      <c r="BV485" s="1"/>
      <c r="BW485" s="1"/>
      <c r="BX485" s="1"/>
      <c r="BY485" s="1"/>
      <c r="BZ485" s="1"/>
      <c r="CA485" s="1"/>
      <c r="CB485" s="1"/>
      <c r="CC485" s="1"/>
      <c r="CD485" s="1"/>
      <c r="CE485" s="1"/>
      <c r="CF485" s="1"/>
      <c r="CG485" s="1"/>
      <c r="CH485" s="1"/>
      <c r="CI485" s="1"/>
    </row>
    <row r="486" spans="1:87"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c r="BC486" s="1"/>
      <c r="BD486" s="1"/>
      <c r="BE486" s="1"/>
      <c r="BF486" s="1"/>
      <c r="BG486" s="1"/>
      <c r="BH486" s="1"/>
      <c r="BI486" s="1"/>
      <c r="BJ486" s="1"/>
      <c r="BK486" s="1"/>
      <c r="BL486" s="1"/>
      <c r="BM486" s="1"/>
      <c r="BN486" s="1"/>
      <c r="BO486" s="1"/>
      <c r="BP486" s="1"/>
      <c r="BQ486" s="1"/>
      <c r="BR486" s="1"/>
      <c r="BS486" s="1"/>
      <c r="BT486" s="1"/>
      <c r="BU486" s="1"/>
      <c r="BV486" s="1"/>
      <c r="BW486" s="1"/>
      <c r="BX486" s="1"/>
      <c r="BY486" s="1"/>
      <c r="BZ486" s="1"/>
      <c r="CA486" s="1"/>
      <c r="CB486" s="1"/>
      <c r="CC486" s="1"/>
      <c r="CD486" s="1"/>
      <c r="CE486" s="1"/>
      <c r="CF486" s="1"/>
      <c r="CG486" s="1"/>
      <c r="CH486" s="1"/>
      <c r="CI486" s="1"/>
    </row>
    <row r="487" spans="1:87"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c r="BC487" s="1"/>
      <c r="BD487" s="1"/>
      <c r="BE487" s="1"/>
      <c r="BF487" s="1"/>
      <c r="BG487" s="1"/>
      <c r="BH487" s="1"/>
      <c r="BI487" s="1"/>
      <c r="BJ487" s="1"/>
      <c r="BK487" s="1"/>
      <c r="BL487" s="1"/>
      <c r="BM487" s="1"/>
      <c r="BN487" s="1"/>
      <c r="BO487" s="1"/>
      <c r="BP487" s="1"/>
      <c r="BQ487" s="1"/>
      <c r="BR487" s="1"/>
      <c r="BS487" s="1"/>
      <c r="BT487" s="1"/>
      <c r="BU487" s="1"/>
      <c r="BV487" s="1"/>
      <c r="BW487" s="1"/>
      <c r="BX487" s="1"/>
      <c r="BY487" s="1"/>
      <c r="BZ487" s="1"/>
      <c r="CA487" s="1"/>
      <c r="CB487" s="1"/>
      <c r="CC487" s="1"/>
      <c r="CD487" s="1"/>
      <c r="CE487" s="1"/>
      <c r="CF487" s="1"/>
      <c r="CG487" s="1"/>
      <c r="CH487" s="1"/>
      <c r="CI487" s="1"/>
    </row>
    <row r="488" spans="1:87"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c r="BE488" s="1"/>
      <c r="BF488" s="1"/>
      <c r="BG488" s="1"/>
      <c r="BH488" s="1"/>
      <c r="BI488" s="1"/>
      <c r="BJ488" s="1"/>
      <c r="BK488" s="1"/>
      <c r="BL488" s="1"/>
      <c r="BM488" s="1"/>
      <c r="BN488" s="1"/>
      <c r="BO488" s="1"/>
      <c r="BP488" s="1"/>
      <c r="BQ488" s="1"/>
      <c r="BR488" s="1"/>
      <c r="BS488" s="1"/>
      <c r="BT488" s="1"/>
      <c r="BU488" s="1"/>
      <c r="BV488" s="1"/>
      <c r="BW488" s="1"/>
      <c r="BX488" s="1"/>
      <c r="BY488" s="1"/>
      <c r="BZ488" s="1"/>
      <c r="CA488" s="1"/>
      <c r="CB488" s="1"/>
      <c r="CC488" s="1"/>
      <c r="CD488" s="1"/>
      <c r="CE488" s="1"/>
      <c r="CF488" s="1"/>
      <c r="CG488" s="1"/>
      <c r="CH488" s="1"/>
      <c r="CI488" s="1"/>
    </row>
    <row r="489" spans="1:87"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c r="BE489" s="1"/>
      <c r="BF489" s="1"/>
      <c r="BG489" s="1"/>
      <c r="BH489" s="1"/>
      <c r="BI489" s="1"/>
      <c r="BJ489" s="1"/>
      <c r="BK489" s="1"/>
      <c r="BL489" s="1"/>
      <c r="BM489" s="1"/>
      <c r="BN489" s="1"/>
      <c r="BO489" s="1"/>
      <c r="BP489" s="1"/>
      <c r="BQ489" s="1"/>
      <c r="BR489" s="1"/>
      <c r="BS489" s="1"/>
      <c r="BT489" s="1"/>
      <c r="BU489" s="1"/>
      <c r="BV489" s="1"/>
      <c r="BW489" s="1"/>
      <c r="BX489" s="1"/>
      <c r="BY489" s="1"/>
      <c r="BZ489" s="1"/>
      <c r="CA489" s="1"/>
      <c r="CB489" s="1"/>
      <c r="CC489" s="1"/>
      <c r="CD489" s="1"/>
      <c r="CE489" s="1"/>
      <c r="CF489" s="1"/>
      <c r="CG489" s="1"/>
      <c r="CH489" s="1"/>
      <c r="CI489" s="1"/>
    </row>
    <row r="490" spans="1:87"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c r="BC490" s="1"/>
      <c r="BD490" s="1"/>
      <c r="BE490" s="1"/>
      <c r="BF490" s="1"/>
      <c r="BG490" s="1"/>
      <c r="BH490" s="1"/>
      <c r="BI490" s="1"/>
      <c r="BJ490" s="1"/>
      <c r="BK490" s="1"/>
      <c r="BL490" s="1"/>
      <c r="BM490" s="1"/>
      <c r="BN490" s="1"/>
      <c r="BO490" s="1"/>
      <c r="BP490" s="1"/>
      <c r="BQ490" s="1"/>
      <c r="BR490" s="1"/>
      <c r="BS490" s="1"/>
      <c r="BT490" s="1"/>
      <c r="BU490" s="1"/>
      <c r="BV490" s="1"/>
      <c r="BW490" s="1"/>
      <c r="BX490" s="1"/>
      <c r="BY490" s="1"/>
      <c r="BZ490" s="1"/>
      <c r="CA490" s="1"/>
      <c r="CB490" s="1"/>
      <c r="CC490" s="1"/>
      <c r="CD490" s="1"/>
      <c r="CE490" s="1"/>
      <c r="CF490" s="1"/>
      <c r="CG490" s="1"/>
      <c r="CH490" s="1"/>
      <c r="CI490" s="1"/>
    </row>
    <row r="491" spans="1:87"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c r="BC491" s="1"/>
      <c r="BD491" s="1"/>
      <c r="BE491" s="1"/>
      <c r="BF491" s="1"/>
      <c r="BG491" s="1"/>
      <c r="BH491" s="1"/>
      <c r="BI491" s="1"/>
      <c r="BJ491" s="1"/>
      <c r="BK491" s="1"/>
      <c r="BL491" s="1"/>
      <c r="BM491" s="1"/>
      <c r="BN491" s="1"/>
      <c r="BO491" s="1"/>
      <c r="BP491" s="1"/>
      <c r="BQ491" s="1"/>
      <c r="BR491" s="1"/>
      <c r="BS491" s="1"/>
      <c r="BT491" s="1"/>
      <c r="BU491" s="1"/>
      <c r="BV491" s="1"/>
      <c r="BW491" s="1"/>
      <c r="BX491" s="1"/>
      <c r="BY491" s="1"/>
      <c r="BZ491" s="1"/>
      <c r="CA491" s="1"/>
      <c r="CB491" s="1"/>
      <c r="CC491" s="1"/>
      <c r="CD491" s="1"/>
      <c r="CE491" s="1"/>
      <c r="CF491" s="1"/>
      <c r="CG491" s="1"/>
      <c r="CH491" s="1"/>
      <c r="CI491" s="1"/>
    </row>
    <row r="492" spans="1:87"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c r="BC492" s="1"/>
      <c r="BD492" s="1"/>
      <c r="BE492" s="1"/>
      <c r="BF492" s="1"/>
      <c r="BG492" s="1"/>
      <c r="BH492" s="1"/>
      <c r="BI492" s="1"/>
      <c r="BJ492" s="1"/>
      <c r="BK492" s="1"/>
      <c r="BL492" s="1"/>
      <c r="BM492" s="1"/>
      <c r="BN492" s="1"/>
      <c r="BO492" s="1"/>
      <c r="BP492" s="1"/>
      <c r="BQ492" s="1"/>
      <c r="BR492" s="1"/>
      <c r="BS492" s="1"/>
      <c r="BT492" s="1"/>
      <c r="BU492" s="1"/>
      <c r="BV492" s="1"/>
      <c r="BW492" s="1"/>
      <c r="BX492" s="1"/>
      <c r="BY492" s="1"/>
      <c r="BZ492" s="1"/>
      <c r="CA492" s="1"/>
      <c r="CB492" s="1"/>
      <c r="CC492" s="1"/>
      <c r="CD492" s="1"/>
      <c r="CE492" s="1"/>
      <c r="CF492" s="1"/>
      <c r="CG492" s="1"/>
      <c r="CH492" s="1"/>
      <c r="CI492" s="1"/>
    </row>
    <row r="493" spans="1:87"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c r="BB493" s="1"/>
      <c r="BC493" s="1"/>
      <c r="BD493" s="1"/>
      <c r="BE493" s="1"/>
      <c r="BF493" s="1"/>
      <c r="BG493" s="1"/>
      <c r="BH493" s="1"/>
      <c r="BI493" s="1"/>
      <c r="BJ493" s="1"/>
      <c r="BK493" s="1"/>
      <c r="BL493" s="1"/>
      <c r="BM493" s="1"/>
      <c r="BN493" s="1"/>
      <c r="BO493" s="1"/>
      <c r="BP493" s="1"/>
      <c r="BQ493" s="1"/>
      <c r="BR493" s="1"/>
      <c r="BS493" s="1"/>
      <c r="BT493" s="1"/>
      <c r="BU493" s="1"/>
      <c r="BV493" s="1"/>
      <c r="BW493" s="1"/>
      <c r="BX493" s="1"/>
      <c r="BY493" s="1"/>
      <c r="BZ493" s="1"/>
      <c r="CA493" s="1"/>
      <c r="CB493" s="1"/>
      <c r="CC493" s="1"/>
      <c r="CD493" s="1"/>
      <c r="CE493" s="1"/>
      <c r="CF493" s="1"/>
      <c r="CG493" s="1"/>
      <c r="CH493" s="1"/>
      <c r="CI493" s="1"/>
    </row>
    <row r="494" spans="1:87"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c r="BB494" s="1"/>
      <c r="BC494" s="1"/>
      <c r="BD494" s="1"/>
      <c r="BE494" s="1"/>
      <c r="BF494" s="1"/>
      <c r="BG494" s="1"/>
      <c r="BH494" s="1"/>
      <c r="BI494" s="1"/>
      <c r="BJ494" s="1"/>
      <c r="BK494" s="1"/>
      <c r="BL494" s="1"/>
      <c r="BM494" s="1"/>
      <c r="BN494" s="1"/>
      <c r="BO494" s="1"/>
      <c r="BP494" s="1"/>
      <c r="BQ494" s="1"/>
      <c r="BR494" s="1"/>
      <c r="BS494" s="1"/>
      <c r="BT494" s="1"/>
      <c r="BU494" s="1"/>
      <c r="BV494" s="1"/>
      <c r="BW494" s="1"/>
      <c r="BX494" s="1"/>
      <c r="BY494" s="1"/>
      <c r="BZ494" s="1"/>
      <c r="CA494" s="1"/>
      <c r="CB494" s="1"/>
      <c r="CC494" s="1"/>
      <c r="CD494" s="1"/>
      <c r="CE494" s="1"/>
      <c r="CF494" s="1"/>
      <c r="CG494" s="1"/>
      <c r="CH494" s="1"/>
      <c r="CI494" s="1"/>
    </row>
    <row r="495" spans="1:87"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c r="BB495" s="1"/>
      <c r="BC495" s="1"/>
      <c r="BD495" s="1"/>
      <c r="BE495" s="1"/>
      <c r="BF495" s="1"/>
      <c r="BG495" s="1"/>
      <c r="BH495" s="1"/>
      <c r="BI495" s="1"/>
      <c r="BJ495" s="1"/>
      <c r="BK495" s="1"/>
      <c r="BL495" s="1"/>
      <c r="BM495" s="1"/>
      <c r="BN495" s="1"/>
      <c r="BO495" s="1"/>
      <c r="BP495" s="1"/>
      <c r="BQ495" s="1"/>
      <c r="BR495" s="1"/>
      <c r="BS495" s="1"/>
      <c r="BT495" s="1"/>
      <c r="BU495" s="1"/>
      <c r="BV495" s="1"/>
      <c r="BW495" s="1"/>
      <c r="BX495" s="1"/>
      <c r="BY495" s="1"/>
      <c r="BZ495" s="1"/>
      <c r="CA495" s="1"/>
      <c r="CB495" s="1"/>
      <c r="CC495" s="1"/>
      <c r="CD495" s="1"/>
      <c r="CE495" s="1"/>
      <c r="CF495" s="1"/>
      <c r="CG495" s="1"/>
      <c r="CH495" s="1"/>
      <c r="CI495" s="1"/>
    </row>
    <row r="496" spans="1:87"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c r="BB496" s="1"/>
      <c r="BC496" s="1"/>
      <c r="BD496" s="1"/>
      <c r="BE496" s="1"/>
      <c r="BF496" s="1"/>
      <c r="BG496" s="1"/>
      <c r="BH496" s="1"/>
      <c r="BI496" s="1"/>
      <c r="BJ496" s="1"/>
      <c r="BK496" s="1"/>
      <c r="BL496" s="1"/>
      <c r="BM496" s="1"/>
      <c r="BN496" s="1"/>
      <c r="BO496" s="1"/>
      <c r="BP496" s="1"/>
      <c r="BQ496" s="1"/>
      <c r="BR496" s="1"/>
      <c r="BS496" s="1"/>
      <c r="BT496" s="1"/>
      <c r="BU496" s="1"/>
      <c r="BV496" s="1"/>
      <c r="BW496" s="1"/>
      <c r="BX496" s="1"/>
      <c r="BY496" s="1"/>
      <c r="BZ496" s="1"/>
      <c r="CA496" s="1"/>
      <c r="CB496" s="1"/>
      <c r="CC496" s="1"/>
      <c r="CD496" s="1"/>
      <c r="CE496" s="1"/>
      <c r="CF496" s="1"/>
      <c r="CG496" s="1"/>
      <c r="CH496" s="1"/>
      <c r="CI496" s="1"/>
    </row>
    <row r="497" spans="1:87"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c r="BE497" s="1"/>
      <c r="BF497" s="1"/>
      <c r="BG497" s="1"/>
      <c r="BH497" s="1"/>
      <c r="BI497" s="1"/>
      <c r="BJ497" s="1"/>
      <c r="BK497" s="1"/>
      <c r="BL497" s="1"/>
      <c r="BM497" s="1"/>
      <c r="BN497" s="1"/>
      <c r="BO497" s="1"/>
      <c r="BP497" s="1"/>
      <c r="BQ497" s="1"/>
      <c r="BR497" s="1"/>
      <c r="BS497" s="1"/>
      <c r="BT497" s="1"/>
      <c r="BU497" s="1"/>
      <c r="BV497" s="1"/>
      <c r="BW497" s="1"/>
      <c r="BX497" s="1"/>
      <c r="BY497" s="1"/>
      <c r="BZ497" s="1"/>
      <c r="CA497" s="1"/>
      <c r="CB497" s="1"/>
      <c r="CC497" s="1"/>
      <c r="CD497" s="1"/>
      <c r="CE497" s="1"/>
      <c r="CF497" s="1"/>
      <c r="CG497" s="1"/>
      <c r="CH497" s="1"/>
      <c r="CI497" s="1"/>
    </row>
    <row r="498" spans="1:87"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c r="BB498" s="1"/>
      <c r="BC498" s="1"/>
      <c r="BD498" s="1"/>
      <c r="BE498" s="1"/>
      <c r="BF498" s="1"/>
      <c r="BG498" s="1"/>
      <c r="BH498" s="1"/>
      <c r="BI498" s="1"/>
      <c r="BJ498" s="1"/>
      <c r="BK498" s="1"/>
      <c r="BL498" s="1"/>
      <c r="BM498" s="1"/>
      <c r="BN498" s="1"/>
      <c r="BO498" s="1"/>
      <c r="BP498" s="1"/>
      <c r="BQ498" s="1"/>
      <c r="BR498" s="1"/>
      <c r="BS498" s="1"/>
      <c r="BT498" s="1"/>
      <c r="BU498" s="1"/>
      <c r="BV498" s="1"/>
      <c r="BW498" s="1"/>
      <c r="BX498" s="1"/>
      <c r="BY498" s="1"/>
      <c r="BZ498" s="1"/>
      <c r="CA498" s="1"/>
      <c r="CB498" s="1"/>
      <c r="CC498" s="1"/>
      <c r="CD498" s="1"/>
      <c r="CE498" s="1"/>
      <c r="CF498" s="1"/>
      <c r="CG498" s="1"/>
      <c r="CH498" s="1"/>
      <c r="CI498" s="1"/>
    </row>
    <row r="499" spans="1:87"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c r="BA499" s="1"/>
      <c r="BB499" s="1"/>
      <c r="BC499" s="1"/>
      <c r="BD499" s="1"/>
      <c r="BE499" s="1"/>
      <c r="BF499" s="1"/>
      <c r="BG499" s="1"/>
      <c r="BH499" s="1"/>
      <c r="BI499" s="1"/>
      <c r="BJ499" s="1"/>
      <c r="BK499" s="1"/>
      <c r="BL499" s="1"/>
      <c r="BM499" s="1"/>
      <c r="BN499" s="1"/>
      <c r="BO499" s="1"/>
      <c r="BP499" s="1"/>
      <c r="BQ499" s="1"/>
      <c r="BR499" s="1"/>
      <c r="BS499" s="1"/>
      <c r="BT499" s="1"/>
      <c r="BU499" s="1"/>
      <c r="BV499" s="1"/>
      <c r="BW499" s="1"/>
      <c r="BX499" s="1"/>
      <c r="BY499" s="1"/>
      <c r="BZ499" s="1"/>
      <c r="CA499" s="1"/>
      <c r="CB499" s="1"/>
      <c r="CC499" s="1"/>
      <c r="CD499" s="1"/>
      <c r="CE499" s="1"/>
      <c r="CF499" s="1"/>
      <c r="CG499" s="1"/>
      <c r="CH499" s="1"/>
      <c r="CI499" s="1"/>
    </row>
    <row r="500" spans="1:87"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c r="BA500" s="1"/>
      <c r="BB500" s="1"/>
      <c r="BC500" s="1"/>
      <c r="BD500" s="1"/>
      <c r="BE500" s="1"/>
      <c r="BF500" s="1"/>
      <c r="BG500" s="1"/>
      <c r="BH500" s="1"/>
      <c r="BI500" s="1"/>
      <c r="BJ500" s="1"/>
      <c r="BK500" s="1"/>
      <c r="BL500" s="1"/>
      <c r="BM500" s="1"/>
      <c r="BN500" s="1"/>
      <c r="BO500" s="1"/>
      <c r="BP500" s="1"/>
      <c r="BQ500" s="1"/>
      <c r="BR500" s="1"/>
      <c r="BS500" s="1"/>
      <c r="BT500" s="1"/>
      <c r="BU500" s="1"/>
      <c r="BV500" s="1"/>
      <c r="BW500" s="1"/>
      <c r="BX500" s="1"/>
      <c r="BY500" s="1"/>
      <c r="BZ500" s="1"/>
      <c r="CA500" s="1"/>
      <c r="CB500" s="1"/>
      <c r="CC500" s="1"/>
      <c r="CD500" s="1"/>
      <c r="CE500" s="1"/>
      <c r="CF500" s="1"/>
      <c r="CG500" s="1"/>
      <c r="CH500" s="1"/>
      <c r="CI500" s="1"/>
    </row>
    <row r="501" spans="1:87"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c r="BB501" s="1"/>
      <c r="BC501" s="1"/>
      <c r="BD501" s="1"/>
      <c r="BE501" s="1"/>
      <c r="BF501" s="1"/>
      <c r="BG501" s="1"/>
      <c r="BH501" s="1"/>
      <c r="BI501" s="1"/>
      <c r="BJ501" s="1"/>
      <c r="BK501" s="1"/>
      <c r="BL501" s="1"/>
      <c r="BM501" s="1"/>
      <c r="BN501" s="1"/>
      <c r="BO501" s="1"/>
      <c r="BP501" s="1"/>
      <c r="BQ501" s="1"/>
      <c r="BR501" s="1"/>
      <c r="BS501" s="1"/>
      <c r="BT501" s="1"/>
      <c r="BU501" s="1"/>
      <c r="BV501" s="1"/>
      <c r="BW501" s="1"/>
      <c r="BX501" s="1"/>
      <c r="BY501" s="1"/>
      <c r="BZ501" s="1"/>
      <c r="CA501" s="1"/>
      <c r="CB501" s="1"/>
      <c r="CC501" s="1"/>
      <c r="CD501" s="1"/>
      <c r="CE501" s="1"/>
      <c r="CF501" s="1"/>
      <c r="CG501" s="1"/>
      <c r="CH501" s="1"/>
      <c r="CI501" s="1"/>
    </row>
    <row r="502" spans="1:87"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c r="BA502" s="1"/>
      <c r="BB502" s="1"/>
      <c r="BC502" s="1"/>
      <c r="BD502" s="1"/>
      <c r="BE502" s="1"/>
      <c r="BF502" s="1"/>
      <c r="BG502" s="1"/>
      <c r="BH502" s="1"/>
      <c r="BI502" s="1"/>
      <c r="BJ502" s="1"/>
      <c r="BK502" s="1"/>
      <c r="BL502" s="1"/>
      <c r="BM502" s="1"/>
      <c r="BN502" s="1"/>
      <c r="BO502" s="1"/>
      <c r="BP502" s="1"/>
      <c r="BQ502" s="1"/>
      <c r="BR502" s="1"/>
      <c r="BS502" s="1"/>
      <c r="BT502" s="1"/>
      <c r="BU502" s="1"/>
      <c r="BV502" s="1"/>
      <c r="BW502" s="1"/>
      <c r="BX502" s="1"/>
      <c r="BY502" s="1"/>
      <c r="BZ502" s="1"/>
      <c r="CA502" s="1"/>
      <c r="CB502" s="1"/>
      <c r="CC502" s="1"/>
      <c r="CD502" s="1"/>
      <c r="CE502" s="1"/>
      <c r="CF502" s="1"/>
      <c r="CG502" s="1"/>
      <c r="CH502" s="1"/>
      <c r="CI502" s="1"/>
    </row>
    <row r="503" spans="1:87"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c r="BA503" s="1"/>
      <c r="BB503" s="1"/>
      <c r="BC503" s="1"/>
      <c r="BD503" s="1"/>
      <c r="BE503" s="1"/>
      <c r="BF503" s="1"/>
      <c r="BG503" s="1"/>
      <c r="BH503" s="1"/>
      <c r="BI503" s="1"/>
      <c r="BJ503" s="1"/>
      <c r="BK503" s="1"/>
      <c r="BL503" s="1"/>
      <c r="BM503" s="1"/>
      <c r="BN503" s="1"/>
      <c r="BO503" s="1"/>
      <c r="BP503" s="1"/>
      <c r="BQ503" s="1"/>
      <c r="BR503" s="1"/>
      <c r="BS503" s="1"/>
      <c r="BT503" s="1"/>
      <c r="BU503" s="1"/>
      <c r="BV503" s="1"/>
      <c r="BW503" s="1"/>
      <c r="BX503" s="1"/>
      <c r="BY503" s="1"/>
      <c r="BZ503" s="1"/>
      <c r="CA503" s="1"/>
      <c r="CB503" s="1"/>
      <c r="CC503" s="1"/>
      <c r="CD503" s="1"/>
      <c r="CE503" s="1"/>
      <c r="CF503" s="1"/>
      <c r="CG503" s="1"/>
      <c r="CH503" s="1"/>
      <c r="CI503" s="1"/>
    </row>
    <row r="504" spans="1:87"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c r="BA504" s="1"/>
      <c r="BB504" s="1"/>
      <c r="BC504" s="1"/>
      <c r="BD504" s="1"/>
      <c r="BE504" s="1"/>
      <c r="BF504" s="1"/>
      <c r="BG504" s="1"/>
      <c r="BH504" s="1"/>
      <c r="BI504" s="1"/>
      <c r="BJ504" s="1"/>
      <c r="BK504" s="1"/>
      <c r="BL504" s="1"/>
      <c r="BM504" s="1"/>
      <c r="BN504" s="1"/>
      <c r="BO504" s="1"/>
      <c r="BP504" s="1"/>
      <c r="BQ504" s="1"/>
      <c r="BR504" s="1"/>
      <c r="BS504" s="1"/>
      <c r="BT504" s="1"/>
      <c r="BU504" s="1"/>
      <c r="BV504" s="1"/>
      <c r="BW504" s="1"/>
      <c r="BX504" s="1"/>
      <c r="BY504" s="1"/>
      <c r="BZ504" s="1"/>
      <c r="CA504" s="1"/>
      <c r="CB504" s="1"/>
      <c r="CC504" s="1"/>
      <c r="CD504" s="1"/>
      <c r="CE504" s="1"/>
      <c r="CF504" s="1"/>
      <c r="CG504" s="1"/>
      <c r="CH504" s="1"/>
      <c r="CI504" s="1"/>
    </row>
    <row r="505" spans="1:87"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c r="BA505" s="1"/>
      <c r="BB505" s="1"/>
      <c r="BC505" s="1"/>
      <c r="BD505" s="1"/>
      <c r="BE505" s="1"/>
      <c r="BF505" s="1"/>
      <c r="BG505" s="1"/>
      <c r="BH505" s="1"/>
      <c r="BI505" s="1"/>
      <c r="BJ505" s="1"/>
      <c r="BK505" s="1"/>
      <c r="BL505" s="1"/>
      <c r="BM505" s="1"/>
      <c r="BN505" s="1"/>
      <c r="BO505" s="1"/>
      <c r="BP505" s="1"/>
      <c r="BQ505" s="1"/>
      <c r="BR505" s="1"/>
      <c r="BS505" s="1"/>
      <c r="BT505" s="1"/>
      <c r="BU505" s="1"/>
      <c r="BV505" s="1"/>
      <c r="BW505" s="1"/>
      <c r="BX505" s="1"/>
      <c r="BY505" s="1"/>
      <c r="BZ505" s="1"/>
      <c r="CA505" s="1"/>
      <c r="CB505" s="1"/>
      <c r="CC505" s="1"/>
      <c r="CD505" s="1"/>
      <c r="CE505" s="1"/>
      <c r="CF505" s="1"/>
      <c r="CG505" s="1"/>
      <c r="CH505" s="1"/>
      <c r="CI505" s="1"/>
    </row>
    <row r="506" spans="1:87"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c r="BB506" s="1"/>
      <c r="BC506" s="1"/>
      <c r="BD506" s="1"/>
      <c r="BE506" s="1"/>
      <c r="BF506" s="1"/>
      <c r="BG506" s="1"/>
      <c r="BH506" s="1"/>
      <c r="BI506" s="1"/>
      <c r="BJ506" s="1"/>
      <c r="BK506" s="1"/>
      <c r="BL506" s="1"/>
      <c r="BM506" s="1"/>
      <c r="BN506" s="1"/>
      <c r="BO506" s="1"/>
      <c r="BP506" s="1"/>
      <c r="BQ506" s="1"/>
      <c r="BR506" s="1"/>
      <c r="BS506" s="1"/>
      <c r="BT506" s="1"/>
      <c r="BU506" s="1"/>
      <c r="BV506" s="1"/>
      <c r="BW506" s="1"/>
      <c r="BX506" s="1"/>
      <c r="BY506" s="1"/>
      <c r="BZ506" s="1"/>
      <c r="CA506" s="1"/>
      <c r="CB506" s="1"/>
      <c r="CC506" s="1"/>
      <c r="CD506" s="1"/>
      <c r="CE506" s="1"/>
      <c r="CF506" s="1"/>
      <c r="CG506" s="1"/>
      <c r="CH506" s="1"/>
      <c r="CI506" s="1"/>
    </row>
    <row r="507" spans="1:87"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c r="BA507" s="1"/>
      <c r="BB507" s="1"/>
      <c r="BC507" s="1"/>
      <c r="BD507" s="1"/>
      <c r="BE507" s="1"/>
      <c r="BF507" s="1"/>
      <c r="BG507" s="1"/>
      <c r="BH507" s="1"/>
      <c r="BI507" s="1"/>
      <c r="BJ507" s="1"/>
      <c r="BK507" s="1"/>
      <c r="BL507" s="1"/>
      <c r="BM507" s="1"/>
      <c r="BN507" s="1"/>
      <c r="BO507" s="1"/>
      <c r="BP507" s="1"/>
      <c r="BQ507" s="1"/>
      <c r="BR507" s="1"/>
      <c r="BS507" s="1"/>
      <c r="BT507" s="1"/>
      <c r="BU507" s="1"/>
      <c r="BV507" s="1"/>
      <c r="BW507" s="1"/>
      <c r="BX507" s="1"/>
      <c r="BY507" s="1"/>
      <c r="BZ507" s="1"/>
      <c r="CA507" s="1"/>
      <c r="CB507" s="1"/>
      <c r="CC507" s="1"/>
      <c r="CD507" s="1"/>
      <c r="CE507" s="1"/>
      <c r="CF507" s="1"/>
      <c r="CG507" s="1"/>
      <c r="CH507" s="1"/>
      <c r="CI507" s="1"/>
    </row>
    <row r="508" spans="1:87"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c r="BB508" s="1"/>
      <c r="BC508" s="1"/>
      <c r="BD508" s="1"/>
      <c r="BE508" s="1"/>
      <c r="BF508" s="1"/>
      <c r="BG508" s="1"/>
      <c r="BH508" s="1"/>
      <c r="BI508" s="1"/>
      <c r="BJ508" s="1"/>
      <c r="BK508" s="1"/>
      <c r="BL508" s="1"/>
      <c r="BM508" s="1"/>
      <c r="BN508" s="1"/>
      <c r="BO508" s="1"/>
      <c r="BP508" s="1"/>
      <c r="BQ508" s="1"/>
      <c r="BR508" s="1"/>
      <c r="BS508" s="1"/>
      <c r="BT508" s="1"/>
      <c r="BU508" s="1"/>
      <c r="BV508" s="1"/>
      <c r="BW508" s="1"/>
      <c r="BX508" s="1"/>
      <c r="BY508" s="1"/>
      <c r="BZ508" s="1"/>
      <c r="CA508" s="1"/>
      <c r="CB508" s="1"/>
      <c r="CC508" s="1"/>
      <c r="CD508" s="1"/>
      <c r="CE508" s="1"/>
      <c r="CF508" s="1"/>
      <c r="CG508" s="1"/>
      <c r="CH508" s="1"/>
      <c r="CI508" s="1"/>
    </row>
    <row r="509" spans="1:87"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c r="BA509" s="1"/>
      <c r="BB509" s="1"/>
      <c r="BC509" s="1"/>
      <c r="BD509" s="1"/>
      <c r="BE509" s="1"/>
      <c r="BF509" s="1"/>
      <c r="BG509" s="1"/>
      <c r="BH509" s="1"/>
      <c r="BI509" s="1"/>
      <c r="BJ509" s="1"/>
      <c r="BK509" s="1"/>
      <c r="BL509" s="1"/>
      <c r="BM509" s="1"/>
      <c r="BN509" s="1"/>
      <c r="BO509" s="1"/>
      <c r="BP509" s="1"/>
      <c r="BQ509" s="1"/>
      <c r="BR509" s="1"/>
      <c r="BS509" s="1"/>
      <c r="BT509" s="1"/>
      <c r="BU509" s="1"/>
      <c r="BV509" s="1"/>
      <c r="BW509" s="1"/>
      <c r="BX509" s="1"/>
      <c r="BY509" s="1"/>
      <c r="BZ509" s="1"/>
      <c r="CA509" s="1"/>
      <c r="CB509" s="1"/>
      <c r="CC509" s="1"/>
      <c r="CD509" s="1"/>
      <c r="CE509" s="1"/>
      <c r="CF509" s="1"/>
      <c r="CG509" s="1"/>
      <c r="CH509" s="1"/>
      <c r="CI509" s="1"/>
    </row>
    <row r="510" spans="1:87"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c r="BA510" s="1"/>
      <c r="BB510" s="1"/>
      <c r="BC510" s="1"/>
      <c r="BD510" s="1"/>
      <c r="BE510" s="1"/>
      <c r="BF510" s="1"/>
      <c r="BG510" s="1"/>
      <c r="BH510" s="1"/>
      <c r="BI510" s="1"/>
      <c r="BJ510" s="1"/>
      <c r="BK510" s="1"/>
      <c r="BL510" s="1"/>
      <c r="BM510" s="1"/>
      <c r="BN510" s="1"/>
      <c r="BO510" s="1"/>
      <c r="BP510" s="1"/>
      <c r="BQ510" s="1"/>
      <c r="BR510" s="1"/>
      <c r="BS510" s="1"/>
      <c r="BT510" s="1"/>
      <c r="BU510" s="1"/>
      <c r="BV510" s="1"/>
      <c r="BW510" s="1"/>
      <c r="BX510" s="1"/>
      <c r="BY510" s="1"/>
      <c r="BZ510" s="1"/>
      <c r="CA510" s="1"/>
      <c r="CB510" s="1"/>
      <c r="CC510" s="1"/>
      <c r="CD510" s="1"/>
      <c r="CE510" s="1"/>
      <c r="CF510" s="1"/>
      <c r="CG510" s="1"/>
      <c r="CH510" s="1"/>
      <c r="CI510" s="1"/>
    </row>
    <row r="511" spans="1:87"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c r="BA511" s="1"/>
      <c r="BB511" s="1"/>
      <c r="BC511" s="1"/>
      <c r="BD511" s="1"/>
      <c r="BE511" s="1"/>
      <c r="BF511" s="1"/>
      <c r="BG511" s="1"/>
      <c r="BH511" s="1"/>
      <c r="BI511" s="1"/>
      <c r="BJ511" s="1"/>
      <c r="BK511" s="1"/>
      <c r="BL511" s="1"/>
      <c r="BM511" s="1"/>
      <c r="BN511" s="1"/>
      <c r="BO511" s="1"/>
      <c r="BP511" s="1"/>
      <c r="BQ511" s="1"/>
      <c r="BR511" s="1"/>
      <c r="BS511" s="1"/>
      <c r="BT511" s="1"/>
      <c r="BU511" s="1"/>
      <c r="BV511" s="1"/>
      <c r="BW511" s="1"/>
      <c r="BX511" s="1"/>
      <c r="BY511" s="1"/>
      <c r="BZ511" s="1"/>
      <c r="CA511" s="1"/>
      <c r="CB511" s="1"/>
      <c r="CC511" s="1"/>
      <c r="CD511" s="1"/>
      <c r="CE511" s="1"/>
      <c r="CF511" s="1"/>
      <c r="CG511" s="1"/>
      <c r="CH511" s="1"/>
      <c r="CI511" s="1"/>
    </row>
    <row r="512" spans="1:87"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c r="BA512" s="1"/>
      <c r="BB512" s="1"/>
      <c r="BC512" s="1"/>
      <c r="BD512" s="1"/>
      <c r="BE512" s="1"/>
      <c r="BF512" s="1"/>
      <c r="BG512" s="1"/>
      <c r="BH512" s="1"/>
      <c r="BI512" s="1"/>
      <c r="BJ512" s="1"/>
      <c r="BK512" s="1"/>
      <c r="BL512" s="1"/>
      <c r="BM512" s="1"/>
      <c r="BN512" s="1"/>
      <c r="BO512" s="1"/>
      <c r="BP512" s="1"/>
      <c r="BQ512" s="1"/>
      <c r="BR512" s="1"/>
      <c r="BS512" s="1"/>
      <c r="BT512" s="1"/>
      <c r="BU512" s="1"/>
      <c r="BV512" s="1"/>
      <c r="BW512" s="1"/>
      <c r="BX512" s="1"/>
      <c r="BY512" s="1"/>
      <c r="BZ512" s="1"/>
      <c r="CA512" s="1"/>
      <c r="CB512" s="1"/>
      <c r="CC512" s="1"/>
      <c r="CD512" s="1"/>
      <c r="CE512" s="1"/>
      <c r="CF512" s="1"/>
      <c r="CG512" s="1"/>
      <c r="CH512" s="1"/>
      <c r="CI512" s="1"/>
    </row>
    <row r="513" spans="1:87"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c r="BB513" s="1"/>
      <c r="BC513" s="1"/>
      <c r="BD513" s="1"/>
      <c r="BE513" s="1"/>
      <c r="BF513" s="1"/>
      <c r="BG513" s="1"/>
      <c r="BH513" s="1"/>
      <c r="BI513" s="1"/>
      <c r="BJ513" s="1"/>
      <c r="BK513" s="1"/>
      <c r="BL513" s="1"/>
      <c r="BM513" s="1"/>
      <c r="BN513" s="1"/>
      <c r="BO513" s="1"/>
      <c r="BP513" s="1"/>
      <c r="BQ513" s="1"/>
      <c r="BR513" s="1"/>
      <c r="BS513" s="1"/>
      <c r="BT513" s="1"/>
      <c r="BU513" s="1"/>
      <c r="BV513" s="1"/>
      <c r="BW513" s="1"/>
      <c r="BX513" s="1"/>
      <c r="BY513" s="1"/>
      <c r="BZ513" s="1"/>
      <c r="CA513" s="1"/>
      <c r="CB513" s="1"/>
      <c r="CC513" s="1"/>
      <c r="CD513" s="1"/>
      <c r="CE513" s="1"/>
      <c r="CF513" s="1"/>
      <c r="CG513" s="1"/>
      <c r="CH513" s="1"/>
      <c r="CI513" s="1"/>
    </row>
    <row r="514" spans="1:87"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c r="BA514" s="1"/>
      <c r="BB514" s="1"/>
      <c r="BC514" s="1"/>
      <c r="BD514" s="1"/>
      <c r="BE514" s="1"/>
      <c r="BF514" s="1"/>
      <c r="BG514" s="1"/>
      <c r="BH514" s="1"/>
      <c r="BI514" s="1"/>
      <c r="BJ514" s="1"/>
      <c r="BK514" s="1"/>
      <c r="BL514" s="1"/>
      <c r="BM514" s="1"/>
      <c r="BN514" s="1"/>
      <c r="BO514" s="1"/>
      <c r="BP514" s="1"/>
      <c r="BQ514" s="1"/>
      <c r="BR514" s="1"/>
      <c r="BS514" s="1"/>
      <c r="BT514" s="1"/>
      <c r="BU514" s="1"/>
      <c r="BV514" s="1"/>
      <c r="BW514" s="1"/>
      <c r="BX514" s="1"/>
      <c r="BY514" s="1"/>
      <c r="BZ514" s="1"/>
      <c r="CA514" s="1"/>
      <c r="CB514" s="1"/>
      <c r="CC514" s="1"/>
      <c r="CD514" s="1"/>
      <c r="CE514" s="1"/>
      <c r="CF514" s="1"/>
      <c r="CG514" s="1"/>
      <c r="CH514" s="1"/>
      <c r="CI514" s="1"/>
    </row>
    <row r="515" spans="1:87"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c r="BB515" s="1"/>
      <c r="BC515" s="1"/>
      <c r="BD515" s="1"/>
      <c r="BE515" s="1"/>
      <c r="BF515" s="1"/>
      <c r="BG515" s="1"/>
      <c r="BH515" s="1"/>
      <c r="BI515" s="1"/>
      <c r="BJ515" s="1"/>
      <c r="BK515" s="1"/>
      <c r="BL515" s="1"/>
      <c r="BM515" s="1"/>
      <c r="BN515" s="1"/>
      <c r="BO515" s="1"/>
      <c r="BP515" s="1"/>
      <c r="BQ515" s="1"/>
      <c r="BR515" s="1"/>
      <c r="BS515" s="1"/>
      <c r="BT515" s="1"/>
      <c r="BU515" s="1"/>
      <c r="BV515" s="1"/>
      <c r="BW515" s="1"/>
      <c r="BX515" s="1"/>
      <c r="BY515" s="1"/>
      <c r="BZ515" s="1"/>
      <c r="CA515" s="1"/>
      <c r="CB515" s="1"/>
      <c r="CC515" s="1"/>
      <c r="CD515" s="1"/>
      <c r="CE515" s="1"/>
      <c r="CF515" s="1"/>
      <c r="CG515" s="1"/>
      <c r="CH515" s="1"/>
      <c r="CI515" s="1"/>
    </row>
    <row r="516" spans="1:87"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c r="BA516" s="1"/>
      <c r="BB516" s="1"/>
      <c r="BC516" s="1"/>
      <c r="BD516" s="1"/>
      <c r="BE516" s="1"/>
      <c r="BF516" s="1"/>
      <c r="BG516" s="1"/>
      <c r="BH516" s="1"/>
      <c r="BI516" s="1"/>
      <c r="BJ516" s="1"/>
      <c r="BK516" s="1"/>
      <c r="BL516" s="1"/>
      <c r="BM516" s="1"/>
      <c r="BN516" s="1"/>
      <c r="BO516" s="1"/>
      <c r="BP516" s="1"/>
      <c r="BQ516" s="1"/>
      <c r="BR516" s="1"/>
      <c r="BS516" s="1"/>
      <c r="BT516" s="1"/>
      <c r="BU516" s="1"/>
      <c r="BV516" s="1"/>
      <c r="BW516" s="1"/>
      <c r="BX516" s="1"/>
      <c r="BY516" s="1"/>
      <c r="BZ516" s="1"/>
      <c r="CA516" s="1"/>
      <c r="CB516" s="1"/>
      <c r="CC516" s="1"/>
      <c r="CD516" s="1"/>
      <c r="CE516" s="1"/>
      <c r="CF516" s="1"/>
      <c r="CG516" s="1"/>
      <c r="CH516" s="1"/>
      <c r="CI516" s="1"/>
    </row>
    <row r="517" spans="1:87"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c r="BA517" s="1"/>
      <c r="BB517" s="1"/>
      <c r="BC517" s="1"/>
      <c r="BD517" s="1"/>
      <c r="BE517" s="1"/>
      <c r="BF517" s="1"/>
      <c r="BG517" s="1"/>
      <c r="BH517" s="1"/>
      <c r="BI517" s="1"/>
      <c r="BJ517" s="1"/>
      <c r="BK517" s="1"/>
      <c r="BL517" s="1"/>
      <c r="BM517" s="1"/>
      <c r="BN517" s="1"/>
      <c r="BO517" s="1"/>
      <c r="BP517" s="1"/>
      <c r="BQ517" s="1"/>
      <c r="BR517" s="1"/>
      <c r="BS517" s="1"/>
      <c r="BT517" s="1"/>
      <c r="BU517" s="1"/>
      <c r="BV517" s="1"/>
      <c r="BW517" s="1"/>
      <c r="BX517" s="1"/>
      <c r="BY517" s="1"/>
      <c r="BZ517" s="1"/>
      <c r="CA517" s="1"/>
      <c r="CB517" s="1"/>
      <c r="CC517" s="1"/>
      <c r="CD517" s="1"/>
      <c r="CE517" s="1"/>
      <c r="CF517" s="1"/>
      <c r="CG517" s="1"/>
      <c r="CH517" s="1"/>
      <c r="CI517" s="1"/>
    </row>
    <row r="518" spans="1:87"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c r="BA518" s="1"/>
      <c r="BB518" s="1"/>
      <c r="BC518" s="1"/>
      <c r="BD518" s="1"/>
      <c r="BE518" s="1"/>
      <c r="BF518" s="1"/>
      <c r="BG518" s="1"/>
      <c r="BH518" s="1"/>
      <c r="BI518" s="1"/>
      <c r="BJ518" s="1"/>
      <c r="BK518" s="1"/>
      <c r="BL518" s="1"/>
      <c r="BM518" s="1"/>
      <c r="BN518" s="1"/>
      <c r="BO518" s="1"/>
      <c r="BP518" s="1"/>
      <c r="BQ518" s="1"/>
      <c r="BR518" s="1"/>
      <c r="BS518" s="1"/>
      <c r="BT518" s="1"/>
      <c r="BU518" s="1"/>
      <c r="BV518" s="1"/>
      <c r="BW518" s="1"/>
      <c r="BX518" s="1"/>
      <c r="BY518" s="1"/>
      <c r="BZ518" s="1"/>
      <c r="CA518" s="1"/>
      <c r="CB518" s="1"/>
      <c r="CC518" s="1"/>
      <c r="CD518" s="1"/>
      <c r="CE518" s="1"/>
      <c r="CF518" s="1"/>
      <c r="CG518" s="1"/>
      <c r="CH518" s="1"/>
      <c r="CI518" s="1"/>
    </row>
    <row r="519" spans="1:87"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c r="BA519" s="1"/>
      <c r="BB519" s="1"/>
      <c r="BC519" s="1"/>
      <c r="BD519" s="1"/>
      <c r="BE519" s="1"/>
      <c r="BF519" s="1"/>
      <c r="BG519" s="1"/>
      <c r="BH519" s="1"/>
      <c r="BI519" s="1"/>
      <c r="BJ519" s="1"/>
      <c r="BK519" s="1"/>
      <c r="BL519" s="1"/>
      <c r="BM519" s="1"/>
      <c r="BN519" s="1"/>
      <c r="BO519" s="1"/>
      <c r="BP519" s="1"/>
      <c r="BQ519" s="1"/>
      <c r="BR519" s="1"/>
      <c r="BS519" s="1"/>
      <c r="BT519" s="1"/>
      <c r="BU519" s="1"/>
      <c r="BV519" s="1"/>
      <c r="BW519" s="1"/>
      <c r="BX519" s="1"/>
      <c r="BY519" s="1"/>
      <c r="BZ519" s="1"/>
      <c r="CA519" s="1"/>
      <c r="CB519" s="1"/>
      <c r="CC519" s="1"/>
      <c r="CD519" s="1"/>
      <c r="CE519" s="1"/>
      <c r="CF519" s="1"/>
      <c r="CG519" s="1"/>
      <c r="CH519" s="1"/>
      <c r="CI519" s="1"/>
    </row>
    <row r="520" spans="1:87"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c r="BA520" s="1"/>
      <c r="BB520" s="1"/>
      <c r="BC520" s="1"/>
      <c r="BD520" s="1"/>
      <c r="BE520" s="1"/>
      <c r="BF520" s="1"/>
      <c r="BG520" s="1"/>
      <c r="BH520" s="1"/>
      <c r="BI520" s="1"/>
      <c r="BJ520" s="1"/>
      <c r="BK520" s="1"/>
      <c r="BL520" s="1"/>
      <c r="BM520" s="1"/>
      <c r="BN520" s="1"/>
      <c r="BO520" s="1"/>
      <c r="BP520" s="1"/>
      <c r="BQ520" s="1"/>
      <c r="BR520" s="1"/>
      <c r="BS520" s="1"/>
      <c r="BT520" s="1"/>
      <c r="BU520" s="1"/>
      <c r="BV520" s="1"/>
      <c r="BW520" s="1"/>
      <c r="BX520" s="1"/>
      <c r="BY520" s="1"/>
      <c r="BZ520" s="1"/>
      <c r="CA520" s="1"/>
      <c r="CB520" s="1"/>
      <c r="CC520" s="1"/>
      <c r="CD520" s="1"/>
      <c r="CE520" s="1"/>
      <c r="CF520" s="1"/>
      <c r="CG520" s="1"/>
      <c r="CH520" s="1"/>
      <c r="CI520" s="1"/>
    </row>
    <row r="521" spans="1:87"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c r="BA521" s="1"/>
      <c r="BB521" s="1"/>
      <c r="BC521" s="1"/>
      <c r="BD521" s="1"/>
      <c r="BE521" s="1"/>
      <c r="BF521" s="1"/>
      <c r="BG521" s="1"/>
      <c r="BH521" s="1"/>
      <c r="BI521" s="1"/>
      <c r="BJ521" s="1"/>
      <c r="BK521" s="1"/>
      <c r="BL521" s="1"/>
      <c r="BM521" s="1"/>
      <c r="BN521" s="1"/>
      <c r="BO521" s="1"/>
      <c r="BP521" s="1"/>
      <c r="BQ521" s="1"/>
      <c r="BR521" s="1"/>
      <c r="BS521" s="1"/>
      <c r="BT521" s="1"/>
      <c r="BU521" s="1"/>
      <c r="BV521" s="1"/>
      <c r="BW521" s="1"/>
      <c r="BX521" s="1"/>
      <c r="BY521" s="1"/>
      <c r="BZ521" s="1"/>
      <c r="CA521" s="1"/>
      <c r="CB521" s="1"/>
      <c r="CC521" s="1"/>
      <c r="CD521" s="1"/>
      <c r="CE521" s="1"/>
      <c r="CF521" s="1"/>
      <c r="CG521" s="1"/>
      <c r="CH521" s="1"/>
      <c r="CI521" s="1"/>
    </row>
    <row r="522" spans="1:87"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c r="BA522" s="1"/>
      <c r="BB522" s="1"/>
      <c r="BC522" s="1"/>
      <c r="BD522" s="1"/>
      <c r="BE522" s="1"/>
      <c r="BF522" s="1"/>
      <c r="BG522" s="1"/>
      <c r="BH522" s="1"/>
      <c r="BI522" s="1"/>
      <c r="BJ522" s="1"/>
      <c r="BK522" s="1"/>
      <c r="BL522" s="1"/>
      <c r="BM522" s="1"/>
      <c r="BN522" s="1"/>
      <c r="BO522" s="1"/>
      <c r="BP522" s="1"/>
      <c r="BQ522" s="1"/>
      <c r="BR522" s="1"/>
      <c r="BS522" s="1"/>
      <c r="BT522" s="1"/>
      <c r="BU522" s="1"/>
      <c r="BV522" s="1"/>
      <c r="BW522" s="1"/>
      <c r="BX522" s="1"/>
      <c r="BY522" s="1"/>
      <c r="BZ522" s="1"/>
      <c r="CA522" s="1"/>
      <c r="CB522" s="1"/>
      <c r="CC522" s="1"/>
      <c r="CD522" s="1"/>
      <c r="CE522" s="1"/>
      <c r="CF522" s="1"/>
      <c r="CG522" s="1"/>
      <c r="CH522" s="1"/>
      <c r="CI522" s="1"/>
    </row>
    <row r="523" spans="1:87"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c r="BA523" s="1"/>
      <c r="BB523" s="1"/>
      <c r="BC523" s="1"/>
      <c r="BD523" s="1"/>
      <c r="BE523" s="1"/>
      <c r="BF523" s="1"/>
      <c r="BG523" s="1"/>
      <c r="BH523" s="1"/>
      <c r="BI523" s="1"/>
      <c r="BJ523" s="1"/>
      <c r="BK523" s="1"/>
      <c r="BL523" s="1"/>
      <c r="BM523" s="1"/>
      <c r="BN523" s="1"/>
      <c r="BO523" s="1"/>
      <c r="BP523" s="1"/>
      <c r="BQ523" s="1"/>
      <c r="BR523" s="1"/>
      <c r="BS523" s="1"/>
      <c r="BT523" s="1"/>
      <c r="BU523" s="1"/>
      <c r="BV523" s="1"/>
      <c r="BW523" s="1"/>
      <c r="BX523" s="1"/>
      <c r="BY523" s="1"/>
      <c r="BZ523" s="1"/>
      <c r="CA523" s="1"/>
      <c r="CB523" s="1"/>
      <c r="CC523" s="1"/>
      <c r="CD523" s="1"/>
      <c r="CE523" s="1"/>
      <c r="CF523" s="1"/>
      <c r="CG523" s="1"/>
      <c r="CH523" s="1"/>
      <c r="CI523" s="1"/>
    </row>
    <row r="524" spans="1:87"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c r="BA524" s="1"/>
      <c r="BB524" s="1"/>
      <c r="BC524" s="1"/>
      <c r="BD524" s="1"/>
      <c r="BE524" s="1"/>
      <c r="BF524" s="1"/>
      <c r="BG524" s="1"/>
      <c r="BH524" s="1"/>
      <c r="BI524" s="1"/>
      <c r="BJ524" s="1"/>
      <c r="BK524" s="1"/>
      <c r="BL524" s="1"/>
      <c r="BM524" s="1"/>
      <c r="BN524" s="1"/>
      <c r="BO524" s="1"/>
      <c r="BP524" s="1"/>
      <c r="BQ524" s="1"/>
      <c r="BR524" s="1"/>
      <c r="BS524" s="1"/>
      <c r="BT524" s="1"/>
      <c r="BU524" s="1"/>
      <c r="BV524" s="1"/>
      <c r="BW524" s="1"/>
      <c r="BX524" s="1"/>
      <c r="BY524" s="1"/>
      <c r="BZ524" s="1"/>
      <c r="CA524" s="1"/>
      <c r="CB524" s="1"/>
      <c r="CC524" s="1"/>
      <c r="CD524" s="1"/>
      <c r="CE524" s="1"/>
      <c r="CF524" s="1"/>
      <c r="CG524" s="1"/>
      <c r="CH524" s="1"/>
      <c r="CI524" s="1"/>
    </row>
    <row r="525" spans="1:87"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c r="BA525" s="1"/>
      <c r="BB525" s="1"/>
      <c r="BC525" s="1"/>
      <c r="BD525" s="1"/>
      <c r="BE525" s="1"/>
      <c r="BF525" s="1"/>
      <c r="BG525" s="1"/>
      <c r="BH525" s="1"/>
      <c r="BI525" s="1"/>
      <c r="BJ525" s="1"/>
      <c r="BK525" s="1"/>
      <c r="BL525" s="1"/>
      <c r="BM525" s="1"/>
      <c r="BN525" s="1"/>
      <c r="BO525" s="1"/>
      <c r="BP525" s="1"/>
      <c r="BQ525" s="1"/>
      <c r="BR525" s="1"/>
      <c r="BS525" s="1"/>
      <c r="BT525" s="1"/>
      <c r="BU525" s="1"/>
      <c r="BV525" s="1"/>
      <c r="BW525" s="1"/>
      <c r="BX525" s="1"/>
      <c r="BY525" s="1"/>
      <c r="BZ525" s="1"/>
      <c r="CA525" s="1"/>
      <c r="CB525" s="1"/>
      <c r="CC525" s="1"/>
      <c r="CD525" s="1"/>
      <c r="CE525" s="1"/>
      <c r="CF525" s="1"/>
      <c r="CG525" s="1"/>
      <c r="CH525" s="1"/>
      <c r="CI525" s="1"/>
    </row>
    <row r="526" spans="1:87"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c r="BB526" s="1"/>
      <c r="BC526" s="1"/>
      <c r="BD526" s="1"/>
      <c r="BE526" s="1"/>
      <c r="BF526" s="1"/>
      <c r="BG526" s="1"/>
      <c r="BH526" s="1"/>
      <c r="BI526" s="1"/>
      <c r="BJ526" s="1"/>
      <c r="BK526" s="1"/>
      <c r="BL526" s="1"/>
      <c r="BM526" s="1"/>
      <c r="BN526" s="1"/>
      <c r="BO526" s="1"/>
      <c r="BP526" s="1"/>
      <c r="BQ526" s="1"/>
      <c r="BR526" s="1"/>
      <c r="BS526" s="1"/>
      <c r="BT526" s="1"/>
      <c r="BU526" s="1"/>
      <c r="BV526" s="1"/>
      <c r="BW526" s="1"/>
      <c r="BX526" s="1"/>
      <c r="BY526" s="1"/>
      <c r="BZ526" s="1"/>
      <c r="CA526" s="1"/>
      <c r="CB526" s="1"/>
      <c r="CC526" s="1"/>
      <c r="CD526" s="1"/>
      <c r="CE526" s="1"/>
      <c r="CF526" s="1"/>
      <c r="CG526" s="1"/>
      <c r="CH526" s="1"/>
      <c r="CI526" s="1"/>
    </row>
    <row r="527" spans="1:87"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c r="BA527" s="1"/>
      <c r="BB527" s="1"/>
      <c r="BC527" s="1"/>
      <c r="BD527" s="1"/>
      <c r="BE527" s="1"/>
      <c r="BF527" s="1"/>
      <c r="BG527" s="1"/>
      <c r="BH527" s="1"/>
      <c r="BI527" s="1"/>
      <c r="BJ527" s="1"/>
      <c r="BK527" s="1"/>
      <c r="BL527" s="1"/>
      <c r="BM527" s="1"/>
      <c r="BN527" s="1"/>
      <c r="BO527" s="1"/>
      <c r="BP527" s="1"/>
      <c r="BQ527" s="1"/>
      <c r="BR527" s="1"/>
      <c r="BS527" s="1"/>
      <c r="BT527" s="1"/>
      <c r="BU527" s="1"/>
      <c r="BV527" s="1"/>
      <c r="BW527" s="1"/>
      <c r="BX527" s="1"/>
      <c r="BY527" s="1"/>
      <c r="BZ527" s="1"/>
      <c r="CA527" s="1"/>
      <c r="CB527" s="1"/>
      <c r="CC527" s="1"/>
      <c r="CD527" s="1"/>
      <c r="CE527" s="1"/>
      <c r="CF527" s="1"/>
      <c r="CG527" s="1"/>
      <c r="CH527" s="1"/>
      <c r="CI527" s="1"/>
    </row>
    <row r="528" spans="1:87"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c r="BB528" s="1"/>
      <c r="BC528" s="1"/>
      <c r="BD528" s="1"/>
      <c r="BE528" s="1"/>
      <c r="BF528" s="1"/>
      <c r="BG528" s="1"/>
      <c r="BH528" s="1"/>
      <c r="BI528" s="1"/>
      <c r="BJ528" s="1"/>
      <c r="BK528" s="1"/>
      <c r="BL528" s="1"/>
      <c r="BM528" s="1"/>
      <c r="BN528" s="1"/>
      <c r="BO528" s="1"/>
      <c r="BP528" s="1"/>
      <c r="BQ528" s="1"/>
      <c r="BR528" s="1"/>
      <c r="BS528" s="1"/>
      <c r="BT528" s="1"/>
      <c r="BU528" s="1"/>
      <c r="BV528" s="1"/>
      <c r="BW528" s="1"/>
      <c r="BX528" s="1"/>
      <c r="BY528" s="1"/>
      <c r="BZ528" s="1"/>
      <c r="CA528" s="1"/>
      <c r="CB528" s="1"/>
      <c r="CC528" s="1"/>
      <c r="CD528" s="1"/>
      <c r="CE528" s="1"/>
      <c r="CF528" s="1"/>
      <c r="CG528" s="1"/>
      <c r="CH528" s="1"/>
      <c r="CI528" s="1"/>
    </row>
    <row r="529" spans="1:87"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c r="BB529" s="1"/>
      <c r="BC529" s="1"/>
      <c r="BD529" s="1"/>
      <c r="BE529" s="1"/>
      <c r="BF529" s="1"/>
      <c r="BG529" s="1"/>
      <c r="BH529" s="1"/>
      <c r="BI529" s="1"/>
      <c r="BJ529" s="1"/>
      <c r="BK529" s="1"/>
      <c r="BL529" s="1"/>
      <c r="BM529" s="1"/>
      <c r="BN529" s="1"/>
      <c r="BO529" s="1"/>
      <c r="BP529" s="1"/>
      <c r="BQ529" s="1"/>
      <c r="BR529" s="1"/>
      <c r="BS529" s="1"/>
      <c r="BT529" s="1"/>
      <c r="BU529" s="1"/>
      <c r="BV529" s="1"/>
      <c r="BW529" s="1"/>
      <c r="BX529" s="1"/>
      <c r="BY529" s="1"/>
      <c r="BZ529" s="1"/>
      <c r="CA529" s="1"/>
      <c r="CB529" s="1"/>
      <c r="CC529" s="1"/>
      <c r="CD529" s="1"/>
      <c r="CE529" s="1"/>
      <c r="CF529" s="1"/>
      <c r="CG529" s="1"/>
      <c r="CH529" s="1"/>
      <c r="CI529" s="1"/>
    </row>
    <row r="530" spans="1:87"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c r="BE530" s="1"/>
      <c r="BF530" s="1"/>
      <c r="BG530" s="1"/>
      <c r="BH530" s="1"/>
      <c r="BI530" s="1"/>
      <c r="BJ530" s="1"/>
      <c r="BK530" s="1"/>
      <c r="BL530" s="1"/>
      <c r="BM530" s="1"/>
      <c r="BN530" s="1"/>
      <c r="BO530" s="1"/>
      <c r="BP530" s="1"/>
      <c r="BQ530" s="1"/>
      <c r="BR530" s="1"/>
      <c r="BS530" s="1"/>
      <c r="BT530" s="1"/>
      <c r="BU530" s="1"/>
      <c r="BV530" s="1"/>
      <c r="BW530" s="1"/>
      <c r="BX530" s="1"/>
      <c r="BY530" s="1"/>
      <c r="BZ530" s="1"/>
      <c r="CA530" s="1"/>
      <c r="CB530" s="1"/>
      <c r="CC530" s="1"/>
      <c r="CD530" s="1"/>
      <c r="CE530" s="1"/>
      <c r="CF530" s="1"/>
      <c r="CG530" s="1"/>
      <c r="CH530" s="1"/>
      <c r="CI530" s="1"/>
    </row>
    <row r="531" spans="1:87"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c r="BB531" s="1"/>
      <c r="BC531" s="1"/>
      <c r="BD531" s="1"/>
      <c r="BE531" s="1"/>
      <c r="BF531" s="1"/>
      <c r="BG531" s="1"/>
      <c r="BH531" s="1"/>
      <c r="BI531" s="1"/>
      <c r="BJ531" s="1"/>
      <c r="BK531" s="1"/>
      <c r="BL531" s="1"/>
      <c r="BM531" s="1"/>
      <c r="BN531" s="1"/>
      <c r="BO531" s="1"/>
      <c r="BP531" s="1"/>
      <c r="BQ531" s="1"/>
      <c r="BR531" s="1"/>
      <c r="BS531" s="1"/>
      <c r="BT531" s="1"/>
      <c r="BU531" s="1"/>
      <c r="BV531" s="1"/>
      <c r="BW531" s="1"/>
      <c r="BX531" s="1"/>
      <c r="BY531" s="1"/>
      <c r="BZ531" s="1"/>
      <c r="CA531" s="1"/>
      <c r="CB531" s="1"/>
      <c r="CC531" s="1"/>
      <c r="CD531" s="1"/>
      <c r="CE531" s="1"/>
      <c r="CF531" s="1"/>
      <c r="CG531" s="1"/>
      <c r="CH531" s="1"/>
      <c r="CI531" s="1"/>
    </row>
    <row r="532" spans="1:87"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c r="BE532" s="1"/>
      <c r="BF532" s="1"/>
      <c r="BG532" s="1"/>
      <c r="BH532" s="1"/>
      <c r="BI532" s="1"/>
      <c r="BJ532" s="1"/>
      <c r="BK532" s="1"/>
      <c r="BL532" s="1"/>
      <c r="BM532" s="1"/>
      <c r="BN532" s="1"/>
      <c r="BO532" s="1"/>
      <c r="BP532" s="1"/>
      <c r="BQ532" s="1"/>
      <c r="BR532" s="1"/>
      <c r="BS532" s="1"/>
      <c r="BT532" s="1"/>
      <c r="BU532" s="1"/>
      <c r="BV532" s="1"/>
      <c r="BW532" s="1"/>
      <c r="BX532" s="1"/>
      <c r="BY532" s="1"/>
      <c r="BZ532" s="1"/>
      <c r="CA532" s="1"/>
      <c r="CB532" s="1"/>
      <c r="CC532" s="1"/>
      <c r="CD532" s="1"/>
      <c r="CE532" s="1"/>
      <c r="CF532" s="1"/>
      <c r="CG532" s="1"/>
      <c r="CH532" s="1"/>
      <c r="CI532" s="1"/>
    </row>
    <row r="533" spans="1:87"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c r="BB533" s="1"/>
      <c r="BC533" s="1"/>
      <c r="BD533" s="1"/>
      <c r="BE533" s="1"/>
      <c r="BF533" s="1"/>
      <c r="BG533" s="1"/>
      <c r="BH533" s="1"/>
      <c r="BI533" s="1"/>
      <c r="BJ533" s="1"/>
      <c r="BK533" s="1"/>
      <c r="BL533" s="1"/>
      <c r="BM533" s="1"/>
      <c r="BN533" s="1"/>
      <c r="BO533" s="1"/>
      <c r="BP533" s="1"/>
      <c r="BQ533" s="1"/>
      <c r="BR533" s="1"/>
      <c r="BS533" s="1"/>
      <c r="BT533" s="1"/>
      <c r="BU533" s="1"/>
      <c r="BV533" s="1"/>
      <c r="BW533" s="1"/>
      <c r="BX533" s="1"/>
      <c r="BY533" s="1"/>
      <c r="BZ533" s="1"/>
      <c r="CA533" s="1"/>
      <c r="CB533" s="1"/>
      <c r="CC533" s="1"/>
      <c r="CD533" s="1"/>
      <c r="CE533" s="1"/>
      <c r="CF533" s="1"/>
      <c r="CG533" s="1"/>
      <c r="CH533" s="1"/>
      <c r="CI533" s="1"/>
    </row>
    <row r="534" spans="1:87"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c r="BB534" s="1"/>
      <c r="BC534" s="1"/>
      <c r="BD534" s="1"/>
      <c r="BE534" s="1"/>
      <c r="BF534" s="1"/>
      <c r="BG534" s="1"/>
      <c r="BH534" s="1"/>
      <c r="BI534" s="1"/>
      <c r="BJ534" s="1"/>
      <c r="BK534" s="1"/>
      <c r="BL534" s="1"/>
      <c r="BM534" s="1"/>
      <c r="BN534" s="1"/>
      <c r="BO534" s="1"/>
      <c r="BP534" s="1"/>
      <c r="BQ534" s="1"/>
      <c r="BR534" s="1"/>
      <c r="BS534" s="1"/>
      <c r="BT534" s="1"/>
      <c r="BU534" s="1"/>
      <c r="BV534" s="1"/>
      <c r="BW534" s="1"/>
      <c r="BX534" s="1"/>
      <c r="BY534" s="1"/>
      <c r="BZ534" s="1"/>
      <c r="CA534" s="1"/>
      <c r="CB534" s="1"/>
      <c r="CC534" s="1"/>
      <c r="CD534" s="1"/>
      <c r="CE534" s="1"/>
      <c r="CF534" s="1"/>
      <c r="CG534" s="1"/>
      <c r="CH534" s="1"/>
      <c r="CI534" s="1"/>
    </row>
    <row r="535" spans="1:87"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c r="BB535" s="1"/>
      <c r="BC535" s="1"/>
      <c r="BD535" s="1"/>
      <c r="BE535" s="1"/>
      <c r="BF535" s="1"/>
      <c r="BG535" s="1"/>
      <c r="BH535" s="1"/>
      <c r="BI535" s="1"/>
      <c r="BJ535" s="1"/>
      <c r="BK535" s="1"/>
      <c r="BL535" s="1"/>
      <c r="BM535" s="1"/>
      <c r="BN535" s="1"/>
      <c r="BO535" s="1"/>
      <c r="BP535" s="1"/>
      <c r="BQ535" s="1"/>
      <c r="BR535" s="1"/>
      <c r="BS535" s="1"/>
      <c r="BT535" s="1"/>
      <c r="BU535" s="1"/>
      <c r="BV535" s="1"/>
      <c r="BW535" s="1"/>
      <c r="BX535" s="1"/>
      <c r="BY535" s="1"/>
      <c r="BZ535" s="1"/>
      <c r="CA535" s="1"/>
      <c r="CB535" s="1"/>
      <c r="CC535" s="1"/>
      <c r="CD535" s="1"/>
      <c r="CE535" s="1"/>
      <c r="CF535" s="1"/>
      <c r="CG535" s="1"/>
      <c r="CH535" s="1"/>
      <c r="CI535" s="1"/>
    </row>
    <row r="536" spans="1:87"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c r="BB536" s="1"/>
      <c r="BC536" s="1"/>
      <c r="BD536" s="1"/>
      <c r="BE536" s="1"/>
      <c r="BF536" s="1"/>
      <c r="BG536" s="1"/>
      <c r="BH536" s="1"/>
      <c r="BI536" s="1"/>
      <c r="BJ536" s="1"/>
      <c r="BK536" s="1"/>
      <c r="BL536" s="1"/>
      <c r="BM536" s="1"/>
      <c r="BN536" s="1"/>
      <c r="BO536" s="1"/>
      <c r="BP536" s="1"/>
      <c r="BQ536" s="1"/>
      <c r="BR536" s="1"/>
      <c r="BS536" s="1"/>
      <c r="BT536" s="1"/>
      <c r="BU536" s="1"/>
      <c r="BV536" s="1"/>
      <c r="BW536" s="1"/>
      <c r="BX536" s="1"/>
      <c r="BY536" s="1"/>
      <c r="BZ536" s="1"/>
      <c r="CA536" s="1"/>
      <c r="CB536" s="1"/>
      <c r="CC536" s="1"/>
      <c r="CD536" s="1"/>
      <c r="CE536" s="1"/>
      <c r="CF536" s="1"/>
      <c r="CG536" s="1"/>
      <c r="CH536" s="1"/>
      <c r="CI536" s="1"/>
    </row>
    <row r="537" spans="1:87"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c r="BB537" s="1"/>
      <c r="BC537" s="1"/>
      <c r="BD537" s="1"/>
      <c r="BE537" s="1"/>
      <c r="BF537" s="1"/>
      <c r="BG537" s="1"/>
      <c r="BH537" s="1"/>
      <c r="BI537" s="1"/>
      <c r="BJ537" s="1"/>
      <c r="BK537" s="1"/>
      <c r="BL537" s="1"/>
      <c r="BM537" s="1"/>
      <c r="BN537" s="1"/>
      <c r="BO537" s="1"/>
      <c r="BP537" s="1"/>
      <c r="BQ537" s="1"/>
      <c r="BR537" s="1"/>
      <c r="BS537" s="1"/>
      <c r="BT537" s="1"/>
      <c r="BU537" s="1"/>
      <c r="BV537" s="1"/>
      <c r="BW537" s="1"/>
      <c r="BX537" s="1"/>
      <c r="BY537" s="1"/>
      <c r="BZ537" s="1"/>
      <c r="CA537" s="1"/>
      <c r="CB537" s="1"/>
      <c r="CC537" s="1"/>
      <c r="CD537" s="1"/>
      <c r="CE537" s="1"/>
      <c r="CF537" s="1"/>
      <c r="CG537" s="1"/>
      <c r="CH537" s="1"/>
      <c r="CI537" s="1"/>
    </row>
    <row r="538" spans="1:87"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c r="BB538" s="1"/>
      <c r="BC538" s="1"/>
      <c r="BD538" s="1"/>
      <c r="BE538" s="1"/>
      <c r="BF538" s="1"/>
      <c r="BG538" s="1"/>
      <c r="BH538" s="1"/>
      <c r="BI538" s="1"/>
      <c r="BJ538" s="1"/>
      <c r="BK538" s="1"/>
      <c r="BL538" s="1"/>
      <c r="BM538" s="1"/>
      <c r="BN538" s="1"/>
      <c r="BO538" s="1"/>
      <c r="BP538" s="1"/>
      <c r="BQ538" s="1"/>
      <c r="BR538" s="1"/>
      <c r="BS538" s="1"/>
      <c r="BT538" s="1"/>
      <c r="BU538" s="1"/>
      <c r="BV538" s="1"/>
      <c r="BW538" s="1"/>
      <c r="BX538" s="1"/>
      <c r="BY538" s="1"/>
      <c r="BZ538" s="1"/>
      <c r="CA538" s="1"/>
      <c r="CB538" s="1"/>
      <c r="CC538" s="1"/>
      <c r="CD538" s="1"/>
      <c r="CE538" s="1"/>
      <c r="CF538" s="1"/>
      <c r="CG538" s="1"/>
      <c r="CH538" s="1"/>
      <c r="CI538" s="1"/>
    </row>
    <row r="539" spans="1:87"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c r="BB539" s="1"/>
      <c r="BC539" s="1"/>
      <c r="BD539" s="1"/>
      <c r="BE539" s="1"/>
      <c r="BF539" s="1"/>
      <c r="BG539" s="1"/>
      <c r="BH539" s="1"/>
      <c r="BI539" s="1"/>
      <c r="BJ539" s="1"/>
      <c r="BK539" s="1"/>
      <c r="BL539" s="1"/>
      <c r="BM539" s="1"/>
      <c r="BN539" s="1"/>
      <c r="BO539" s="1"/>
      <c r="BP539" s="1"/>
      <c r="BQ539" s="1"/>
      <c r="BR539" s="1"/>
      <c r="BS539" s="1"/>
      <c r="BT539" s="1"/>
      <c r="BU539" s="1"/>
      <c r="BV539" s="1"/>
      <c r="BW539" s="1"/>
      <c r="BX539" s="1"/>
      <c r="BY539" s="1"/>
      <c r="BZ539" s="1"/>
      <c r="CA539" s="1"/>
      <c r="CB539" s="1"/>
      <c r="CC539" s="1"/>
      <c r="CD539" s="1"/>
      <c r="CE539" s="1"/>
      <c r="CF539" s="1"/>
      <c r="CG539" s="1"/>
      <c r="CH539" s="1"/>
      <c r="CI539" s="1"/>
    </row>
    <row r="540" spans="1:87"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c r="BB540" s="1"/>
      <c r="BC540" s="1"/>
      <c r="BD540" s="1"/>
      <c r="BE540" s="1"/>
      <c r="BF540" s="1"/>
      <c r="BG540" s="1"/>
      <c r="BH540" s="1"/>
      <c r="BI540" s="1"/>
      <c r="BJ540" s="1"/>
      <c r="BK540" s="1"/>
      <c r="BL540" s="1"/>
      <c r="BM540" s="1"/>
      <c r="BN540" s="1"/>
      <c r="BO540" s="1"/>
      <c r="BP540" s="1"/>
      <c r="BQ540" s="1"/>
      <c r="BR540" s="1"/>
      <c r="BS540" s="1"/>
      <c r="BT540" s="1"/>
      <c r="BU540" s="1"/>
      <c r="BV540" s="1"/>
      <c r="BW540" s="1"/>
      <c r="BX540" s="1"/>
      <c r="BY540" s="1"/>
      <c r="BZ540" s="1"/>
      <c r="CA540" s="1"/>
      <c r="CB540" s="1"/>
      <c r="CC540" s="1"/>
      <c r="CD540" s="1"/>
      <c r="CE540" s="1"/>
      <c r="CF540" s="1"/>
      <c r="CG540" s="1"/>
      <c r="CH540" s="1"/>
      <c r="CI540" s="1"/>
    </row>
    <row r="541" spans="1:87"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c r="BB541" s="1"/>
      <c r="BC541" s="1"/>
      <c r="BD541" s="1"/>
      <c r="BE541" s="1"/>
      <c r="BF541" s="1"/>
      <c r="BG541" s="1"/>
      <c r="BH541" s="1"/>
      <c r="BI541" s="1"/>
      <c r="BJ541" s="1"/>
      <c r="BK541" s="1"/>
      <c r="BL541" s="1"/>
      <c r="BM541" s="1"/>
      <c r="BN541" s="1"/>
      <c r="BO541" s="1"/>
      <c r="BP541" s="1"/>
      <c r="BQ541" s="1"/>
      <c r="BR541" s="1"/>
      <c r="BS541" s="1"/>
      <c r="BT541" s="1"/>
      <c r="BU541" s="1"/>
      <c r="BV541" s="1"/>
      <c r="BW541" s="1"/>
      <c r="BX541" s="1"/>
      <c r="BY541" s="1"/>
      <c r="BZ541" s="1"/>
      <c r="CA541" s="1"/>
      <c r="CB541" s="1"/>
      <c r="CC541" s="1"/>
      <c r="CD541" s="1"/>
      <c r="CE541" s="1"/>
      <c r="CF541" s="1"/>
      <c r="CG541" s="1"/>
      <c r="CH541" s="1"/>
      <c r="CI541" s="1"/>
    </row>
    <row r="542" spans="1:87"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c r="BE542" s="1"/>
      <c r="BF542" s="1"/>
      <c r="BG542" s="1"/>
      <c r="BH542" s="1"/>
      <c r="BI542" s="1"/>
      <c r="BJ542" s="1"/>
      <c r="BK542" s="1"/>
      <c r="BL542" s="1"/>
      <c r="BM542" s="1"/>
      <c r="BN542" s="1"/>
      <c r="BO542" s="1"/>
      <c r="BP542" s="1"/>
      <c r="BQ542" s="1"/>
      <c r="BR542" s="1"/>
      <c r="BS542" s="1"/>
      <c r="BT542" s="1"/>
      <c r="BU542" s="1"/>
      <c r="BV542" s="1"/>
      <c r="BW542" s="1"/>
      <c r="BX542" s="1"/>
      <c r="BY542" s="1"/>
      <c r="BZ542" s="1"/>
      <c r="CA542" s="1"/>
      <c r="CB542" s="1"/>
      <c r="CC542" s="1"/>
      <c r="CD542" s="1"/>
      <c r="CE542" s="1"/>
      <c r="CF542" s="1"/>
      <c r="CG542" s="1"/>
      <c r="CH542" s="1"/>
      <c r="CI542" s="1"/>
    </row>
    <row r="543" spans="1:87"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c r="BB543" s="1"/>
      <c r="BC543" s="1"/>
      <c r="BD543" s="1"/>
      <c r="BE543" s="1"/>
      <c r="BF543" s="1"/>
      <c r="BG543" s="1"/>
      <c r="BH543" s="1"/>
      <c r="BI543" s="1"/>
      <c r="BJ543" s="1"/>
      <c r="BK543" s="1"/>
      <c r="BL543" s="1"/>
      <c r="BM543" s="1"/>
      <c r="BN543" s="1"/>
      <c r="BO543" s="1"/>
      <c r="BP543" s="1"/>
      <c r="BQ543" s="1"/>
      <c r="BR543" s="1"/>
      <c r="BS543" s="1"/>
      <c r="BT543" s="1"/>
      <c r="BU543" s="1"/>
      <c r="BV543" s="1"/>
      <c r="BW543" s="1"/>
      <c r="BX543" s="1"/>
      <c r="BY543" s="1"/>
      <c r="BZ543" s="1"/>
      <c r="CA543" s="1"/>
      <c r="CB543" s="1"/>
      <c r="CC543" s="1"/>
      <c r="CD543" s="1"/>
      <c r="CE543" s="1"/>
      <c r="CF543" s="1"/>
      <c r="CG543" s="1"/>
      <c r="CH543" s="1"/>
      <c r="CI543" s="1"/>
    </row>
    <row r="544" spans="1:87"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c r="BB544" s="1"/>
      <c r="BC544" s="1"/>
      <c r="BD544" s="1"/>
      <c r="BE544" s="1"/>
      <c r="BF544" s="1"/>
      <c r="BG544" s="1"/>
      <c r="BH544" s="1"/>
      <c r="BI544" s="1"/>
      <c r="BJ544" s="1"/>
      <c r="BK544" s="1"/>
      <c r="BL544" s="1"/>
      <c r="BM544" s="1"/>
      <c r="BN544" s="1"/>
      <c r="BO544" s="1"/>
      <c r="BP544" s="1"/>
      <c r="BQ544" s="1"/>
      <c r="BR544" s="1"/>
      <c r="BS544" s="1"/>
      <c r="BT544" s="1"/>
      <c r="BU544" s="1"/>
      <c r="BV544" s="1"/>
      <c r="BW544" s="1"/>
      <c r="BX544" s="1"/>
      <c r="BY544" s="1"/>
      <c r="BZ544" s="1"/>
      <c r="CA544" s="1"/>
      <c r="CB544" s="1"/>
      <c r="CC544" s="1"/>
      <c r="CD544" s="1"/>
      <c r="CE544" s="1"/>
      <c r="CF544" s="1"/>
      <c r="CG544" s="1"/>
      <c r="CH544" s="1"/>
      <c r="CI544" s="1"/>
    </row>
    <row r="545" spans="1:87"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c r="BE545" s="1"/>
      <c r="BF545" s="1"/>
      <c r="BG545" s="1"/>
      <c r="BH545" s="1"/>
      <c r="BI545" s="1"/>
      <c r="BJ545" s="1"/>
      <c r="BK545" s="1"/>
      <c r="BL545" s="1"/>
      <c r="BM545" s="1"/>
      <c r="BN545" s="1"/>
      <c r="BO545" s="1"/>
      <c r="BP545" s="1"/>
      <c r="BQ545" s="1"/>
      <c r="BR545" s="1"/>
      <c r="BS545" s="1"/>
      <c r="BT545" s="1"/>
      <c r="BU545" s="1"/>
      <c r="BV545" s="1"/>
      <c r="BW545" s="1"/>
      <c r="BX545" s="1"/>
      <c r="BY545" s="1"/>
      <c r="BZ545" s="1"/>
      <c r="CA545" s="1"/>
      <c r="CB545" s="1"/>
      <c r="CC545" s="1"/>
      <c r="CD545" s="1"/>
      <c r="CE545" s="1"/>
      <c r="CF545" s="1"/>
      <c r="CG545" s="1"/>
      <c r="CH545" s="1"/>
      <c r="CI545" s="1"/>
    </row>
    <row r="546" spans="1:87"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c r="BE546" s="1"/>
      <c r="BF546" s="1"/>
      <c r="BG546" s="1"/>
      <c r="BH546" s="1"/>
      <c r="BI546" s="1"/>
      <c r="BJ546" s="1"/>
      <c r="BK546" s="1"/>
      <c r="BL546" s="1"/>
      <c r="BM546" s="1"/>
      <c r="BN546" s="1"/>
      <c r="BO546" s="1"/>
      <c r="BP546" s="1"/>
      <c r="BQ546" s="1"/>
      <c r="BR546" s="1"/>
      <c r="BS546" s="1"/>
      <c r="BT546" s="1"/>
      <c r="BU546" s="1"/>
      <c r="BV546" s="1"/>
      <c r="BW546" s="1"/>
      <c r="BX546" s="1"/>
      <c r="BY546" s="1"/>
      <c r="BZ546" s="1"/>
      <c r="CA546" s="1"/>
      <c r="CB546" s="1"/>
      <c r="CC546" s="1"/>
      <c r="CD546" s="1"/>
      <c r="CE546" s="1"/>
      <c r="CF546" s="1"/>
      <c r="CG546" s="1"/>
      <c r="CH546" s="1"/>
      <c r="CI546" s="1"/>
    </row>
    <row r="547" spans="1:87"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c r="BB547" s="1"/>
      <c r="BC547" s="1"/>
      <c r="BD547" s="1"/>
      <c r="BE547" s="1"/>
      <c r="BF547" s="1"/>
      <c r="BG547" s="1"/>
      <c r="BH547" s="1"/>
      <c r="BI547" s="1"/>
      <c r="BJ547" s="1"/>
      <c r="BK547" s="1"/>
      <c r="BL547" s="1"/>
      <c r="BM547" s="1"/>
      <c r="BN547" s="1"/>
      <c r="BO547" s="1"/>
      <c r="BP547" s="1"/>
      <c r="BQ547" s="1"/>
      <c r="BR547" s="1"/>
      <c r="BS547" s="1"/>
      <c r="BT547" s="1"/>
      <c r="BU547" s="1"/>
      <c r="BV547" s="1"/>
      <c r="BW547" s="1"/>
      <c r="BX547" s="1"/>
      <c r="BY547" s="1"/>
      <c r="BZ547" s="1"/>
      <c r="CA547" s="1"/>
      <c r="CB547" s="1"/>
      <c r="CC547" s="1"/>
      <c r="CD547" s="1"/>
      <c r="CE547" s="1"/>
      <c r="CF547" s="1"/>
      <c r="CG547" s="1"/>
      <c r="CH547" s="1"/>
      <c r="CI547" s="1"/>
    </row>
    <row r="548" spans="1:87"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c r="BE548" s="1"/>
      <c r="BF548" s="1"/>
      <c r="BG548" s="1"/>
      <c r="BH548" s="1"/>
      <c r="BI548" s="1"/>
      <c r="BJ548" s="1"/>
      <c r="BK548" s="1"/>
      <c r="BL548" s="1"/>
      <c r="BM548" s="1"/>
      <c r="BN548" s="1"/>
      <c r="BO548" s="1"/>
      <c r="BP548" s="1"/>
      <c r="BQ548" s="1"/>
      <c r="BR548" s="1"/>
      <c r="BS548" s="1"/>
      <c r="BT548" s="1"/>
      <c r="BU548" s="1"/>
      <c r="BV548" s="1"/>
      <c r="BW548" s="1"/>
      <c r="BX548" s="1"/>
      <c r="BY548" s="1"/>
      <c r="BZ548" s="1"/>
      <c r="CA548" s="1"/>
      <c r="CB548" s="1"/>
      <c r="CC548" s="1"/>
      <c r="CD548" s="1"/>
      <c r="CE548" s="1"/>
      <c r="CF548" s="1"/>
      <c r="CG548" s="1"/>
      <c r="CH548" s="1"/>
      <c r="CI548" s="1"/>
    </row>
    <row r="549" spans="1:87"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c r="BB549" s="1"/>
      <c r="BC549" s="1"/>
      <c r="BD549" s="1"/>
      <c r="BE549" s="1"/>
      <c r="BF549" s="1"/>
      <c r="BG549" s="1"/>
      <c r="BH549" s="1"/>
      <c r="BI549" s="1"/>
      <c r="BJ549" s="1"/>
      <c r="BK549" s="1"/>
      <c r="BL549" s="1"/>
      <c r="BM549" s="1"/>
      <c r="BN549" s="1"/>
      <c r="BO549" s="1"/>
      <c r="BP549" s="1"/>
      <c r="BQ549" s="1"/>
      <c r="BR549" s="1"/>
      <c r="BS549" s="1"/>
      <c r="BT549" s="1"/>
      <c r="BU549" s="1"/>
      <c r="BV549" s="1"/>
      <c r="BW549" s="1"/>
      <c r="BX549" s="1"/>
      <c r="BY549" s="1"/>
      <c r="BZ549" s="1"/>
      <c r="CA549" s="1"/>
      <c r="CB549" s="1"/>
      <c r="CC549" s="1"/>
      <c r="CD549" s="1"/>
      <c r="CE549" s="1"/>
      <c r="CF549" s="1"/>
      <c r="CG549" s="1"/>
      <c r="CH549" s="1"/>
      <c r="CI549" s="1"/>
    </row>
    <row r="550" spans="1:87"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c r="BE550" s="1"/>
      <c r="BF550" s="1"/>
      <c r="BG550" s="1"/>
      <c r="BH550" s="1"/>
      <c r="BI550" s="1"/>
      <c r="BJ550" s="1"/>
      <c r="BK550" s="1"/>
      <c r="BL550" s="1"/>
      <c r="BM550" s="1"/>
      <c r="BN550" s="1"/>
      <c r="BO550" s="1"/>
      <c r="BP550" s="1"/>
      <c r="BQ550" s="1"/>
      <c r="BR550" s="1"/>
      <c r="BS550" s="1"/>
      <c r="BT550" s="1"/>
      <c r="BU550" s="1"/>
      <c r="BV550" s="1"/>
      <c r="BW550" s="1"/>
      <c r="BX550" s="1"/>
      <c r="BY550" s="1"/>
      <c r="BZ550" s="1"/>
      <c r="CA550" s="1"/>
      <c r="CB550" s="1"/>
      <c r="CC550" s="1"/>
      <c r="CD550" s="1"/>
      <c r="CE550" s="1"/>
      <c r="CF550" s="1"/>
      <c r="CG550" s="1"/>
      <c r="CH550" s="1"/>
      <c r="CI550" s="1"/>
    </row>
    <row r="551" spans="1:87"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c r="BB551" s="1"/>
      <c r="BC551" s="1"/>
      <c r="BD551" s="1"/>
      <c r="BE551" s="1"/>
      <c r="BF551" s="1"/>
      <c r="BG551" s="1"/>
      <c r="BH551" s="1"/>
      <c r="BI551" s="1"/>
      <c r="BJ551" s="1"/>
      <c r="BK551" s="1"/>
      <c r="BL551" s="1"/>
      <c r="BM551" s="1"/>
      <c r="BN551" s="1"/>
      <c r="BO551" s="1"/>
      <c r="BP551" s="1"/>
      <c r="BQ551" s="1"/>
      <c r="BR551" s="1"/>
      <c r="BS551" s="1"/>
      <c r="BT551" s="1"/>
      <c r="BU551" s="1"/>
      <c r="BV551" s="1"/>
      <c r="BW551" s="1"/>
      <c r="BX551" s="1"/>
      <c r="BY551" s="1"/>
      <c r="BZ551" s="1"/>
      <c r="CA551" s="1"/>
      <c r="CB551" s="1"/>
      <c r="CC551" s="1"/>
      <c r="CD551" s="1"/>
      <c r="CE551" s="1"/>
      <c r="CF551" s="1"/>
      <c r="CG551" s="1"/>
      <c r="CH551" s="1"/>
      <c r="CI551" s="1"/>
    </row>
    <row r="552" spans="1:87"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c r="BB552" s="1"/>
      <c r="BC552" s="1"/>
      <c r="BD552" s="1"/>
      <c r="BE552" s="1"/>
      <c r="BF552" s="1"/>
      <c r="BG552" s="1"/>
      <c r="BH552" s="1"/>
      <c r="BI552" s="1"/>
      <c r="BJ552" s="1"/>
      <c r="BK552" s="1"/>
      <c r="BL552" s="1"/>
      <c r="BM552" s="1"/>
      <c r="BN552" s="1"/>
      <c r="BO552" s="1"/>
      <c r="BP552" s="1"/>
      <c r="BQ552" s="1"/>
      <c r="BR552" s="1"/>
      <c r="BS552" s="1"/>
      <c r="BT552" s="1"/>
      <c r="BU552" s="1"/>
      <c r="BV552" s="1"/>
      <c r="BW552" s="1"/>
      <c r="BX552" s="1"/>
      <c r="BY552" s="1"/>
      <c r="BZ552" s="1"/>
      <c r="CA552" s="1"/>
      <c r="CB552" s="1"/>
      <c r="CC552" s="1"/>
      <c r="CD552" s="1"/>
      <c r="CE552" s="1"/>
      <c r="CF552" s="1"/>
      <c r="CG552" s="1"/>
      <c r="CH552" s="1"/>
      <c r="CI552" s="1"/>
    </row>
    <row r="553" spans="1:87"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c r="AV553" s="1"/>
      <c r="AW553" s="1"/>
      <c r="AX553" s="1"/>
      <c r="AY553" s="1"/>
      <c r="AZ553" s="1"/>
      <c r="BA553" s="1"/>
      <c r="BB553" s="1"/>
      <c r="BC553" s="1"/>
      <c r="BD553" s="1"/>
      <c r="BE553" s="1"/>
      <c r="BF553" s="1"/>
      <c r="BG553" s="1"/>
      <c r="BH553" s="1"/>
      <c r="BI553" s="1"/>
      <c r="BJ553" s="1"/>
      <c r="BK553" s="1"/>
      <c r="BL553" s="1"/>
      <c r="BM553" s="1"/>
      <c r="BN553" s="1"/>
      <c r="BO553" s="1"/>
      <c r="BP553" s="1"/>
      <c r="BQ553" s="1"/>
      <c r="BR553" s="1"/>
      <c r="BS553" s="1"/>
      <c r="BT553" s="1"/>
      <c r="BU553" s="1"/>
      <c r="BV553" s="1"/>
      <c r="BW553" s="1"/>
      <c r="BX553" s="1"/>
      <c r="BY553" s="1"/>
      <c r="BZ553" s="1"/>
      <c r="CA553" s="1"/>
      <c r="CB553" s="1"/>
      <c r="CC553" s="1"/>
      <c r="CD553" s="1"/>
      <c r="CE553" s="1"/>
      <c r="CF553" s="1"/>
      <c r="CG553" s="1"/>
      <c r="CH553" s="1"/>
      <c r="CI553" s="1"/>
    </row>
    <row r="554" spans="1:87"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c r="AV554" s="1"/>
      <c r="AW554" s="1"/>
      <c r="AX554" s="1"/>
      <c r="AY554" s="1"/>
      <c r="AZ554" s="1"/>
      <c r="BA554" s="1"/>
      <c r="BB554" s="1"/>
      <c r="BC554" s="1"/>
      <c r="BD554" s="1"/>
      <c r="BE554" s="1"/>
      <c r="BF554" s="1"/>
      <c r="BG554" s="1"/>
      <c r="BH554" s="1"/>
      <c r="BI554" s="1"/>
      <c r="BJ554" s="1"/>
      <c r="BK554" s="1"/>
      <c r="BL554" s="1"/>
      <c r="BM554" s="1"/>
      <c r="BN554" s="1"/>
      <c r="BO554" s="1"/>
      <c r="BP554" s="1"/>
      <c r="BQ554" s="1"/>
      <c r="BR554" s="1"/>
      <c r="BS554" s="1"/>
      <c r="BT554" s="1"/>
      <c r="BU554" s="1"/>
      <c r="BV554" s="1"/>
      <c r="BW554" s="1"/>
      <c r="BX554" s="1"/>
      <c r="BY554" s="1"/>
      <c r="BZ554" s="1"/>
      <c r="CA554" s="1"/>
      <c r="CB554" s="1"/>
      <c r="CC554" s="1"/>
      <c r="CD554" s="1"/>
      <c r="CE554" s="1"/>
      <c r="CF554" s="1"/>
      <c r="CG554" s="1"/>
      <c r="CH554" s="1"/>
      <c r="CI554" s="1"/>
    </row>
    <row r="555" spans="1:87"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c r="AU555" s="1"/>
      <c r="AV555" s="1"/>
      <c r="AW555" s="1"/>
      <c r="AX555" s="1"/>
      <c r="AY555" s="1"/>
      <c r="AZ555" s="1"/>
      <c r="BA555" s="1"/>
      <c r="BB555" s="1"/>
      <c r="BC555" s="1"/>
      <c r="BD555" s="1"/>
      <c r="BE555" s="1"/>
      <c r="BF555" s="1"/>
      <c r="BG555" s="1"/>
      <c r="BH555" s="1"/>
      <c r="BI555" s="1"/>
      <c r="BJ555" s="1"/>
      <c r="BK555" s="1"/>
      <c r="BL555" s="1"/>
      <c r="BM555" s="1"/>
      <c r="BN555" s="1"/>
      <c r="BO555" s="1"/>
      <c r="BP555" s="1"/>
      <c r="BQ555" s="1"/>
      <c r="BR555" s="1"/>
      <c r="BS555" s="1"/>
      <c r="BT555" s="1"/>
      <c r="BU555" s="1"/>
      <c r="BV555" s="1"/>
      <c r="BW555" s="1"/>
      <c r="BX555" s="1"/>
      <c r="BY555" s="1"/>
      <c r="BZ555" s="1"/>
      <c r="CA555" s="1"/>
      <c r="CB555" s="1"/>
      <c r="CC555" s="1"/>
      <c r="CD555" s="1"/>
      <c r="CE555" s="1"/>
      <c r="CF555" s="1"/>
      <c r="CG555" s="1"/>
      <c r="CH555" s="1"/>
      <c r="CI555" s="1"/>
    </row>
    <row r="556" spans="1:87"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c r="AU556" s="1"/>
      <c r="AV556" s="1"/>
      <c r="AW556" s="1"/>
      <c r="AX556" s="1"/>
      <c r="AY556" s="1"/>
      <c r="AZ556" s="1"/>
      <c r="BA556" s="1"/>
      <c r="BB556" s="1"/>
      <c r="BC556" s="1"/>
      <c r="BD556" s="1"/>
      <c r="BE556" s="1"/>
      <c r="BF556" s="1"/>
      <c r="BG556" s="1"/>
      <c r="BH556" s="1"/>
      <c r="BI556" s="1"/>
      <c r="BJ556" s="1"/>
      <c r="BK556" s="1"/>
      <c r="BL556" s="1"/>
      <c r="BM556" s="1"/>
      <c r="BN556" s="1"/>
      <c r="BO556" s="1"/>
      <c r="BP556" s="1"/>
      <c r="BQ556" s="1"/>
      <c r="BR556" s="1"/>
      <c r="BS556" s="1"/>
      <c r="BT556" s="1"/>
      <c r="BU556" s="1"/>
      <c r="BV556" s="1"/>
      <c r="BW556" s="1"/>
      <c r="BX556" s="1"/>
      <c r="BY556" s="1"/>
      <c r="BZ556" s="1"/>
      <c r="CA556" s="1"/>
      <c r="CB556" s="1"/>
      <c r="CC556" s="1"/>
      <c r="CD556" s="1"/>
      <c r="CE556" s="1"/>
      <c r="CF556" s="1"/>
      <c r="CG556" s="1"/>
      <c r="CH556" s="1"/>
      <c r="CI556" s="1"/>
    </row>
    <row r="557" spans="1:87"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c r="AU557" s="1"/>
      <c r="AV557" s="1"/>
      <c r="AW557" s="1"/>
      <c r="AX557" s="1"/>
      <c r="AY557" s="1"/>
      <c r="AZ557" s="1"/>
      <c r="BA557" s="1"/>
      <c r="BB557" s="1"/>
      <c r="BC557" s="1"/>
      <c r="BD557" s="1"/>
      <c r="BE557" s="1"/>
      <c r="BF557" s="1"/>
      <c r="BG557" s="1"/>
      <c r="BH557" s="1"/>
      <c r="BI557" s="1"/>
      <c r="BJ557" s="1"/>
      <c r="BK557" s="1"/>
      <c r="BL557" s="1"/>
      <c r="BM557" s="1"/>
      <c r="BN557" s="1"/>
      <c r="BO557" s="1"/>
      <c r="BP557" s="1"/>
      <c r="BQ557" s="1"/>
      <c r="BR557" s="1"/>
      <c r="BS557" s="1"/>
      <c r="BT557" s="1"/>
      <c r="BU557" s="1"/>
      <c r="BV557" s="1"/>
      <c r="BW557" s="1"/>
      <c r="BX557" s="1"/>
      <c r="BY557" s="1"/>
      <c r="BZ557" s="1"/>
      <c r="CA557" s="1"/>
      <c r="CB557" s="1"/>
      <c r="CC557" s="1"/>
      <c r="CD557" s="1"/>
      <c r="CE557" s="1"/>
      <c r="CF557" s="1"/>
      <c r="CG557" s="1"/>
      <c r="CH557" s="1"/>
      <c r="CI557" s="1"/>
    </row>
    <row r="558" spans="1:87"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c r="AU558" s="1"/>
      <c r="AV558" s="1"/>
      <c r="AW558" s="1"/>
      <c r="AX558" s="1"/>
      <c r="AY558" s="1"/>
      <c r="AZ558" s="1"/>
      <c r="BA558" s="1"/>
      <c r="BB558" s="1"/>
      <c r="BC558" s="1"/>
      <c r="BD558" s="1"/>
      <c r="BE558" s="1"/>
      <c r="BF558" s="1"/>
      <c r="BG558" s="1"/>
      <c r="BH558" s="1"/>
      <c r="BI558" s="1"/>
      <c r="BJ558" s="1"/>
      <c r="BK558" s="1"/>
      <c r="BL558" s="1"/>
      <c r="BM558" s="1"/>
      <c r="BN558" s="1"/>
      <c r="BO558" s="1"/>
      <c r="BP558" s="1"/>
      <c r="BQ558" s="1"/>
      <c r="BR558" s="1"/>
      <c r="BS558" s="1"/>
      <c r="BT558" s="1"/>
      <c r="BU558" s="1"/>
      <c r="BV558" s="1"/>
      <c r="BW558" s="1"/>
      <c r="BX558" s="1"/>
      <c r="BY558" s="1"/>
      <c r="BZ558" s="1"/>
      <c r="CA558" s="1"/>
      <c r="CB558" s="1"/>
      <c r="CC558" s="1"/>
      <c r="CD558" s="1"/>
      <c r="CE558" s="1"/>
      <c r="CF558" s="1"/>
      <c r="CG558" s="1"/>
      <c r="CH558" s="1"/>
      <c r="CI558" s="1"/>
    </row>
    <row r="559" spans="1:87"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c r="AU559" s="1"/>
      <c r="AV559" s="1"/>
      <c r="AW559" s="1"/>
      <c r="AX559" s="1"/>
      <c r="AY559" s="1"/>
      <c r="AZ559" s="1"/>
      <c r="BA559" s="1"/>
      <c r="BB559" s="1"/>
      <c r="BC559" s="1"/>
      <c r="BD559" s="1"/>
      <c r="BE559" s="1"/>
      <c r="BF559" s="1"/>
      <c r="BG559" s="1"/>
      <c r="BH559" s="1"/>
      <c r="BI559" s="1"/>
      <c r="BJ559" s="1"/>
      <c r="BK559" s="1"/>
      <c r="BL559" s="1"/>
      <c r="BM559" s="1"/>
      <c r="BN559" s="1"/>
      <c r="BO559" s="1"/>
      <c r="BP559" s="1"/>
      <c r="BQ559" s="1"/>
      <c r="BR559" s="1"/>
      <c r="BS559" s="1"/>
      <c r="BT559" s="1"/>
      <c r="BU559" s="1"/>
      <c r="BV559" s="1"/>
      <c r="BW559" s="1"/>
      <c r="BX559" s="1"/>
      <c r="BY559" s="1"/>
      <c r="BZ559" s="1"/>
      <c r="CA559" s="1"/>
      <c r="CB559" s="1"/>
      <c r="CC559" s="1"/>
      <c r="CD559" s="1"/>
      <c r="CE559" s="1"/>
      <c r="CF559" s="1"/>
      <c r="CG559" s="1"/>
      <c r="CH559" s="1"/>
      <c r="CI559" s="1"/>
    </row>
    <row r="560" spans="1:87"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c r="AU560" s="1"/>
      <c r="AV560" s="1"/>
      <c r="AW560" s="1"/>
      <c r="AX560" s="1"/>
      <c r="AY560" s="1"/>
      <c r="AZ560" s="1"/>
      <c r="BA560" s="1"/>
      <c r="BB560" s="1"/>
      <c r="BC560" s="1"/>
      <c r="BD560" s="1"/>
      <c r="BE560" s="1"/>
      <c r="BF560" s="1"/>
      <c r="BG560" s="1"/>
      <c r="BH560" s="1"/>
      <c r="BI560" s="1"/>
      <c r="BJ560" s="1"/>
      <c r="BK560" s="1"/>
      <c r="BL560" s="1"/>
      <c r="BM560" s="1"/>
      <c r="BN560" s="1"/>
      <c r="BO560" s="1"/>
      <c r="BP560" s="1"/>
      <c r="BQ560" s="1"/>
      <c r="BR560" s="1"/>
      <c r="BS560" s="1"/>
      <c r="BT560" s="1"/>
      <c r="BU560" s="1"/>
      <c r="BV560" s="1"/>
      <c r="BW560" s="1"/>
      <c r="BX560" s="1"/>
      <c r="BY560" s="1"/>
      <c r="BZ560" s="1"/>
      <c r="CA560" s="1"/>
      <c r="CB560" s="1"/>
      <c r="CC560" s="1"/>
      <c r="CD560" s="1"/>
      <c r="CE560" s="1"/>
      <c r="CF560" s="1"/>
      <c r="CG560" s="1"/>
      <c r="CH560" s="1"/>
      <c r="CI560" s="1"/>
    </row>
    <row r="561" spans="1:87"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c r="AU561" s="1"/>
      <c r="AV561" s="1"/>
      <c r="AW561" s="1"/>
      <c r="AX561" s="1"/>
      <c r="AY561" s="1"/>
      <c r="AZ561" s="1"/>
      <c r="BA561" s="1"/>
      <c r="BB561" s="1"/>
      <c r="BC561" s="1"/>
      <c r="BD561" s="1"/>
      <c r="BE561" s="1"/>
      <c r="BF561" s="1"/>
      <c r="BG561" s="1"/>
      <c r="BH561" s="1"/>
      <c r="BI561" s="1"/>
      <c r="BJ561" s="1"/>
      <c r="BK561" s="1"/>
      <c r="BL561" s="1"/>
      <c r="BM561" s="1"/>
      <c r="BN561" s="1"/>
      <c r="BO561" s="1"/>
      <c r="BP561" s="1"/>
      <c r="BQ561" s="1"/>
      <c r="BR561" s="1"/>
      <c r="BS561" s="1"/>
      <c r="BT561" s="1"/>
      <c r="BU561" s="1"/>
      <c r="BV561" s="1"/>
      <c r="BW561" s="1"/>
      <c r="BX561" s="1"/>
      <c r="BY561" s="1"/>
      <c r="BZ561" s="1"/>
      <c r="CA561" s="1"/>
      <c r="CB561" s="1"/>
      <c r="CC561" s="1"/>
      <c r="CD561" s="1"/>
      <c r="CE561" s="1"/>
      <c r="CF561" s="1"/>
      <c r="CG561" s="1"/>
      <c r="CH561" s="1"/>
      <c r="CI561" s="1"/>
    </row>
    <row r="562" spans="1:87"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c r="AU562" s="1"/>
      <c r="AV562" s="1"/>
      <c r="AW562" s="1"/>
      <c r="AX562" s="1"/>
      <c r="AY562" s="1"/>
      <c r="AZ562" s="1"/>
      <c r="BA562" s="1"/>
      <c r="BB562" s="1"/>
      <c r="BC562" s="1"/>
      <c r="BD562" s="1"/>
      <c r="BE562" s="1"/>
      <c r="BF562" s="1"/>
      <c r="BG562" s="1"/>
      <c r="BH562" s="1"/>
      <c r="BI562" s="1"/>
      <c r="BJ562" s="1"/>
      <c r="BK562" s="1"/>
      <c r="BL562" s="1"/>
      <c r="BM562" s="1"/>
      <c r="BN562" s="1"/>
      <c r="BO562" s="1"/>
      <c r="BP562" s="1"/>
      <c r="BQ562" s="1"/>
      <c r="BR562" s="1"/>
      <c r="BS562" s="1"/>
      <c r="BT562" s="1"/>
      <c r="BU562" s="1"/>
      <c r="BV562" s="1"/>
      <c r="BW562" s="1"/>
      <c r="BX562" s="1"/>
      <c r="BY562" s="1"/>
      <c r="BZ562" s="1"/>
      <c r="CA562" s="1"/>
      <c r="CB562" s="1"/>
      <c r="CC562" s="1"/>
      <c r="CD562" s="1"/>
      <c r="CE562" s="1"/>
      <c r="CF562" s="1"/>
      <c r="CG562" s="1"/>
      <c r="CH562" s="1"/>
      <c r="CI562" s="1"/>
    </row>
    <row r="563" spans="1:87"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c r="AU563" s="1"/>
      <c r="AV563" s="1"/>
      <c r="AW563" s="1"/>
      <c r="AX563" s="1"/>
      <c r="AY563" s="1"/>
      <c r="AZ563" s="1"/>
      <c r="BA563" s="1"/>
      <c r="BB563" s="1"/>
      <c r="BC563" s="1"/>
      <c r="BD563" s="1"/>
      <c r="BE563" s="1"/>
      <c r="BF563" s="1"/>
      <c r="BG563" s="1"/>
      <c r="BH563" s="1"/>
      <c r="BI563" s="1"/>
      <c r="BJ563" s="1"/>
      <c r="BK563" s="1"/>
      <c r="BL563" s="1"/>
      <c r="BM563" s="1"/>
      <c r="BN563" s="1"/>
      <c r="BO563" s="1"/>
      <c r="BP563" s="1"/>
      <c r="BQ563" s="1"/>
      <c r="BR563" s="1"/>
      <c r="BS563" s="1"/>
      <c r="BT563" s="1"/>
      <c r="BU563" s="1"/>
      <c r="BV563" s="1"/>
      <c r="BW563" s="1"/>
      <c r="BX563" s="1"/>
      <c r="BY563" s="1"/>
      <c r="BZ563" s="1"/>
      <c r="CA563" s="1"/>
      <c r="CB563" s="1"/>
      <c r="CC563" s="1"/>
      <c r="CD563" s="1"/>
      <c r="CE563" s="1"/>
      <c r="CF563" s="1"/>
      <c r="CG563" s="1"/>
      <c r="CH563" s="1"/>
      <c r="CI563" s="1"/>
    </row>
    <row r="564" spans="1:87"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c r="AU564" s="1"/>
      <c r="AV564" s="1"/>
      <c r="AW564" s="1"/>
      <c r="AX564" s="1"/>
      <c r="AY564" s="1"/>
      <c r="AZ564" s="1"/>
      <c r="BA564" s="1"/>
      <c r="BB564" s="1"/>
      <c r="BC564" s="1"/>
      <c r="BD564" s="1"/>
      <c r="BE564" s="1"/>
      <c r="BF564" s="1"/>
      <c r="BG564" s="1"/>
      <c r="BH564" s="1"/>
      <c r="BI564" s="1"/>
      <c r="BJ564" s="1"/>
      <c r="BK564" s="1"/>
      <c r="BL564" s="1"/>
      <c r="BM564" s="1"/>
      <c r="BN564" s="1"/>
      <c r="BO564" s="1"/>
      <c r="BP564" s="1"/>
      <c r="BQ564" s="1"/>
      <c r="BR564" s="1"/>
      <c r="BS564" s="1"/>
      <c r="BT564" s="1"/>
      <c r="BU564" s="1"/>
      <c r="BV564" s="1"/>
      <c r="BW564" s="1"/>
      <c r="BX564" s="1"/>
      <c r="BY564" s="1"/>
      <c r="BZ564" s="1"/>
      <c r="CA564" s="1"/>
      <c r="CB564" s="1"/>
      <c r="CC564" s="1"/>
      <c r="CD564" s="1"/>
      <c r="CE564" s="1"/>
      <c r="CF564" s="1"/>
      <c r="CG564" s="1"/>
      <c r="CH564" s="1"/>
      <c r="CI564" s="1"/>
    </row>
    <row r="565" spans="1:87"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c r="AU565" s="1"/>
      <c r="AV565" s="1"/>
      <c r="AW565" s="1"/>
      <c r="AX565" s="1"/>
      <c r="AY565" s="1"/>
      <c r="AZ565" s="1"/>
      <c r="BA565" s="1"/>
      <c r="BB565" s="1"/>
      <c r="BC565" s="1"/>
      <c r="BD565" s="1"/>
      <c r="BE565" s="1"/>
      <c r="BF565" s="1"/>
      <c r="BG565" s="1"/>
      <c r="BH565" s="1"/>
      <c r="BI565" s="1"/>
      <c r="BJ565" s="1"/>
      <c r="BK565" s="1"/>
      <c r="BL565" s="1"/>
      <c r="BM565" s="1"/>
      <c r="BN565" s="1"/>
      <c r="BO565" s="1"/>
      <c r="BP565" s="1"/>
      <c r="BQ565" s="1"/>
      <c r="BR565" s="1"/>
      <c r="BS565" s="1"/>
      <c r="BT565" s="1"/>
      <c r="BU565" s="1"/>
      <c r="BV565" s="1"/>
      <c r="BW565" s="1"/>
      <c r="BX565" s="1"/>
      <c r="BY565" s="1"/>
      <c r="BZ565" s="1"/>
      <c r="CA565" s="1"/>
      <c r="CB565" s="1"/>
      <c r="CC565" s="1"/>
      <c r="CD565" s="1"/>
      <c r="CE565" s="1"/>
      <c r="CF565" s="1"/>
      <c r="CG565" s="1"/>
      <c r="CH565" s="1"/>
      <c r="CI565" s="1"/>
    </row>
    <row r="566" spans="1:87"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c r="AU566" s="1"/>
      <c r="AV566" s="1"/>
      <c r="AW566" s="1"/>
      <c r="AX566" s="1"/>
      <c r="AY566" s="1"/>
      <c r="AZ566" s="1"/>
      <c r="BA566" s="1"/>
      <c r="BB566" s="1"/>
      <c r="BC566" s="1"/>
      <c r="BD566" s="1"/>
      <c r="BE566" s="1"/>
      <c r="BF566" s="1"/>
      <c r="BG566" s="1"/>
      <c r="BH566" s="1"/>
      <c r="BI566" s="1"/>
      <c r="BJ566" s="1"/>
      <c r="BK566" s="1"/>
      <c r="BL566" s="1"/>
      <c r="BM566" s="1"/>
      <c r="BN566" s="1"/>
      <c r="BO566" s="1"/>
      <c r="BP566" s="1"/>
      <c r="BQ566" s="1"/>
      <c r="BR566" s="1"/>
      <c r="BS566" s="1"/>
      <c r="BT566" s="1"/>
      <c r="BU566" s="1"/>
      <c r="BV566" s="1"/>
      <c r="BW566" s="1"/>
      <c r="BX566" s="1"/>
      <c r="BY566" s="1"/>
      <c r="BZ566" s="1"/>
      <c r="CA566" s="1"/>
      <c r="CB566" s="1"/>
      <c r="CC566" s="1"/>
      <c r="CD566" s="1"/>
      <c r="CE566" s="1"/>
      <c r="CF566" s="1"/>
      <c r="CG566" s="1"/>
      <c r="CH566" s="1"/>
      <c r="CI566" s="1"/>
    </row>
    <row r="567" spans="1:87"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c r="AU567" s="1"/>
      <c r="AV567" s="1"/>
      <c r="AW567" s="1"/>
      <c r="AX567" s="1"/>
      <c r="AY567" s="1"/>
      <c r="AZ567" s="1"/>
      <c r="BA567" s="1"/>
      <c r="BB567" s="1"/>
      <c r="BC567" s="1"/>
      <c r="BD567" s="1"/>
      <c r="BE567" s="1"/>
      <c r="BF567" s="1"/>
      <c r="BG567" s="1"/>
      <c r="BH567" s="1"/>
      <c r="BI567" s="1"/>
      <c r="BJ567" s="1"/>
      <c r="BK567" s="1"/>
      <c r="BL567" s="1"/>
      <c r="BM567" s="1"/>
      <c r="BN567" s="1"/>
      <c r="BO567" s="1"/>
      <c r="BP567" s="1"/>
      <c r="BQ567" s="1"/>
      <c r="BR567" s="1"/>
      <c r="BS567" s="1"/>
      <c r="BT567" s="1"/>
      <c r="BU567" s="1"/>
      <c r="BV567" s="1"/>
      <c r="BW567" s="1"/>
      <c r="BX567" s="1"/>
      <c r="BY567" s="1"/>
      <c r="BZ567" s="1"/>
      <c r="CA567" s="1"/>
      <c r="CB567" s="1"/>
      <c r="CC567" s="1"/>
      <c r="CD567" s="1"/>
      <c r="CE567" s="1"/>
      <c r="CF567" s="1"/>
      <c r="CG567" s="1"/>
      <c r="CH567" s="1"/>
      <c r="CI567" s="1"/>
    </row>
    <row r="568" spans="1:87"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c r="AU568" s="1"/>
      <c r="AV568" s="1"/>
      <c r="AW568" s="1"/>
      <c r="AX568" s="1"/>
      <c r="AY568" s="1"/>
      <c r="AZ568" s="1"/>
      <c r="BA568" s="1"/>
      <c r="BB568" s="1"/>
      <c r="BC568" s="1"/>
      <c r="BD568" s="1"/>
      <c r="BE568" s="1"/>
      <c r="BF568" s="1"/>
      <c r="BG568" s="1"/>
      <c r="BH568" s="1"/>
      <c r="BI568" s="1"/>
      <c r="BJ568" s="1"/>
      <c r="BK568" s="1"/>
      <c r="BL568" s="1"/>
      <c r="BM568" s="1"/>
      <c r="BN568" s="1"/>
      <c r="BO568" s="1"/>
      <c r="BP568" s="1"/>
      <c r="BQ568" s="1"/>
      <c r="BR568" s="1"/>
      <c r="BS568" s="1"/>
      <c r="BT568" s="1"/>
      <c r="BU568" s="1"/>
      <c r="BV568" s="1"/>
      <c r="BW568" s="1"/>
      <c r="BX568" s="1"/>
      <c r="BY568" s="1"/>
      <c r="BZ568" s="1"/>
      <c r="CA568" s="1"/>
      <c r="CB568" s="1"/>
      <c r="CC568" s="1"/>
      <c r="CD568" s="1"/>
      <c r="CE568" s="1"/>
      <c r="CF568" s="1"/>
      <c r="CG568" s="1"/>
      <c r="CH568" s="1"/>
      <c r="CI568" s="1"/>
    </row>
    <row r="569" spans="1:87"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c r="AX569" s="1"/>
      <c r="AY569" s="1"/>
      <c r="AZ569" s="1"/>
      <c r="BA569" s="1"/>
      <c r="BB569" s="1"/>
      <c r="BC569" s="1"/>
      <c r="BD569" s="1"/>
      <c r="BE569" s="1"/>
      <c r="BF569" s="1"/>
      <c r="BG569" s="1"/>
      <c r="BH569" s="1"/>
      <c r="BI569" s="1"/>
      <c r="BJ569" s="1"/>
      <c r="BK569" s="1"/>
      <c r="BL569" s="1"/>
      <c r="BM569" s="1"/>
      <c r="BN569" s="1"/>
      <c r="BO569" s="1"/>
      <c r="BP569" s="1"/>
      <c r="BQ569" s="1"/>
      <c r="BR569" s="1"/>
      <c r="BS569" s="1"/>
      <c r="BT569" s="1"/>
      <c r="BU569" s="1"/>
      <c r="BV569" s="1"/>
      <c r="BW569" s="1"/>
      <c r="BX569" s="1"/>
      <c r="BY569" s="1"/>
      <c r="BZ569" s="1"/>
      <c r="CA569" s="1"/>
      <c r="CB569" s="1"/>
      <c r="CC569" s="1"/>
      <c r="CD569" s="1"/>
      <c r="CE569" s="1"/>
      <c r="CF569" s="1"/>
      <c r="CG569" s="1"/>
      <c r="CH569" s="1"/>
      <c r="CI569" s="1"/>
    </row>
    <row r="570" spans="1:87"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c r="AU570" s="1"/>
      <c r="AV570" s="1"/>
      <c r="AW570" s="1"/>
      <c r="AX570" s="1"/>
      <c r="AY570" s="1"/>
      <c r="AZ570" s="1"/>
      <c r="BA570" s="1"/>
      <c r="BB570" s="1"/>
      <c r="BC570" s="1"/>
      <c r="BD570" s="1"/>
      <c r="BE570" s="1"/>
      <c r="BF570" s="1"/>
      <c r="BG570" s="1"/>
      <c r="BH570" s="1"/>
      <c r="BI570" s="1"/>
      <c r="BJ570" s="1"/>
      <c r="BK570" s="1"/>
      <c r="BL570" s="1"/>
      <c r="BM570" s="1"/>
      <c r="BN570" s="1"/>
      <c r="BO570" s="1"/>
      <c r="BP570" s="1"/>
      <c r="BQ570" s="1"/>
      <c r="BR570" s="1"/>
      <c r="BS570" s="1"/>
      <c r="BT570" s="1"/>
      <c r="BU570" s="1"/>
      <c r="BV570" s="1"/>
      <c r="BW570" s="1"/>
      <c r="BX570" s="1"/>
      <c r="BY570" s="1"/>
      <c r="BZ570" s="1"/>
      <c r="CA570" s="1"/>
      <c r="CB570" s="1"/>
      <c r="CC570" s="1"/>
      <c r="CD570" s="1"/>
      <c r="CE570" s="1"/>
      <c r="CF570" s="1"/>
      <c r="CG570" s="1"/>
      <c r="CH570" s="1"/>
      <c r="CI570" s="1"/>
    </row>
    <row r="571" spans="1:87"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c r="AU571" s="1"/>
      <c r="AV571" s="1"/>
      <c r="AW571" s="1"/>
      <c r="AX571" s="1"/>
      <c r="AY571" s="1"/>
      <c r="AZ571" s="1"/>
      <c r="BA571" s="1"/>
      <c r="BB571" s="1"/>
      <c r="BC571" s="1"/>
      <c r="BD571" s="1"/>
      <c r="BE571" s="1"/>
      <c r="BF571" s="1"/>
      <c r="BG571" s="1"/>
      <c r="BH571" s="1"/>
      <c r="BI571" s="1"/>
      <c r="BJ571" s="1"/>
      <c r="BK571" s="1"/>
      <c r="BL571" s="1"/>
      <c r="BM571" s="1"/>
      <c r="BN571" s="1"/>
      <c r="BO571" s="1"/>
      <c r="BP571" s="1"/>
      <c r="BQ571" s="1"/>
      <c r="BR571" s="1"/>
      <c r="BS571" s="1"/>
      <c r="BT571" s="1"/>
      <c r="BU571" s="1"/>
      <c r="BV571" s="1"/>
      <c r="BW571" s="1"/>
      <c r="BX571" s="1"/>
      <c r="BY571" s="1"/>
      <c r="BZ571" s="1"/>
      <c r="CA571" s="1"/>
      <c r="CB571" s="1"/>
      <c r="CC571" s="1"/>
      <c r="CD571" s="1"/>
      <c r="CE571" s="1"/>
      <c r="CF571" s="1"/>
      <c r="CG571" s="1"/>
      <c r="CH571" s="1"/>
      <c r="CI571" s="1"/>
    </row>
    <row r="572" spans="1:87"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c r="AU572" s="1"/>
      <c r="AV572" s="1"/>
      <c r="AW572" s="1"/>
      <c r="AX572" s="1"/>
      <c r="AY572" s="1"/>
      <c r="AZ572" s="1"/>
      <c r="BA572" s="1"/>
      <c r="BB572" s="1"/>
      <c r="BC572" s="1"/>
      <c r="BD572" s="1"/>
      <c r="BE572" s="1"/>
      <c r="BF572" s="1"/>
      <c r="BG572" s="1"/>
      <c r="BH572" s="1"/>
      <c r="BI572" s="1"/>
      <c r="BJ572" s="1"/>
      <c r="BK572" s="1"/>
      <c r="BL572" s="1"/>
      <c r="BM572" s="1"/>
      <c r="BN572" s="1"/>
      <c r="BO572" s="1"/>
      <c r="BP572" s="1"/>
      <c r="BQ572" s="1"/>
      <c r="BR572" s="1"/>
      <c r="BS572" s="1"/>
      <c r="BT572" s="1"/>
      <c r="BU572" s="1"/>
      <c r="BV572" s="1"/>
      <c r="BW572" s="1"/>
      <c r="BX572" s="1"/>
      <c r="BY572" s="1"/>
      <c r="BZ572" s="1"/>
      <c r="CA572" s="1"/>
      <c r="CB572" s="1"/>
      <c r="CC572" s="1"/>
      <c r="CD572" s="1"/>
      <c r="CE572" s="1"/>
      <c r="CF572" s="1"/>
      <c r="CG572" s="1"/>
      <c r="CH572" s="1"/>
      <c r="CI572" s="1"/>
    </row>
    <row r="573" spans="1:87"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c r="AU573" s="1"/>
      <c r="AV573" s="1"/>
      <c r="AW573" s="1"/>
      <c r="AX573" s="1"/>
      <c r="AY573" s="1"/>
      <c r="AZ573" s="1"/>
      <c r="BA573" s="1"/>
      <c r="BB573" s="1"/>
      <c r="BC573" s="1"/>
      <c r="BD573" s="1"/>
      <c r="BE573" s="1"/>
      <c r="BF573" s="1"/>
      <c r="BG573" s="1"/>
      <c r="BH573" s="1"/>
      <c r="BI573" s="1"/>
      <c r="BJ573" s="1"/>
      <c r="BK573" s="1"/>
      <c r="BL573" s="1"/>
      <c r="BM573" s="1"/>
      <c r="BN573" s="1"/>
      <c r="BO573" s="1"/>
      <c r="BP573" s="1"/>
      <c r="BQ573" s="1"/>
      <c r="BR573" s="1"/>
      <c r="BS573" s="1"/>
      <c r="BT573" s="1"/>
      <c r="BU573" s="1"/>
      <c r="BV573" s="1"/>
      <c r="BW573" s="1"/>
      <c r="BX573" s="1"/>
      <c r="BY573" s="1"/>
      <c r="BZ573" s="1"/>
      <c r="CA573" s="1"/>
      <c r="CB573" s="1"/>
      <c r="CC573" s="1"/>
      <c r="CD573" s="1"/>
      <c r="CE573" s="1"/>
      <c r="CF573" s="1"/>
      <c r="CG573" s="1"/>
      <c r="CH573" s="1"/>
      <c r="CI573" s="1"/>
    </row>
    <row r="574" spans="1:87"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c r="AU574" s="1"/>
      <c r="AV574" s="1"/>
      <c r="AW574" s="1"/>
      <c r="AX574" s="1"/>
      <c r="AY574" s="1"/>
      <c r="AZ574" s="1"/>
      <c r="BA574" s="1"/>
      <c r="BB574" s="1"/>
      <c r="BC574" s="1"/>
      <c r="BD574" s="1"/>
      <c r="BE574" s="1"/>
      <c r="BF574" s="1"/>
      <c r="BG574" s="1"/>
      <c r="BH574" s="1"/>
      <c r="BI574" s="1"/>
      <c r="BJ574" s="1"/>
      <c r="BK574" s="1"/>
      <c r="BL574" s="1"/>
      <c r="BM574" s="1"/>
      <c r="BN574" s="1"/>
      <c r="BO574" s="1"/>
      <c r="BP574" s="1"/>
      <c r="BQ574" s="1"/>
      <c r="BR574" s="1"/>
      <c r="BS574" s="1"/>
      <c r="BT574" s="1"/>
      <c r="BU574" s="1"/>
      <c r="BV574" s="1"/>
      <c r="BW574" s="1"/>
      <c r="BX574" s="1"/>
      <c r="BY574" s="1"/>
      <c r="BZ574" s="1"/>
      <c r="CA574" s="1"/>
      <c r="CB574" s="1"/>
      <c r="CC574" s="1"/>
      <c r="CD574" s="1"/>
      <c r="CE574" s="1"/>
      <c r="CF574" s="1"/>
      <c r="CG574" s="1"/>
      <c r="CH574" s="1"/>
      <c r="CI574" s="1"/>
    </row>
    <row r="575" spans="1:87"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c r="AU575" s="1"/>
      <c r="AV575" s="1"/>
      <c r="AW575" s="1"/>
      <c r="AX575" s="1"/>
      <c r="AY575" s="1"/>
      <c r="AZ575" s="1"/>
      <c r="BA575" s="1"/>
      <c r="BB575" s="1"/>
      <c r="BC575" s="1"/>
      <c r="BD575" s="1"/>
      <c r="BE575" s="1"/>
      <c r="BF575" s="1"/>
      <c r="BG575" s="1"/>
      <c r="BH575" s="1"/>
      <c r="BI575" s="1"/>
      <c r="BJ575" s="1"/>
      <c r="BK575" s="1"/>
      <c r="BL575" s="1"/>
      <c r="BM575" s="1"/>
      <c r="BN575" s="1"/>
      <c r="BO575" s="1"/>
      <c r="BP575" s="1"/>
      <c r="BQ575" s="1"/>
      <c r="BR575" s="1"/>
      <c r="BS575" s="1"/>
      <c r="BT575" s="1"/>
      <c r="BU575" s="1"/>
      <c r="BV575" s="1"/>
      <c r="BW575" s="1"/>
      <c r="BX575" s="1"/>
      <c r="BY575" s="1"/>
      <c r="BZ575" s="1"/>
      <c r="CA575" s="1"/>
      <c r="CB575" s="1"/>
      <c r="CC575" s="1"/>
      <c r="CD575" s="1"/>
      <c r="CE575" s="1"/>
      <c r="CF575" s="1"/>
      <c r="CG575" s="1"/>
      <c r="CH575" s="1"/>
      <c r="CI575" s="1"/>
    </row>
    <row r="576" spans="1:87"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c r="AU576" s="1"/>
      <c r="AV576" s="1"/>
      <c r="AW576" s="1"/>
      <c r="AX576" s="1"/>
      <c r="AY576" s="1"/>
      <c r="AZ576" s="1"/>
      <c r="BA576" s="1"/>
      <c r="BB576" s="1"/>
      <c r="BC576" s="1"/>
      <c r="BD576" s="1"/>
      <c r="BE576" s="1"/>
      <c r="BF576" s="1"/>
      <c r="BG576" s="1"/>
      <c r="BH576" s="1"/>
      <c r="BI576" s="1"/>
      <c r="BJ576" s="1"/>
      <c r="BK576" s="1"/>
      <c r="BL576" s="1"/>
      <c r="BM576" s="1"/>
      <c r="BN576" s="1"/>
      <c r="BO576" s="1"/>
      <c r="BP576" s="1"/>
      <c r="BQ576" s="1"/>
      <c r="BR576" s="1"/>
      <c r="BS576" s="1"/>
      <c r="BT576" s="1"/>
      <c r="BU576" s="1"/>
      <c r="BV576" s="1"/>
      <c r="BW576" s="1"/>
      <c r="BX576" s="1"/>
      <c r="BY576" s="1"/>
      <c r="BZ576" s="1"/>
      <c r="CA576" s="1"/>
      <c r="CB576" s="1"/>
      <c r="CC576" s="1"/>
      <c r="CD576" s="1"/>
      <c r="CE576" s="1"/>
      <c r="CF576" s="1"/>
      <c r="CG576" s="1"/>
      <c r="CH576" s="1"/>
      <c r="CI576" s="1"/>
    </row>
    <row r="577" spans="1:87"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c r="AU577" s="1"/>
      <c r="AV577" s="1"/>
      <c r="AW577" s="1"/>
      <c r="AX577" s="1"/>
      <c r="AY577" s="1"/>
      <c r="AZ577" s="1"/>
      <c r="BA577" s="1"/>
      <c r="BB577" s="1"/>
      <c r="BC577" s="1"/>
      <c r="BD577" s="1"/>
      <c r="BE577" s="1"/>
      <c r="BF577" s="1"/>
      <c r="BG577" s="1"/>
      <c r="BH577" s="1"/>
      <c r="BI577" s="1"/>
      <c r="BJ577" s="1"/>
      <c r="BK577" s="1"/>
      <c r="BL577" s="1"/>
      <c r="BM577" s="1"/>
      <c r="BN577" s="1"/>
      <c r="BO577" s="1"/>
      <c r="BP577" s="1"/>
      <c r="BQ577" s="1"/>
      <c r="BR577" s="1"/>
      <c r="BS577" s="1"/>
      <c r="BT577" s="1"/>
      <c r="BU577" s="1"/>
      <c r="BV577" s="1"/>
      <c r="BW577" s="1"/>
      <c r="BX577" s="1"/>
      <c r="BY577" s="1"/>
      <c r="BZ577" s="1"/>
      <c r="CA577" s="1"/>
      <c r="CB577" s="1"/>
      <c r="CC577" s="1"/>
      <c r="CD577" s="1"/>
      <c r="CE577" s="1"/>
      <c r="CF577" s="1"/>
      <c r="CG577" s="1"/>
      <c r="CH577" s="1"/>
      <c r="CI577" s="1"/>
    </row>
    <row r="578" spans="1:87"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c r="AV578" s="1"/>
      <c r="AW578" s="1"/>
      <c r="AX578" s="1"/>
      <c r="AY578" s="1"/>
      <c r="AZ578" s="1"/>
      <c r="BA578" s="1"/>
      <c r="BB578" s="1"/>
      <c r="BC578" s="1"/>
      <c r="BD578" s="1"/>
      <c r="BE578" s="1"/>
      <c r="BF578" s="1"/>
      <c r="BG578" s="1"/>
      <c r="BH578" s="1"/>
      <c r="BI578" s="1"/>
      <c r="BJ578" s="1"/>
      <c r="BK578" s="1"/>
      <c r="BL578" s="1"/>
      <c r="BM578" s="1"/>
      <c r="BN578" s="1"/>
      <c r="BO578" s="1"/>
      <c r="BP578" s="1"/>
      <c r="BQ578" s="1"/>
      <c r="BR578" s="1"/>
      <c r="BS578" s="1"/>
      <c r="BT578" s="1"/>
      <c r="BU578" s="1"/>
      <c r="BV578" s="1"/>
      <c r="BW578" s="1"/>
      <c r="BX578" s="1"/>
      <c r="BY578" s="1"/>
      <c r="BZ578" s="1"/>
      <c r="CA578" s="1"/>
      <c r="CB578" s="1"/>
      <c r="CC578" s="1"/>
      <c r="CD578" s="1"/>
      <c r="CE578" s="1"/>
      <c r="CF578" s="1"/>
      <c r="CG578" s="1"/>
      <c r="CH578" s="1"/>
      <c r="CI578" s="1"/>
    </row>
    <row r="579" spans="1:87"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c r="AU579" s="1"/>
      <c r="AV579" s="1"/>
      <c r="AW579" s="1"/>
      <c r="AX579" s="1"/>
      <c r="AY579" s="1"/>
      <c r="AZ579" s="1"/>
      <c r="BA579" s="1"/>
      <c r="BB579" s="1"/>
      <c r="BC579" s="1"/>
      <c r="BD579" s="1"/>
      <c r="BE579" s="1"/>
      <c r="BF579" s="1"/>
      <c r="BG579" s="1"/>
      <c r="BH579" s="1"/>
      <c r="BI579" s="1"/>
      <c r="BJ579" s="1"/>
      <c r="BK579" s="1"/>
      <c r="BL579" s="1"/>
      <c r="BM579" s="1"/>
      <c r="BN579" s="1"/>
      <c r="BO579" s="1"/>
      <c r="BP579" s="1"/>
      <c r="BQ579" s="1"/>
      <c r="BR579" s="1"/>
      <c r="BS579" s="1"/>
      <c r="BT579" s="1"/>
      <c r="BU579" s="1"/>
      <c r="BV579" s="1"/>
      <c r="BW579" s="1"/>
      <c r="BX579" s="1"/>
      <c r="BY579" s="1"/>
      <c r="BZ579" s="1"/>
      <c r="CA579" s="1"/>
      <c r="CB579" s="1"/>
      <c r="CC579" s="1"/>
      <c r="CD579" s="1"/>
      <c r="CE579" s="1"/>
      <c r="CF579" s="1"/>
      <c r="CG579" s="1"/>
      <c r="CH579" s="1"/>
      <c r="CI579" s="1"/>
    </row>
    <row r="580" spans="1:87"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c r="AU580" s="1"/>
      <c r="AV580" s="1"/>
      <c r="AW580" s="1"/>
      <c r="AX580" s="1"/>
      <c r="AY580" s="1"/>
      <c r="AZ580" s="1"/>
      <c r="BA580" s="1"/>
      <c r="BB580" s="1"/>
      <c r="BC580" s="1"/>
      <c r="BD580" s="1"/>
      <c r="BE580" s="1"/>
      <c r="BF580" s="1"/>
      <c r="BG580" s="1"/>
      <c r="BH580" s="1"/>
      <c r="BI580" s="1"/>
      <c r="BJ580" s="1"/>
      <c r="BK580" s="1"/>
      <c r="BL580" s="1"/>
      <c r="BM580" s="1"/>
      <c r="BN580" s="1"/>
      <c r="BO580" s="1"/>
      <c r="BP580" s="1"/>
      <c r="BQ580" s="1"/>
      <c r="BR580" s="1"/>
      <c r="BS580" s="1"/>
      <c r="BT580" s="1"/>
      <c r="BU580" s="1"/>
      <c r="BV580" s="1"/>
      <c r="BW580" s="1"/>
      <c r="BX580" s="1"/>
      <c r="BY580" s="1"/>
      <c r="BZ580" s="1"/>
      <c r="CA580" s="1"/>
      <c r="CB580" s="1"/>
      <c r="CC580" s="1"/>
      <c r="CD580" s="1"/>
      <c r="CE580" s="1"/>
      <c r="CF580" s="1"/>
      <c r="CG580" s="1"/>
      <c r="CH580" s="1"/>
      <c r="CI580" s="1"/>
    </row>
    <row r="581" spans="1:87"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c r="AX581" s="1"/>
      <c r="AY581" s="1"/>
      <c r="AZ581" s="1"/>
      <c r="BA581" s="1"/>
      <c r="BB581" s="1"/>
      <c r="BC581" s="1"/>
      <c r="BD581" s="1"/>
      <c r="BE581" s="1"/>
      <c r="BF581" s="1"/>
      <c r="BG581" s="1"/>
      <c r="BH581" s="1"/>
      <c r="BI581" s="1"/>
      <c r="BJ581" s="1"/>
      <c r="BK581" s="1"/>
      <c r="BL581" s="1"/>
      <c r="BM581" s="1"/>
      <c r="BN581" s="1"/>
      <c r="BO581" s="1"/>
      <c r="BP581" s="1"/>
      <c r="BQ581" s="1"/>
      <c r="BR581" s="1"/>
      <c r="BS581" s="1"/>
      <c r="BT581" s="1"/>
      <c r="BU581" s="1"/>
      <c r="BV581" s="1"/>
      <c r="BW581" s="1"/>
      <c r="BX581" s="1"/>
      <c r="BY581" s="1"/>
      <c r="BZ581" s="1"/>
      <c r="CA581" s="1"/>
      <c r="CB581" s="1"/>
      <c r="CC581" s="1"/>
      <c r="CD581" s="1"/>
      <c r="CE581" s="1"/>
      <c r="CF581" s="1"/>
      <c r="CG581" s="1"/>
      <c r="CH581" s="1"/>
      <c r="CI581" s="1"/>
    </row>
    <row r="582" spans="1:87"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c r="AU582" s="1"/>
      <c r="AV582" s="1"/>
      <c r="AW582" s="1"/>
      <c r="AX582" s="1"/>
      <c r="AY582" s="1"/>
      <c r="AZ582" s="1"/>
      <c r="BA582" s="1"/>
      <c r="BB582" s="1"/>
      <c r="BC582" s="1"/>
      <c r="BD582" s="1"/>
      <c r="BE582" s="1"/>
      <c r="BF582" s="1"/>
      <c r="BG582" s="1"/>
      <c r="BH582" s="1"/>
      <c r="BI582" s="1"/>
      <c r="BJ582" s="1"/>
      <c r="BK582" s="1"/>
      <c r="BL582" s="1"/>
      <c r="BM582" s="1"/>
      <c r="BN582" s="1"/>
      <c r="BO582" s="1"/>
      <c r="BP582" s="1"/>
      <c r="BQ582" s="1"/>
      <c r="BR582" s="1"/>
      <c r="BS582" s="1"/>
      <c r="BT582" s="1"/>
      <c r="BU582" s="1"/>
      <c r="BV582" s="1"/>
      <c r="BW582" s="1"/>
      <c r="BX582" s="1"/>
      <c r="BY582" s="1"/>
      <c r="BZ582" s="1"/>
      <c r="CA582" s="1"/>
      <c r="CB582" s="1"/>
      <c r="CC582" s="1"/>
      <c r="CD582" s="1"/>
      <c r="CE582" s="1"/>
      <c r="CF582" s="1"/>
      <c r="CG582" s="1"/>
      <c r="CH582" s="1"/>
      <c r="CI582" s="1"/>
    </row>
    <row r="583" spans="1:87"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c r="AU583" s="1"/>
      <c r="AV583" s="1"/>
      <c r="AW583" s="1"/>
      <c r="AX583" s="1"/>
      <c r="AY583" s="1"/>
      <c r="AZ583" s="1"/>
      <c r="BA583" s="1"/>
      <c r="BB583" s="1"/>
      <c r="BC583" s="1"/>
      <c r="BD583" s="1"/>
      <c r="BE583" s="1"/>
      <c r="BF583" s="1"/>
      <c r="BG583" s="1"/>
      <c r="BH583" s="1"/>
      <c r="BI583" s="1"/>
      <c r="BJ583" s="1"/>
      <c r="BK583" s="1"/>
      <c r="BL583" s="1"/>
      <c r="BM583" s="1"/>
      <c r="BN583" s="1"/>
      <c r="BO583" s="1"/>
      <c r="BP583" s="1"/>
      <c r="BQ583" s="1"/>
      <c r="BR583" s="1"/>
      <c r="BS583" s="1"/>
      <c r="BT583" s="1"/>
      <c r="BU583" s="1"/>
      <c r="BV583" s="1"/>
      <c r="BW583" s="1"/>
      <c r="BX583" s="1"/>
      <c r="BY583" s="1"/>
      <c r="BZ583" s="1"/>
      <c r="CA583" s="1"/>
      <c r="CB583" s="1"/>
      <c r="CC583" s="1"/>
      <c r="CD583" s="1"/>
      <c r="CE583" s="1"/>
      <c r="CF583" s="1"/>
      <c r="CG583" s="1"/>
      <c r="CH583" s="1"/>
      <c r="CI583" s="1"/>
    </row>
    <row r="584" spans="1:87"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c r="AU584" s="1"/>
      <c r="AV584" s="1"/>
      <c r="AW584" s="1"/>
      <c r="AX584" s="1"/>
      <c r="AY584" s="1"/>
      <c r="AZ584" s="1"/>
      <c r="BA584" s="1"/>
      <c r="BB584" s="1"/>
      <c r="BC584" s="1"/>
      <c r="BD584" s="1"/>
      <c r="BE584" s="1"/>
      <c r="BF584" s="1"/>
      <c r="BG584" s="1"/>
      <c r="BH584" s="1"/>
      <c r="BI584" s="1"/>
      <c r="BJ584" s="1"/>
      <c r="BK584" s="1"/>
      <c r="BL584" s="1"/>
      <c r="BM584" s="1"/>
      <c r="BN584" s="1"/>
      <c r="BO584" s="1"/>
      <c r="BP584" s="1"/>
      <c r="BQ584" s="1"/>
      <c r="BR584" s="1"/>
      <c r="BS584" s="1"/>
      <c r="BT584" s="1"/>
      <c r="BU584" s="1"/>
      <c r="BV584" s="1"/>
      <c r="BW584" s="1"/>
      <c r="BX584" s="1"/>
      <c r="BY584" s="1"/>
      <c r="BZ584" s="1"/>
      <c r="CA584" s="1"/>
      <c r="CB584" s="1"/>
      <c r="CC584" s="1"/>
      <c r="CD584" s="1"/>
      <c r="CE584" s="1"/>
      <c r="CF584" s="1"/>
      <c r="CG584" s="1"/>
      <c r="CH584" s="1"/>
      <c r="CI584" s="1"/>
    </row>
    <row r="585" spans="1:87"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c r="AU585" s="1"/>
      <c r="AV585" s="1"/>
      <c r="AW585" s="1"/>
      <c r="AX585" s="1"/>
      <c r="AY585" s="1"/>
      <c r="AZ585" s="1"/>
      <c r="BA585" s="1"/>
      <c r="BB585" s="1"/>
      <c r="BC585" s="1"/>
      <c r="BD585" s="1"/>
      <c r="BE585" s="1"/>
      <c r="BF585" s="1"/>
      <c r="BG585" s="1"/>
      <c r="BH585" s="1"/>
      <c r="BI585" s="1"/>
      <c r="BJ585" s="1"/>
      <c r="BK585" s="1"/>
      <c r="BL585" s="1"/>
      <c r="BM585" s="1"/>
      <c r="BN585" s="1"/>
      <c r="BO585" s="1"/>
      <c r="BP585" s="1"/>
      <c r="BQ585" s="1"/>
      <c r="BR585" s="1"/>
      <c r="BS585" s="1"/>
      <c r="BT585" s="1"/>
      <c r="BU585" s="1"/>
      <c r="BV585" s="1"/>
      <c r="BW585" s="1"/>
      <c r="BX585" s="1"/>
      <c r="BY585" s="1"/>
      <c r="BZ585" s="1"/>
      <c r="CA585" s="1"/>
      <c r="CB585" s="1"/>
      <c r="CC585" s="1"/>
      <c r="CD585" s="1"/>
      <c r="CE585" s="1"/>
      <c r="CF585" s="1"/>
      <c r="CG585" s="1"/>
      <c r="CH585" s="1"/>
      <c r="CI585" s="1"/>
    </row>
    <row r="586" spans="1:87"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c r="AU586" s="1"/>
      <c r="AV586" s="1"/>
      <c r="AW586" s="1"/>
      <c r="AX586" s="1"/>
      <c r="AY586" s="1"/>
      <c r="AZ586" s="1"/>
      <c r="BA586" s="1"/>
      <c r="BB586" s="1"/>
      <c r="BC586" s="1"/>
      <c r="BD586" s="1"/>
      <c r="BE586" s="1"/>
      <c r="BF586" s="1"/>
      <c r="BG586" s="1"/>
      <c r="BH586" s="1"/>
      <c r="BI586" s="1"/>
      <c r="BJ586" s="1"/>
      <c r="BK586" s="1"/>
      <c r="BL586" s="1"/>
      <c r="BM586" s="1"/>
      <c r="BN586" s="1"/>
      <c r="BO586" s="1"/>
      <c r="BP586" s="1"/>
      <c r="BQ586" s="1"/>
      <c r="BR586" s="1"/>
      <c r="BS586" s="1"/>
      <c r="BT586" s="1"/>
      <c r="BU586" s="1"/>
      <c r="BV586" s="1"/>
      <c r="BW586" s="1"/>
      <c r="BX586" s="1"/>
      <c r="BY586" s="1"/>
      <c r="BZ586" s="1"/>
      <c r="CA586" s="1"/>
      <c r="CB586" s="1"/>
      <c r="CC586" s="1"/>
      <c r="CD586" s="1"/>
      <c r="CE586" s="1"/>
      <c r="CF586" s="1"/>
      <c r="CG586" s="1"/>
      <c r="CH586" s="1"/>
      <c r="CI586" s="1"/>
    </row>
    <row r="587" spans="1:87"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c r="AU587" s="1"/>
      <c r="AV587" s="1"/>
      <c r="AW587" s="1"/>
      <c r="AX587" s="1"/>
      <c r="AY587" s="1"/>
      <c r="AZ587" s="1"/>
      <c r="BA587" s="1"/>
      <c r="BB587" s="1"/>
      <c r="BC587" s="1"/>
      <c r="BD587" s="1"/>
      <c r="BE587" s="1"/>
      <c r="BF587" s="1"/>
      <c r="BG587" s="1"/>
      <c r="BH587" s="1"/>
      <c r="BI587" s="1"/>
      <c r="BJ587" s="1"/>
      <c r="BK587" s="1"/>
      <c r="BL587" s="1"/>
      <c r="BM587" s="1"/>
      <c r="BN587" s="1"/>
      <c r="BO587" s="1"/>
      <c r="BP587" s="1"/>
      <c r="BQ587" s="1"/>
      <c r="BR587" s="1"/>
      <c r="BS587" s="1"/>
      <c r="BT587" s="1"/>
      <c r="BU587" s="1"/>
      <c r="BV587" s="1"/>
      <c r="BW587" s="1"/>
      <c r="BX587" s="1"/>
      <c r="BY587" s="1"/>
      <c r="BZ587" s="1"/>
      <c r="CA587" s="1"/>
      <c r="CB587" s="1"/>
      <c r="CC587" s="1"/>
      <c r="CD587" s="1"/>
      <c r="CE587" s="1"/>
      <c r="CF587" s="1"/>
      <c r="CG587" s="1"/>
      <c r="CH587" s="1"/>
      <c r="CI587" s="1"/>
    </row>
    <row r="588" spans="1:87"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c r="AU588" s="1"/>
      <c r="AV588" s="1"/>
      <c r="AW588" s="1"/>
      <c r="AX588" s="1"/>
      <c r="AY588" s="1"/>
      <c r="AZ588" s="1"/>
      <c r="BA588" s="1"/>
      <c r="BB588" s="1"/>
      <c r="BC588" s="1"/>
      <c r="BD588" s="1"/>
      <c r="BE588" s="1"/>
      <c r="BF588" s="1"/>
      <c r="BG588" s="1"/>
      <c r="BH588" s="1"/>
      <c r="BI588" s="1"/>
      <c r="BJ588" s="1"/>
      <c r="BK588" s="1"/>
      <c r="BL588" s="1"/>
      <c r="BM588" s="1"/>
      <c r="BN588" s="1"/>
      <c r="BO588" s="1"/>
      <c r="BP588" s="1"/>
      <c r="BQ588" s="1"/>
      <c r="BR588" s="1"/>
      <c r="BS588" s="1"/>
      <c r="BT588" s="1"/>
      <c r="BU588" s="1"/>
      <c r="BV588" s="1"/>
      <c r="BW588" s="1"/>
      <c r="BX588" s="1"/>
      <c r="BY588" s="1"/>
      <c r="BZ588" s="1"/>
      <c r="CA588" s="1"/>
      <c r="CB588" s="1"/>
      <c r="CC588" s="1"/>
      <c r="CD588" s="1"/>
      <c r="CE588" s="1"/>
      <c r="CF588" s="1"/>
      <c r="CG588" s="1"/>
      <c r="CH588" s="1"/>
      <c r="CI588" s="1"/>
    </row>
    <row r="589" spans="1:87"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c r="AU589" s="1"/>
      <c r="AV589" s="1"/>
      <c r="AW589" s="1"/>
      <c r="AX589" s="1"/>
      <c r="AY589" s="1"/>
      <c r="AZ589" s="1"/>
      <c r="BA589" s="1"/>
      <c r="BB589" s="1"/>
      <c r="BC589" s="1"/>
      <c r="BD589" s="1"/>
      <c r="BE589" s="1"/>
      <c r="BF589" s="1"/>
      <c r="BG589" s="1"/>
      <c r="BH589" s="1"/>
      <c r="BI589" s="1"/>
      <c r="BJ589" s="1"/>
      <c r="BK589" s="1"/>
      <c r="BL589" s="1"/>
      <c r="BM589" s="1"/>
      <c r="BN589" s="1"/>
      <c r="BO589" s="1"/>
      <c r="BP589" s="1"/>
      <c r="BQ589" s="1"/>
      <c r="BR589" s="1"/>
      <c r="BS589" s="1"/>
      <c r="BT589" s="1"/>
      <c r="BU589" s="1"/>
      <c r="BV589" s="1"/>
      <c r="BW589" s="1"/>
      <c r="BX589" s="1"/>
      <c r="BY589" s="1"/>
      <c r="BZ589" s="1"/>
      <c r="CA589" s="1"/>
      <c r="CB589" s="1"/>
      <c r="CC589" s="1"/>
      <c r="CD589" s="1"/>
      <c r="CE589" s="1"/>
      <c r="CF589" s="1"/>
      <c r="CG589" s="1"/>
      <c r="CH589" s="1"/>
      <c r="CI589" s="1"/>
    </row>
    <row r="590" spans="1:87"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c r="AU590" s="1"/>
      <c r="AV590" s="1"/>
      <c r="AW590" s="1"/>
      <c r="AX590" s="1"/>
      <c r="AY590" s="1"/>
      <c r="AZ590" s="1"/>
      <c r="BA590" s="1"/>
      <c r="BB590" s="1"/>
      <c r="BC590" s="1"/>
      <c r="BD590" s="1"/>
      <c r="BE590" s="1"/>
      <c r="BF590" s="1"/>
      <c r="BG590" s="1"/>
      <c r="BH590" s="1"/>
      <c r="BI590" s="1"/>
      <c r="BJ590" s="1"/>
      <c r="BK590" s="1"/>
      <c r="BL590" s="1"/>
      <c r="BM590" s="1"/>
      <c r="BN590" s="1"/>
      <c r="BO590" s="1"/>
      <c r="BP590" s="1"/>
      <c r="BQ590" s="1"/>
      <c r="BR590" s="1"/>
      <c r="BS590" s="1"/>
      <c r="BT590" s="1"/>
      <c r="BU590" s="1"/>
      <c r="BV590" s="1"/>
      <c r="BW590" s="1"/>
      <c r="BX590" s="1"/>
      <c r="BY590" s="1"/>
      <c r="BZ590" s="1"/>
      <c r="CA590" s="1"/>
      <c r="CB590" s="1"/>
      <c r="CC590" s="1"/>
      <c r="CD590" s="1"/>
      <c r="CE590" s="1"/>
      <c r="CF590" s="1"/>
      <c r="CG590" s="1"/>
      <c r="CH590" s="1"/>
      <c r="CI590" s="1"/>
    </row>
    <row r="591" spans="1:87"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c r="AU591" s="1"/>
      <c r="AV591" s="1"/>
      <c r="AW591" s="1"/>
      <c r="AX591" s="1"/>
      <c r="AY591" s="1"/>
      <c r="AZ591" s="1"/>
      <c r="BA591" s="1"/>
      <c r="BB591" s="1"/>
      <c r="BC591" s="1"/>
      <c r="BD591" s="1"/>
      <c r="BE591" s="1"/>
      <c r="BF591" s="1"/>
      <c r="BG591" s="1"/>
      <c r="BH591" s="1"/>
      <c r="BI591" s="1"/>
      <c r="BJ591" s="1"/>
      <c r="BK591" s="1"/>
      <c r="BL591" s="1"/>
      <c r="BM591" s="1"/>
      <c r="BN591" s="1"/>
      <c r="BO591" s="1"/>
      <c r="BP591" s="1"/>
      <c r="BQ591" s="1"/>
      <c r="BR591" s="1"/>
      <c r="BS591" s="1"/>
      <c r="BT591" s="1"/>
      <c r="BU591" s="1"/>
      <c r="BV591" s="1"/>
      <c r="BW591" s="1"/>
      <c r="BX591" s="1"/>
      <c r="BY591" s="1"/>
      <c r="BZ591" s="1"/>
      <c r="CA591" s="1"/>
      <c r="CB591" s="1"/>
      <c r="CC591" s="1"/>
      <c r="CD591" s="1"/>
      <c r="CE591" s="1"/>
      <c r="CF591" s="1"/>
      <c r="CG591" s="1"/>
      <c r="CH591" s="1"/>
      <c r="CI591" s="1"/>
    </row>
    <row r="592" spans="1:87"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c r="AU592" s="1"/>
      <c r="AV592" s="1"/>
      <c r="AW592" s="1"/>
      <c r="AX592" s="1"/>
      <c r="AY592" s="1"/>
      <c r="AZ592" s="1"/>
      <c r="BA592" s="1"/>
      <c r="BB592" s="1"/>
      <c r="BC592" s="1"/>
      <c r="BD592" s="1"/>
      <c r="BE592" s="1"/>
      <c r="BF592" s="1"/>
      <c r="BG592" s="1"/>
      <c r="BH592" s="1"/>
      <c r="BI592" s="1"/>
      <c r="BJ592" s="1"/>
      <c r="BK592" s="1"/>
      <c r="BL592" s="1"/>
      <c r="BM592" s="1"/>
      <c r="BN592" s="1"/>
      <c r="BO592" s="1"/>
      <c r="BP592" s="1"/>
      <c r="BQ592" s="1"/>
      <c r="BR592" s="1"/>
      <c r="BS592" s="1"/>
      <c r="BT592" s="1"/>
      <c r="BU592" s="1"/>
      <c r="BV592" s="1"/>
      <c r="BW592" s="1"/>
      <c r="BX592" s="1"/>
      <c r="BY592" s="1"/>
      <c r="BZ592" s="1"/>
      <c r="CA592" s="1"/>
      <c r="CB592" s="1"/>
      <c r="CC592" s="1"/>
      <c r="CD592" s="1"/>
      <c r="CE592" s="1"/>
      <c r="CF592" s="1"/>
      <c r="CG592" s="1"/>
      <c r="CH592" s="1"/>
      <c r="CI592" s="1"/>
    </row>
    <row r="593" spans="1:87"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c r="AU593" s="1"/>
      <c r="AV593" s="1"/>
      <c r="AW593" s="1"/>
      <c r="AX593" s="1"/>
      <c r="AY593" s="1"/>
      <c r="AZ593" s="1"/>
      <c r="BA593" s="1"/>
      <c r="BB593" s="1"/>
      <c r="BC593" s="1"/>
      <c r="BD593" s="1"/>
      <c r="BE593" s="1"/>
      <c r="BF593" s="1"/>
      <c r="BG593" s="1"/>
      <c r="BH593" s="1"/>
      <c r="BI593" s="1"/>
      <c r="BJ593" s="1"/>
      <c r="BK593" s="1"/>
      <c r="BL593" s="1"/>
      <c r="BM593" s="1"/>
      <c r="BN593" s="1"/>
      <c r="BO593" s="1"/>
      <c r="BP593" s="1"/>
      <c r="BQ593" s="1"/>
      <c r="BR593" s="1"/>
      <c r="BS593" s="1"/>
      <c r="BT593" s="1"/>
      <c r="BU593" s="1"/>
      <c r="BV593" s="1"/>
      <c r="BW593" s="1"/>
      <c r="BX593" s="1"/>
      <c r="BY593" s="1"/>
      <c r="BZ593" s="1"/>
      <c r="CA593" s="1"/>
      <c r="CB593" s="1"/>
      <c r="CC593" s="1"/>
      <c r="CD593" s="1"/>
      <c r="CE593" s="1"/>
      <c r="CF593" s="1"/>
      <c r="CG593" s="1"/>
      <c r="CH593" s="1"/>
      <c r="CI593" s="1"/>
    </row>
    <row r="594" spans="1:87"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c r="AU594" s="1"/>
      <c r="AV594" s="1"/>
      <c r="AW594" s="1"/>
      <c r="AX594" s="1"/>
      <c r="AY594" s="1"/>
      <c r="AZ594" s="1"/>
      <c r="BA594" s="1"/>
      <c r="BB594" s="1"/>
      <c r="BC594" s="1"/>
      <c r="BD594" s="1"/>
      <c r="BE594" s="1"/>
      <c r="BF594" s="1"/>
      <c r="BG594" s="1"/>
      <c r="BH594" s="1"/>
      <c r="BI594" s="1"/>
      <c r="BJ594" s="1"/>
      <c r="BK594" s="1"/>
      <c r="BL594" s="1"/>
      <c r="BM594" s="1"/>
      <c r="BN594" s="1"/>
      <c r="BO594" s="1"/>
      <c r="BP594" s="1"/>
      <c r="BQ594" s="1"/>
      <c r="BR594" s="1"/>
      <c r="BS594" s="1"/>
      <c r="BT594" s="1"/>
      <c r="BU594" s="1"/>
      <c r="BV594" s="1"/>
      <c r="BW594" s="1"/>
      <c r="BX594" s="1"/>
      <c r="BY594" s="1"/>
      <c r="BZ594" s="1"/>
      <c r="CA594" s="1"/>
      <c r="CB594" s="1"/>
      <c r="CC594" s="1"/>
      <c r="CD594" s="1"/>
      <c r="CE594" s="1"/>
      <c r="CF594" s="1"/>
      <c r="CG594" s="1"/>
      <c r="CH594" s="1"/>
      <c r="CI594" s="1"/>
    </row>
    <row r="595" spans="1:87"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c r="AU595" s="1"/>
      <c r="AV595" s="1"/>
      <c r="AW595" s="1"/>
      <c r="AX595" s="1"/>
      <c r="AY595" s="1"/>
      <c r="AZ595" s="1"/>
      <c r="BA595" s="1"/>
      <c r="BB595" s="1"/>
      <c r="BC595" s="1"/>
      <c r="BD595" s="1"/>
      <c r="BE595" s="1"/>
      <c r="BF595" s="1"/>
      <c r="BG595" s="1"/>
      <c r="BH595" s="1"/>
      <c r="BI595" s="1"/>
      <c r="BJ595" s="1"/>
      <c r="BK595" s="1"/>
      <c r="BL595" s="1"/>
      <c r="BM595" s="1"/>
      <c r="BN595" s="1"/>
      <c r="BO595" s="1"/>
      <c r="BP595" s="1"/>
      <c r="BQ595" s="1"/>
      <c r="BR595" s="1"/>
      <c r="BS595" s="1"/>
      <c r="BT595" s="1"/>
      <c r="BU595" s="1"/>
      <c r="BV595" s="1"/>
      <c r="BW595" s="1"/>
      <c r="BX595" s="1"/>
      <c r="BY595" s="1"/>
      <c r="BZ595" s="1"/>
      <c r="CA595" s="1"/>
      <c r="CB595" s="1"/>
      <c r="CC595" s="1"/>
      <c r="CD595" s="1"/>
      <c r="CE595" s="1"/>
      <c r="CF595" s="1"/>
      <c r="CG595" s="1"/>
      <c r="CH595" s="1"/>
      <c r="CI595" s="1"/>
    </row>
    <row r="596" spans="1:87"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c r="AU596" s="1"/>
      <c r="AV596" s="1"/>
      <c r="AW596" s="1"/>
      <c r="AX596" s="1"/>
      <c r="AY596" s="1"/>
      <c r="AZ596" s="1"/>
      <c r="BA596" s="1"/>
      <c r="BB596" s="1"/>
      <c r="BC596" s="1"/>
      <c r="BD596" s="1"/>
      <c r="BE596" s="1"/>
      <c r="BF596" s="1"/>
      <c r="BG596" s="1"/>
      <c r="BH596" s="1"/>
      <c r="BI596" s="1"/>
      <c r="BJ596" s="1"/>
      <c r="BK596" s="1"/>
      <c r="BL596" s="1"/>
      <c r="BM596" s="1"/>
      <c r="BN596" s="1"/>
      <c r="BO596" s="1"/>
      <c r="BP596" s="1"/>
      <c r="BQ596" s="1"/>
      <c r="BR596" s="1"/>
      <c r="BS596" s="1"/>
      <c r="BT596" s="1"/>
      <c r="BU596" s="1"/>
      <c r="BV596" s="1"/>
      <c r="BW596" s="1"/>
      <c r="BX596" s="1"/>
      <c r="BY596" s="1"/>
      <c r="BZ596" s="1"/>
      <c r="CA596" s="1"/>
      <c r="CB596" s="1"/>
      <c r="CC596" s="1"/>
      <c r="CD596" s="1"/>
      <c r="CE596" s="1"/>
      <c r="CF596" s="1"/>
      <c r="CG596" s="1"/>
      <c r="CH596" s="1"/>
      <c r="CI596" s="1"/>
    </row>
    <row r="597" spans="1:87"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c r="AU597" s="1"/>
      <c r="AV597" s="1"/>
      <c r="AW597" s="1"/>
      <c r="AX597" s="1"/>
      <c r="AY597" s="1"/>
      <c r="AZ597" s="1"/>
      <c r="BA597" s="1"/>
      <c r="BB597" s="1"/>
      <c r="BC597" s="1"/>
      <c r="BD597" s="1"/>
      <c r="BE597" s="1"/>
      <c r="BF597" s="1"/>
      <c r="BG597" s="1"/>
      <c r="BH597" s="1"/>
      <c r="BI597" s="1"/>
      <c r="BJ597" s="1"/>
      <c r="BK597" s="1"/>
      <c r="BL597" s="1"/>
      <c r="BM597" s="1"/>
      <c r="BN597" s="1"/>
      <c r="BO597" s="1"/>
      <c r="BP597" s="1"/>
      <c r="BQ597" s="1"/>
      <c r="BR597" s="1"/>
      <c r="BS597" s="1"/>
      <c r="BT597" s="1"/>
      <c r="BU597" s="1"/>
      <c r="BV597" s="1"/>
      <c r="BW597" s="1"/>
      <c r="BX597" s="1"/>
      <c r="BY597" s="1"/>
      <c r="BZ597" s="1"/>
      <c r="CA597" s="1"/>
      <c r="CB597" s="1"/>
      <c r="CC597" s="1"/>
      <c r="CD597" s="1"/>
      <c r="CE597" s="1"/>
      <c r="CF597" s="1"/>
      <c r="CG597" s="1"/>
      <c r="CH597" s="1"/>
      <c r="CI597" s="1"/>
    </row>
    <row r="598" spans="1:87"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c r="AU598" s="1"/>
      <c r="AV598" s="1"/>
      <c r="AW598" s="1"/>
      <c r="AX598" s="1"/>
      <c r="AY598" s="1"/>
      <c r="AZ598" s="1"/>
      <c r="BA598" s="1"/>
      <c r="BB598" s="1"/>
      <c r="BC598" s="1"/>
      <c r="BD598" s="1"/>
      <c r="BE598" s="1"/>
      <c r="BF598" s="1"/>
      <c r="BG598" s="1"/>
      <c r="BH598" s="1"/>
      <c r="BI598" s="1"/>
      <c r="BJ598" s="1"/>
      <c r="BK598" s="1"/>
      <c r="BL598" s="1"/>
      <c r="BM598" s="1"/>
      <c r="BN598" s="1"/>
      <c r="BO598" s="1"/>
      <c r="BP598" s="1"/>
      <c r="BQ598" s="1"/>
      <c r="BR598" s="1"/>
      <c r="BS598" s="1"/>
      <c r="BT598" s="1"/>
      <c r="BU598" s="1"/>
      <c r="BV598" s="1"/>
      <c r="BW598" s="1"/>
      <c r="BX598" s="1"/>
      <c r="BY598" s="1"/>
      <c r="BZ598" s="1"/>
      <c r="CA598" s="1"/>
      <c r="CB598" s="1"/>
      <c r="CC598" s="1"/>
      <c r="CD598" s="1"/>
      <c r="CE598" s="1"/>
      <c r="CF598" s="1"/>
      <c r="CG598" s="1"/>
      <c r="CH598" s="1"/>
      <c r="CI598" s="1"/>
    </row>
    <row r="599" spans="1:87"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c r="AU599" s="1"/>
      <c r="AV599" s="1"/>
      <c r="AW599" s="1"/>
      <c r="AX599" s="1"/>
      <c r="AY599" s="1"/>
      <c r="AZ599" s="1"/>
      <c r="BA599" s="1"/>
      <c r="BB599" s="1"/>
      <c r="BC599" s="1"/>
      <c r="BD599" s="1"/>
      <c r="BE599" s="1"/>
      <c r="BF599" s="1"/>
      <c r="BG599" s="1"/>
      <c r="BH599" s="1"/>
      <c r="BI599" s="1"/>
      <c r="BJ599" s="1"/>
      <c r="BK599" s="1"/>
      <c r="BL599" s="1"/>
      <c r="BM599" s="1"/>
      <c r="BN599" s="1"/>
      <c r="BO599" s="1"/>
      <c r="BP599" s="1"/>
      <c r="BQ599" s="1"/>
      <c r="BR599" s="1"/>
      <c r="BS599" s="1"/>
      <c r="BT599" s="1"/>
      <c r="BU599" s="1"/>
      <c r="BV599" s="1"/>
      <c r="BW599" s="1"/>
      <c r="BX599" s="1"/>
      <c r="BY599" s="1"/>
      <c r="BZ599" s="1"/>
      <c r="CA599" s="1"/>
      <c r="CB599" s="1"/>
      <c r="CC599" s="1"/>
      <c r="CD599" s="1"/>
      <c r="CE599" s="1"/>
      <c r="CF599" s="1"/>
      <c r="CG599" s="1"/>
      <c r="CH599" s="1"/>
      <c r="CI599" s="1"/>
    </row>
    <row r="600" spans="1:87"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c r="AV600" s="1"/>
      <c r="AW600" s="1"/>
      <c r="AX600" s="1"/>
      <c r="AY600" s="1"/>
      <c r="AZ600" s="1"/>
      <c r="BA600" s="1"/>
      <c r="BB600" s="1"/>
      <c r="BC600" s="1"/>
      <c r="BD600" s="1"/>
      <c r="BE600" s="1"/>
      <c r="BF600" s="1"/>
      <c r="BG600" s="1"/>
      <c r="BH600" s="1"/>
      <c r="BI600" s="1"/>
      <c r="BJ600" s="1"/>
      <c r="BK600" s="1"/>
      <c r="BL600" s="1"/>
      <c r="BM600" s="1"/>
      <c r="BN600" s="1"/>
      <c r="BO600" s="1"/>
      <c r="BP600" s="1"/>
      <c r="BQ600" s="1"/>
      <c r="BR600" s="1"/>
      <c r="BS600" s="1"/>
      <c r="BT600" s="1"/>
      <c r="BU600" s="1"/>
      <c r="BV600" s="1"/>
      <c r="BW600" s="1"/>
      <c r="BX600" s="1"/>
      <c r="BY600" s="1"/>
      <c r="BZ600" s="1"/>
      <c r="CA600" s="1"/>
      <c r="CB600" s="1"/>
      <c r="CC600" s="1"/>
      <c r="CD600" s="1"/>
      <c r="CE600" s="1"/>
      <c r="CF600" s="1"/>
      <c r="CG600" s="1"/>
      <c r="CH600" s="1"/>
      <c r="CI600" s="1"/>
    </row>
    <row r="601" spans="1:87"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c r="AU601" s="1"/>
      <c r="AV601" s="1"/>
      <c r="AW601" s="1"/>
      <c r="AX601" s="1"/>
      <c r="AY601" s="1"/>
      <c r="AZ601" s="1"/>
      <c r="BA601" s="1"/>
      <c r="BB601" s="1"/>
      <c r="BC601" s="1"/>
      <c r="BD601" s="1"/>
      <c r="BE601" s="1"/>
      <c r="BF601" s="1"/>
      <c r="BG601" s="1"/>
      <c r="BH601" s="1"/>
      <c r="BI601" s="1"/>
      <c r="BJ601" s="1"/>
      <c r="BK601" s="1"/>
      <c r="BL601" s="1"/>
      <c r="BM601" s="1"/>
      <c r="BN601" s="1"/>
      <c r="BO601" s="1"/>
      <c r="BP601" s="1"/>
      <c r="BQ601" s="1"/>
      <c r="BR601" s="1"/>
      <c r="BS601" s="1"/>
      <c r="BT601" s="1"/>
      <c r="BU601" s="1"/>
      <c r="BV601" s="1"/>
      <c r="BW601" s="1"/>
      <c r="BX601" s="1"/>
      <c r="BY601" s="1"/>
      <c r="BZ601" s="1"/>
      <c r="CA601" s="1"/>
      <c r="CB601" s="1"/>
      <c r="CC601" s="1"/>
      <c r="CD601" s="1"/>
      <c r="CE601" s="1"/>
      <c r="CF601" s="1"/>
      <c r="CG601" s="1"/>
      <c r="CH601" s="1"/>
      <c r="CI601" s="1"/>
    </row>
    <row r="602" spans="1:87"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c r="AU602" s="1"/>
      <c r="AV602" s="1"/>
      <c r="AW602" s="1"/>
      <c r="AX602" s="1"/>
      <c r="AY602" s="1"/>
      <c r="AZ602" s="1"/>
      <c r="BA602" s="1"/>
      <c r="BB602" s="1"/>
      <c r="BC602" s="1"/>
      <c r="BD602" s="1"/>
      <c r="BE602" s="1"/>
      <c r="BF602" s="1"/>
      <c r="BG602" s="1"/>
      <c r="BH602" s="1"/>
      <c r="BI602" s="1"/>
      <c r="BJ602" s="1"/>
      <c r="BK602" s="1"/>
      <c r="BL602" s="1"/>
      <c r="BM602" s="1"/>
      <c r="BN602" s="1"/>
      <c r="BO602" s="1"/>
      <c r="BP602" s="1"/>
      <c r="BQ602" s="1"/>
      <c r="BR602" s="1"/>
      <c r="BS602" s="1"/>
      <c r="BT602" s="1"/>
      <c r="BU602" s="1"/>
      <c r="BV602" s="1"/>
      <c r="BW602" s="1"/>
      <c r="BX602" s="1"/>
      <c r="BY602" s="1"/>
      <c r="BZ602" s="1"/>
      <c r="CA602" s="1"/>
      <c r="CB602" s="1"/>
      <c r="CC602" s="1"/>
      <c r="CD602" s="1"/>
      <c r="CE602" s="1"/>
      <c r="CF602" s="1"/>
      <c r="CG602" s="1"/>
      <c r="CH602" s="1"/>
      <c r="CI602" s="1"/>
    </row>
    <row r="603" spans="1:87"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c r="AU603" s="1"/>
      <c r="AV603" s="1"/>
      <c r="AW603" s="1"/>
      <c r="AX603" s="1"/>
      <c r="AY603" s="1"/>
      <c r="AZ603" s="1"/>
      <c r="BA603" s="1"/>
      <c r="BB603" s="1"/>
      <c r="BC603" s="1"/>
      <c r="BD603" s="1"/>
      <c r="BE603" s="1"/>
      <c r="BF603" s="1"/>
      <c r="BG603" s="1"/>
      <c r="BH603" s="1"/>
      <c r="BI603" s="1"/>
      <c r="BJ603" s="1"/>
      <c r="BK603" s="1"/>
      <c r="BL603" s="1"/>
      <c r="BM603" s="1"/>
      <c r="BN603" s="1"/>
      <c r="BO603" s="1"/>
      <c r="BP603" s="1"/>
      <c r="BQ603" s="1"/>
      <c r="BR603" s="1"/>
      <c r="BS603" s="1"/>
      <c r="BT603" s="1"/>
      <c r="BU603" s="1"/>
      <c r="BV603" s="1"/>
      <c r="BW603" s="1"/>
      <c r="BX603" s="1"/>
      <c r="BY603" s="1"/>
      <c r="BZ603" s="1"/>
      <c r="CA603" s="1"/>
      <c r="CB603" s="1"/>
      <c r="CC603" s="1"/>
      <c r="CD603" s="1"/>
      <c r="CE603" s="1"/>
      <c r="CF603" s="1"/>
      <c r="CG603" s="1"/>
      <c r="CH603" s="1"/>
      <c r="CI603" s="1"/>
    </row>
    <row r="604" spans="1:87"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c r="AU604" s="1"/>
      <c r="AV604" s="1"/>
      <c r="AW604" s="1"/>
      <c r="AX604" s="1"/>
      <c r="AY604" s="1"/>
      <c r="AZ604" s="1"/>
      <c r="BA604" s="1"/>
      <c r="BB604" s="1"/>
      <c r="BC604" s="1"/>
      <c r="BD604" s="1"/>
      <c r="BE604" s="1"/>
      <c r="BF604" s="1"/>
      <c r="BG604" s="1"/>
      <c r="BH604" s="1"/>
      <c r="BI604" s="1"/>
      <c r="BJ604" s="1"/>
      <c r="BK604" s="1"/>
      <c r="BL604" s="1"/>
      <c r="BM604" s="1"/>
      <c r="BN604" s="1"/>
      <c r="BO604" s="1"/>
      <c r="BP604" s="1"/>
      <c r="BQ604" s="1"/>
      <c r="BR604" s="1"/>
      <c r="BS604" s="1"/>
      <c r="BT604" s="1"/>
      <c r="BU604" s="1"/>
      <c r="BV604" s="1"/>
      <c r="BW604" s="1"/>
      <c r="BX604" s="1"/>
      <c r="BY604" s="1"/>
      <c r="BZ604" s="1"/>
      <c r="CA604" s="1"/>
      <c r="CB604" s="1"/>
      <c r="CC604" s="1"/>
      <c r="CD604" s="1"/>
      <c r="CE604" s="1"/>
      <c r="CF604" s="1"/>
      <c r="CG604" s="1"/>
      <c r="CH604" s="1"/>
      <c r="CI604" s="1"/>
    </row>
    <row r="605" spans="1:87"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c r="AU605" s="1"/>
      <c r="AV605" s="1"/>
      <c r="AW605" s="1"/>
      <c r="AX605" s="1"/>
      <c r="AY605" s="1"/>
      <c r="AZ605" s="1"/>
      <c r="BA605" s="1"/>
      <c r="BB605" s="1"/>
      <c r="BC605" s="1"/>
      <c r="BD605" s="1"/>
      <c r="BE605" s="1"/>
      <c r="BF605" s="1"/>
      <c r="BG605" s="1"/>
      <c r="BH605" s="1"/>
      <c r="BI605" s="1"/>
      <c r="BJ605" s="1"/>
      <c r="BK605" s="1"/>
      <c r="BL605" s="1"/>
      <c r="BM605" s="1"/>
      <c r="BN605" s="1"/>
      <c r="BO605" s="1"/>
      <c r="BP605" s="1"/>
      <c r="BQ605" s="1"/>
      <c r="BR605" s="1"/>
      <c r="BS605" s="1"/>
      <c r="BT605" s="1"/>
      <c r="BU605" s="1"/>
      <c r="BV605" s="1"/>
      <c r="BW605" s="1"/>
      <c r="BX605" s="1"/>
      <c r="BY605" s="1"/>
      <c r="BZ605" s="1"/>
      <c r="CA605" s="1"/>
      <c r="CB605" s="1"/>
      <c r="CC605" s="1"/>
      <c r="CD605" s="1"/>
      <c r="CE605" s="1"/>
      <c r="CF605" s="1"/>
      <c r="CG605" s="1"/>
      <c r="CH605" s="1"/>
      <c r="CI605" s="1"/>
    </row>
    <row r="606" spans="1:87"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c r="AU606" s="1"/>
      <c r="AV606" s="1"/>
      <c r="AW606" s="1"/>
      <c r="AX606" s="1"/>
      <c r="AY606" s="1"/>
      <c r="AZ606" s="1"/>
      <c r="BA606" s="1"/>
      <c r="BB606" s="1"/>
      <c r="BC606" s="1"/>
      <c r="BD606" s="1"/>
      <c r="BE606" s="1"/>
      <c r="BF606" s="1"/>
      <c r="BG606" s="1"/>
      <c r="BH606" s="1"/>
      <c r="BI606" s="1"/>
      <c r="BJ606" s="1"/>
      <c r="BK606" s="1"/>
      <c r="BL606" s="1"/>
      <c r="BM606" s="1"/>
      <c r="BN606" s="1"/>
      <c r="BO606" s="1"/>
      <c r="BP606" s="1"/>
      <c r="BQ606" s="1"/>
      <c r="BR606" s="1"/>
      <c r="BS606" s="1"/>
      <c r="BT606" s="1"/>
      <c r="BU606" s="1"/>
      <c r="BV606" s="1"/>
      <c r="BW606" s="1"/>
      <c r="BX606" s="1"/>
      <c r="BY606" s="1"/>
      <c r="BZ606" s="1"/>
      <c r="CA606" s="1"/>
      <c r="CB606" s="1"/>
      <c r="CC606" s="1"/>
      <c r="CD606" s="1"/>
      <c r="CE606" s="1"/>
      <c r="CF606" s="1"/>
      <c r="CG606" s="1"/>
      <c r="CH606" s="1"/>
      <c r="CI606" s="1"/>
    </row>
    <row r="607" spans="1:87"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c r="AV607" s="1"/>
      <c r="AW607" s="1"/>
      <c r="AX607" s="1"/>
      <c r="AY607" s="1"/>
      <c r="AZ607" s="1"/>
      <c r="BA607" s="1"/>
      <c r="BB607" s="1"/>
      <c r="BC607" s="1"/>
      <c r="BD607" s="1"/>
      <c r="BE607" s="1"/>
      <c r="BF607" s="1"/>
      <c r="BG607" s="1"/>
      <c r="BH607" s="1"/>
      <c r="BI607" s="1"/>
      <c r="BJ607" s="1"/>
      <c r="BK607" s="1"/>
      <c r="BL607" s="1"/>
      <c r="BM607" s="1"/>
      <c r="BN607" s="1"/>
      <c r="BO607" s="1"/>
      <c r="BP607" s="1"/>
      <c r="BQ607" s="1"/>
      <c r="BR607" s="1"/>
      <c r="BS607" s="1"/>
      <c r="BT607" s="1"/>
      <c r="BU607" s="1"/>
      <c r="BV607" s="1"/>
      <c r="BW607" s="1"/>
      <c r="BX607" s="1"/>
      <c r="BY607" s="1"/>
      <c r="BZ607" s="1"/>
      <c r="CA607" s="1"/>
      <c r="CB607" s="1"/>
      <c r="CC607" s="1"/>
      <c r="CD607" s="1"/>
      <c r="CE607" s="1"/>
      <c r="CF607" s="1"/>
      <c r="CG607" s="1"/>
      <c r="CH607" s="1"/>
      <c r="CI607" s="1"/>
    </row>
    <row r="608" spans="1:87"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c r="AV608" s="1"/>
      <c r="AW608" s="1"/>
      <c r="AX608" s="1"/>
      <c r="AY608" s="1"/>
      <c r="AZ608" s="1"/>
      <c r="BA608" s="1"/>
      <c r="BB608" s="1"/>
      <c r="BC608" s="1"/>
      <c r="BD608" s="1"/>
      <c r="BE608" s="1"/>
      <c r="BF608" s="1"/>
      <c r="BG608" s="1"/>
      <c r="BH608" s="1"/>
      <c r="BI608" s="1"/>
      <c r="BJ608" s="1"/>
      <c r="BK608" s="1"/>
      <c r="BL608" s="1"/>
      <c r="BM608" s="1"/>
      <c r="BN608" s="1"/>
      <c r="BO608" s="1"/>
      <c r="BP608" s="1"/>
      <c r="BQ608" s="1"/>
      <c r="BR608" s="1"/>
      <c r="BS608" s="1"/>
      <c r="BT608" s="1"/>
      <c r="BU608" s="1"/>
      <c r="BV608" s="1"/>
      <c r="BW608" s="1"/>
      <c r="BX608" s="1"/>
      <c r="BY608" s="1"/>
      <c r="BZ608" s="1"/>
      <c r="CA608" s="1"/>
      <c r="CB608" s="1"/>
      <c r="CC608" s="1"/>
      <c r="CD608" s="1"/>
      <c r="CE608" s="1"/>
      <c r="CF608" s="1"/>
      <c r="CG608" s="1"/>
      <c r="CH608" s="1"/>
      <c r="CI608" s="1"/>
    </row>
    <row r="609" spans="1:87"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c r="AU609" s="1"/>
      <c r="AV609" s="1"/>
      <c r="AW609" s="1"/>
      <c r="AX609" s="1"/>
      <c r="AY609" s="1"/>
      <c r="AZ609" s="1"/>
      <c r="BA609" s="1"/>
      <c r="BB609" s="1"/>
      <c r="BC609" s="1"/>
      <c r="BD609" s="1"/>
      <c r="BE609" s="1"/>
      <c r="BF609" s="1"/>
      <c r="BG609" s="1"/>
      <c r="BH609" s="1"/>
      <c r="BI609" s="1"/>
      <c r="BJ609" s="1"/>
      <c r="BK609" s="1"/>
      <c r="BL609" s="1"/>
      <c r="BM609" s="1"/>
      <c r="BN609" s="1"/>
      <c r="BO609" s="1"/>
      <c r="BP609" s="1"/>
      <c r="BQ609" s="1"/>
      <c r="BR609" s="1"/>
      <c r="BS609" s="1"/>
      <c r="BT609" s="1"/>
      <c r="BU609" s="1"/>
      <c r="BV609" s="1"/>
      <c r="BW609" s="1"/>
      <c r="BX609" s="1"/>
      <c r="BY609" s="1"/>
      <c r="BZ609" s="1"/>
      <c r="CA609" s="1"/>
      <c r="CB609" s="1"/>
      <c r="CC609" s="1"/>
      <c r="CD609" s="1"/>
      <c r="CE609" s="1"/>
      <c r="CF609" s="1"/>
      <c r="CG609" s="1"/>
      <c r="CH609" s="1"/>
      <c r="CI609" s="1"/>
    </row>
    <row r="610" spans="1:87"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c r="AU610" s="1"/>
      <c r="AV610" s="1"/>
      <c r="AW610" s="1"/>
      <c r="AX610" s="1"/>
      <c r="AY610" s="1"/>
      <c r="AZ610" s="1"/>
      <c r="BA610" s="1"/>
      <c r="BB610" s="1"/>
      <c r="BC610" s="1"/>
      <c r="BD610" s="1"/>
      <c r="BE610" s="1"/>
      <c r="BF610" s="1"/>
      <c r="BG610" s="1"/>
      <c r="BH610" s="1"/>
      <c r="BI610" s="1"/>
      <c r="BJ610" s="1"/>
      <c r="BK610" s="1"/>
      <c r="BL610" s="1"/>
      <c r="BM610" s="1"/>
      <c r="BN610" s="1"/>
      <c r="BO610" s="1"/>
      <c r="BP610" s="1"/>
      <c r="BQ610" s="1"/>
      <c r="BR610" s="1"/>
      <c r="BS610" s="1"/>
      <c r="BT610" s="1"/>
      <c r="BU610" s="1"/>
      <c r="BV610" s="1"/>
      <c r="BW610" s="1"/>
      <c r="BX610" s="1"/>
      <c r="BY610" s="1"/>
      <c r="BZ610" s="1"/>
      <c r="CA610" s="1"/>
      <c r="CB610" s="1"/>
      <c r="CC610" s="1"/>
      <c r="CD610" s="1"/>
      <c r="CE610" s="1"/>
      <c r="CF610" s="1"/>
      <c r="CG610" s="1"/>
      <c r="CH610" s="1"/>
      <c r="CI610" s="1"/>
    </row>
    <row r="611" spans="1:87"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c r="AU611" s="1"/>
      <c r="AV611" s="1"/>
      <c r="AW611" s="1"/>
      <c r="AX611" s="1"/>
      <c r="AY611" s="1"/>
      <c r="AZ611" s="1"/>
      <c r="BA611" s="1"/>
      <c r="BB611" s="1"/>
      <c r="BC611" s="1"/>
      <c r="BD611" s="1"/>
      <c r="BE611" s="1"/>
      <c r="BF611" s="1"/>
      <c r="BG611" s="1"/>
      <c r="BH611" s="1"/>
      <c r="BI611" s="1"/>
      <c r="BJ611" s="1"/>
      <c r="BK611" s="1"/>
      <c r="BL611" s="1"/>
      <c r="BM611" s="1"/>
      <c r="BN611" s="1"/>
      <c r="BO611" s="1"/>
      <c r="BP611" s="1"/>
      <c r="BQ611" s="1"/>
      <c r="BR611" s="1"/>
      <c r="BS611" s="1"/>
      <c r="BT611" s="1"/>
      <c r="BU611" s="1"/>
      <c r="BV611" s="1"/>
      <c r="BW611" s="1"/>
      <c r="BX611" s="1"/>
      <c r="BY611" s="1"/>
      <c r="BZ611" s="1"/>
      <c r="CA611" s="1"/>
      <c r="CB611" s="1"/>
      <c r="CC611" s="1"/>
      <c r="CD611" s="1"/>
      <c r="CE611" s="1"/>
      <c r="CF611" s="1"/>
      <c r="CG611" s="1"/>
      <c r="CH611" s="1"/>
      <c r="CI611" s="1"/>
    </row>
    <row r="612" spans="1:87"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c r="AU612" s="1"/>
      <c r="AV612" s="1"/>
      <c r="AW612" s="1"/>
      <c r="AX612" s="1"/>
      <c r="AY612" s="1"/>
      <c r="AZ612" s="1"/>
      <c r="BA612" s="1"/>
      <c r="BB612" s="1"/>
      <c r="BC612" s="1"/>
      <c r="BD612" s="1"/>
      <c r="BE612" s="1"/>
      <c r="BF612" s="1"/>
      <c r="BG612" s="1"/>
      <c r="BH612" s="1"/>
      <c r="BI612" s="1"/>
      <c r="BJ612" s="1"/>
      <c r="BK612" s="1"/>
      <c r="BL612" s="1"/>
      <c r="BM612" s="1"/>
      <c r="BN612" s="1"/>
      <c r="BO612" s="1"/>
      <c r="BP612" s="1"/>
      <c r="BQ612" s="1"/>
      <c r="BR612" s="1"/>
      <c r="BS612" s="1"/>
      <c r="BT612" s="1"/>
      <c r="BU612" s="1"/>
      <c r="BV612" s="1"/>
      <c r="BW612" s="1"/>
      <c r="BX612" s="1"/>
      <c r="BY612" s="1"/>
      <c r="BZ612" s="1"/>
      <c r="CA612" s="1"/>
      <c r="CB612" s="1"/>
      <c r="CC612" s="1"/>
      <c r="CD612" s="1"/>
      <c r="CE612" s="1"/>
      <c r="CF612" s="1"/>
      <c r="CG612" s="1"/>
      <c r="CH612" s="1"/>
      <c r="CI612" s="1"/>
    </row>
    <row r="613" spans="1:87"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c r="AU613" s="1"/>
      <c r="AV613" s="1"/>
      <c r="AW613" s="1"/>
      <c r="AX613" s="1"/>
      <c r="AY613" s="1"/>
      <c r="AZ613" s="1"/>
      <c r="BA613" s="1"/>
      <c r="BB613" s="1"/>
      <c r="BC613" s="1"/>
      <c r="BD613" s="1"/>
      <c r="BE613" s="1"/>
      <c r="BF613" s="1"/>
      <c r="BG613" s="1"/>
      <c r="BH613" s="1"/>
      <c r="BI613" s="1"/>
      <c r="BJ613" s="1"/>
      <c r="BK613" s="1"/>
      <c r="BL613" s="1"/>
      <c r="BM613" s="1"/>
      <c r="BN613" s="1"/>
      <c r="BO613" s="1"/>
      <c r="BP613" s="1"/>
      <c r="BQ613" s="1"/>
      <c r="BR613" s="1"/>
      <c r="BS613" s="1"/>
      <c r="BT613" s="1"/>
      <c r="BU613" s="1"/>
      <c r="BV613" s="1"/>
      <c r="BW613" s="1"/>
      <c r="BX613" s="1"/>
      <c r="BY613" s="1"/>
      <c r="BZ613" s="1"/>
      <c r="CA613" s="1"/>
      <c r="CB613" s="1"/>
      <c r="CC613" s="1"/>
      <c r="CD613" s="1"/>
      <c r="CE613" s="1"/>
      <c r="CF613" s="1"/>
      <c r="CG613" s="1"/>
      <c r="CH613" s="1"/>
      <c r="CI613" s="1"/>
    </row>
    <row r="614" spans="1:87"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c r="AU614" s="1"/>
      <c r="AV614" s="1"/>
      <c r="AW614" s="1"/>
      <c r="AX614" s="1"/>
      <c r="AY614" s="1"/>
      <c r="AZ614" s="1"/>
      <c r="BA614" s="1"/>
      <c r="BB614" s="1"/>
      <c r="BC614" s="1"/>
      <c r="BD614" s="1"/>
      <c r="BE614" s="1"/>
      <c r="BF614" s="1"/>
      <c r="BG614" s="1"/>
      <c r="BH614" s="1"/>
      <c r="BI614" s="1"/>
      <c r="BJ614" s="1"/>
      <c r="BK614" s="1"/>
      <c r="BL614" s="1"/>
      <c r="BM614" s="1"/>
      <c r="BN614" s="1"/>
      <c r="BO614" s="1"/>
      <c r="BP614" s="1"/>
      <c r="BQ614" s="1"/>
      <c r="BR614" s="1"/>
      <c r="BS614" s="1"/>
      <c r="BT614" s="1"/>
      <c r="BU614" s="1"/>
      <c r="BV614" s="1"/>
      <c r="BW614" s="1"/>
      <c r="BX614" s="1"/>
      <c r="BY614" s="1"/>
      <c r="BZ614" s="1"/>
      <c r="CA614" s="1"/>
      <c r="CB614" s="1"/>
      <c r="CC614" s="1"/>
      <c r="CD614" s="1"/>
      <c r="CE614" s="1"/>
      <c r="CF614" s="1"/>
      <c r="CG614" s="1"/>
      <c r="CH614" s="1"/>
      <c r="CI614" s="1"/>
    </row>
    <row r="615" spans="1:87"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c r="AU615" s="1"/>
      <c r="AV615" s="1"/>
      <c r="AW615" s="1"/>
      <c r="AX615" s="1"/>
      <c r="AY615" s="1"/>
      <c r="AZ615" s="1"/>
      <c r="BA615" s="1"/>
      <c r="BB615" s="1"/>
      <c r="BC615" s="1"/>
      <c r="BD615" s="1"/>
      <c r="BE615" s="1"/>
      <c r="BF615" s="1"/>
      <c r="BG615" s="1"/>
      <c r="BH615" s="1"/>
      <c r="BI615" s="1"/>
      <c r="BJ615" s="1"/>
      <c r="BK615" s="1"/>
      <c r="BL615" s="1"/>
      <c r="BM615" s="1"/>
      <c r="BN615" s="1"/>
      <c r="BO615" s="1"/>
      <c r="BP615" s="1"/>
      <c r="BQ615" s="1"/>
      <c r="BR615" s="1"/>
      <c r="BS615" s="1"/>
      <c r="BT615" s="1"/>
      <c r="BU615" s="1"/>
      <c r="BV615" s="1"/>
      <c r="BW615" s="1"/>
      <c r="BX615" s="1"/>
      <c r="BY615" s="1"/>
      <c r="BZ615" s="1"/>
      <c r="CA615" s="1"/>
      <c r="CB615" s="1"/>
      <c r="CC615" s="1"/>
      <c r="CD615" s="1"/>
      <c r="CE615" s="1"/>
      <c r="CF615" s="1"/>
      <c r="CG615" s="1"/>
      <c r="CH615" s="1"/>
      <c r="CI615" s="1"/>
    </row>
    <row r="616" spans="1:87"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c r="AU616" s="1"/>
      <c r="AV616" s="1"/>
      <c r="AW616" s="1"/>
      <c r="AX616" s="1"/>
      <c r="AY616" s="1"/>
      <c r="AZ616" s="1"/>
      <c r="BA616" s="1"/>
      <c r="BB616" s="1"/>
      <c r="BC616" s="1"/>
      <c r="BD616" s="1"/>
      <c r="BE616" s="1"/>
      <c r="BF616" s="1"/>
      <c r="BG616" s="1"/>
      <c r="BH616" s="1"/>
      <c r="BI616" s="1"/>
      <c r="BJ616" s="1"/>
      <c r="BK616" s="1"/>
      <c r="BL616" s="1"/>
      <c r="BM616" s="1"/>
      <c r="BN616" s="1"/>
      <c r="BO616" s="1"/>
      <c r="BP616" s="1"/>
      <c r="BQ616" s="1"/>
      <c r="BR616" s="1"/>
      <c r="BS616" s="1"/>
      <c r="BT616" s="1"/>
      <c r="BU616" s="1"/>
      <c r="BV616" s="1"/>
      <c r="BW616" s="1"/>
      <c r="BX616" s="1"/>
      <c r="BY616" s="1"/>
      <c r="BZ616" s="1"/>
      <c r="CA616" s="1"/>
      <c r="CB616" s="1"/>
      <c r="CC616" s="1"/>
      <c r="CD616" s="1"/>
      <c r="CE616" s="1"/>
      <c r="CF616" s="1"/>
      <c r="CG616" s="1"/>
      <c r="CH616" s="1"/>
      <c r="CI616" s="1"/>
    </row>
    <row r="617" spans="1:87"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c r="AU617" s="1"/>
      <c r="AV617" s="1"/>
      <c r="AW617" s="1"/>
      <c r="AX617" s="1"/>
      <c r="AY617" s="1"/>
      <c r="AZ617" s="1"/>
      <c r="BA617" s="1"/>
      <c r="BB617" s="1"/>
      <c r="BC617" s="1"/>
      <c r="BD617" s="1"/>
      <c r="BE617" s="1"/>
      <c r="BF617" s="1"/>
      <c r="BG617" s="1"/>
      <c r="BH617" s="1"/>
      <c r="BI617" s="1"/>
      <c r="BJ617" s="1"/>
      <c r="BK617" s="1"/>
      <c r="BL617" s="1"/>
      <c r="BM617" s="1"/>
      <c r="BN617" s="1"/>
      <c r="BO617" s="1"/>
      <c r="BP617" s="1"/>
      <c r="BQ617" s="1"/>
      <c r="BR617" s="1"/>
      <c r="BS617" s="1"/>
      <c r="BT617" s="1"/>
      <c r="BU617" s="1"/>
      <c r="BV617" s="1"/>
      <c r="BW617" s="1"/>
      <c r="BX617" s="1"/>
      <c r="BY617" s="1"/>
      <c r="BZ617" s="1"/>
      <c r="CA617" s="1"/>
      <c r="CB617" s="1"/>
      <c r="CC617" s="1"/>
      <c r="CD617" s="1"/>
      <c r="CE617" s="1"/>
      <c r="CF617" s="1"/>
      <c r="CG617" s="1"/>
      <c r="CH617" s="1"/>
      <c r="CI617" s="1"/>
    </row>
    <row r="618" spans="1:87"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c r="AU618" s="1"/>
      <c r="AV618" s="1"/>
      <c r="AW618" s="1"/>
      <c r="AX618" s="1"/>
      <c r="AY618" s="1"/>
      <c r="AZ618" s="1"/>
      <c r="BA618" s="1"/>
      <c r="BB618" s="1"/>
      <c r="BC618" s="1"/>
      <c r="BD618" s="1"/>
      <c r="BE618" s="1"/>
      <c r="BF618" s="1"/>
      <c r="BG618" s="1"/>
      <c r="BH618" s="1"/>
      <c r="BI618" s="1"/>
      <c r="BJ618" s="1"/>
      <c r="BK618" s="1"/>
      <c r="BL618" s="1"/>
      <c r="BM618" s="1"/>
      <c r="BN618" s="1"/>
      <c r="BO618" s="1"/>
      <c r="BP618" s="1"/>
      <c r="BQ618" s="1"/>
      <c r="BR618" s="1"/>
      <c r="BS618" s="1"/>
      <c r="BT618" s="1"/>
      <c r="BU618" s="1"/>
      <c r="BV618" s="1"/>
      <c r="BW618" s="1"/>
      <c r="BX618" s="1"/>
      <c r="BY618" s="1"/>
      <c r="BZ618" s="1"/>
      <c r="CA618" s="1"/>
      <c r="CB618" s="1"/>
      <c r="CC618" s="1"/>
      <c r="CD618" s="1"/>
      <c r="CE618" s="1"/>
      <c r="CF618" s="1"/>
      <c r="CG618" s="1"/>
      <c r="CH618" s="1"/>
      <c r="CI618" s="1"/>
    </row>
    <row r="619" spans="1:87"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c r="AU619" s="1"/>
      <c r="AV619" s="1"/>
      <c r="AW619" s="1"/>
      <c r="AX619" s="1"/>
      <c r="AY619" s="1"/>
      <c r="AZ619" s="1"/>
      <c r="BA619" s="1"/>
      <c r="BB619" s="1"/>
      <c r="BC619" s="1"/>
      <c r="BD619" s="1"/>
      <c r="BE619" s="1"/>
      <c r="BF619" s="1"/>
      <c r="BG619" s="1"/>
      <c r="BH619" s="1"/>
      <c r="BI619" s="1"/>
      <c r="BJ619" s="1"/>
      <c r="BK619" s="1"/>
      <c r="BL619" s="1"/>
      <c r="BM619" s="1"/>
      <c r="BN619" s="1"/>
      <c r="BO619" s="1"/>
      <c r="BP619" s="1"/>
      <c r="BQ619" s="1"/>
      <c r="BR619" s="1"/>
      <c r="BS619" s="1"/>
      <c r="BT619" s="1"/>
      <c r="BU619" s="1"/>
      <c r="BV619" s="1"/>
      <c r="BW619" s="1"/>
      <c r="BX619" s="1"/>
      <c r="BY619" s="1"/>
      <c r="BZ619" s="1"/>
      <c r="CA619" s="1"/>
      <c r="CB619" s="1"/>
      <c r="CC619" s="1"/>
      <c r="CD619" s="1"/>
      <c r="CE619" s="1"/>
      <c r="CF619" s="1"/>
      <c r="CG619" s="1"/>
      <c r="CH619" s="1"/>
      <c r="CI619" s="1"/>
    </row>
    <row r="620" spans="1:87"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c r="AU620" s="1"/>
      <c r="AV620" s="1"/>
      <c r="AW620" s="1"/>
      <c r="AX620" s="1"/>
      <c r="AY620" s="1"/>
      <c r="AZ620" s="1"/>
      <c r="BA620" s="1"/>
      <c r="BB620" s="1"/>
      <c r="BC620" s="1"/>
      <c r="BD620" s="1"/>
      <c r="BE620" s="1"/>
      <c r="BF620" s="1"/>
      <c r="BG620" s="1"/>
      <c r="BH620" s="1"/>
      <c r="BI620" s="1"/>
      <c r="BJ620" s="1"/>
      <c r="BK620" s="1"/>
      <c r="BL620" s="1"/>
      <c r="BM620" s="1"/>
      <c r="BN620" s="1"/>
      <c r="BO620" s="1"/>
      <c r="BP620" s="1"/>
      <c r="BQ620" s="1"/>
      <c r="BR620" s="1"/>
      <c r="BS620" s="1"/>
      <c r="BT620" s="1"/>
      <c r="BU620" s="1"/>
      <c r="BV620" s="1"/>
      <c r="BW620" s="1"/>
      <c r="BX620" s="1"/>
      <c r="BY620" s="1"/>
      <c r="BZ620" s="1"/>
      <c r="CA620" s="1"/>
      <c r="CB620" s="1"/>
      <c r="CC620" s="1"/>
      <c r="CD620" s="1"/>
      <c r="CE620" s="1"/>
      <c r="CF620" s="1"/>
      <c r="CG620" s="1"/>
      <c r="CH620" s="1"/>
      <c r="CI620" s="1"/>
    </row>
    <row r="621" spans="1:87"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c r="AU621" s="1"/>
      <c r="AV621" s="1"/>
      <c r="AW621" s="1"/>
      <c r="AX621" s="1"/>
      <c r="AY621" s="1"/>
      <c r="AZ621" s="1"/>
      <c r="BA621" s="1"/>
      <c r="BB621" s="1"/>
      <c r="BC621" s="1"/>
      <c r="BD621" s="1"/>
      <c r="BE621" s="1"/>
      <c r="BF621" s="1"/>
      <c r="BG621" s="1"/>
      <c r="BH621" s="1"/>
      <c r="BI621" s="1"/>
      <c r="BJ621" s="1"/>
      <c r="BK621" s="1"/>
      <c r="BL621" s="1"/>
      <c r="BM621" s="1"/>
      <c r="BN621" s="1"/>
      <c r="BO621" s="1"/>
      <c r="BP621" s="1"/>
      <c r="BQ621" s="1"/>
      <c r="BR621" s="1"/>
      <c r="BS621" s="1"/>
      <c r="BT621" s="1"/>
      <c r="BU621" s="1"/>
      <c r="BV621" s="1"/>
      <c r="BW621" s="1"/>
      <c r="BX621" s="1"/>
      <c r="BY621" s="1"/>
      <c r="BZ621" s="1"/>
      <c r="CA621" s="1"/>
      <c r="CB621" s="1"/>
      <c r="CC621" s="1"/>
      <c r="CD621" s="1"/>
      <c r="CE621" s="1"/>
      <c r="CF621" s="1"/>
      <c r="CG621" s="1"/>
      <c r="CH621" s="1"/>
      <c r="CI621" s="1"/>
    </row>
    <row r="622" spans="1:87"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c r="AU622" s="1"/>
      <c r="AV622" s="1"/>
      <c r="AW622" s="1"/>
      <c r="AX622" s="1"/>
      <c r="AY622" s="1"/>
      <c r="AZ622" s="1"/>
      <c r="BA622" s="1"/>
      <c r="BB622" s="1"/>
      <c r="BC622" s="1"/>
      <c r="BD622" s="1"/>
      <c r="BE622" s="1"/>
      <c r="BF622" s="1"/>
      <c r="BG622" s="1"/>
      <c r="BH622" s="1"/>
      <c r="BI622" s="1"/>
      <c r="BJ622" s="1"/>
      <c r="BK622" s="1"/>
      <c r="BL622" s="1"/>
      <c r="BM622" s="1"/>
      <c r="BN622" s="1"/>
      <c r="BO622" s="1"/>
      <c r="BP622" s="1"/>
      <c r="BQ622" s="1"/>
      <c r="BR622" s="1"/>
      <c r="BS622" s="1"/>
      <c r="BT622" s="1"/>
      <c r="BU622" s="1"/>
      <c r="BV622" s="1"/>
      <c r="BW622" s="1"/>
      <c r="BX622" s="1"/>
      <c r="BY622" s="1"/>
      <c r="BZ622" s="1"/>
      <c r="CA622" s="1"/>
      <c r="CB622" s="1"/>
      <c r="CC622" s="1"/>
      <c r="CD622" s="1"/>
      <c r="CE622" s="1"/>
      <c r="CF622" s="1"/>
      <c r="CG622" s="1"/>
      <c r="CH622" s="1"/>
      <c r="CI622" s="1"/>
    </row>
    <row r="623" spans="1:87"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c r="AU623" s="1"/>
      <c r="AV623" s="1"/>
      <c r="AW623" s="1"/>
      <c r="AX623" s="1"/>
      <c r="AY623" s="1"/>
      <c r="AZ623" s="1"/>
      <c r="BA623" s="1"/>
      <c r="BB623" s="1"/>
      <c r="BC623" s="1"/>
      <c r="BD623" s="1"/>
      <c r="BE623" s="1"/>
      <c r="BF623" s="1"/>
      <c r="BG623" s="1"/>
      <c r="BH623" s="1"/>
      <c r="BI623" s="1"/>
      <c r="BJ623" s="1"/>
      <c r="BK623" s="1"/>
      <c r="BL623" s="1"/>
      <c r="BM623" s="1"/>
      <c r="BN623" s="1"/>
      <c r="BO623" s="1"/>
      <c r="BP623" s="1"/>
      <c r="BQ623" s="1"/>
      <c r="BR623" s="1"/>
      <c r="BS623" s="1"/>
      <c r="BT623" s="1"/>
      <c r="BU623" s="1"/>
      <c r="BV623" s="1"/>
      <c r="BW623" s="1"/>
      <c r="BX623" s="1"/>
      <c r="BY623" s="1"/>
      <c r="BZ623" s="1"/>
      <c r="CA623" s="1"/>
      <c r="CB623" s="1"/>
      <c r="CC623" s="1"/>
      <c r="CD623" s="1"/>
      <c r="CE623" s="1"/>
      <c r="CF623" s="1"/>
      <c r="CG623" s="1"/>
      <c r="CH623" s="1"/>
      <c r="CI623" s="1"/>
    </row>
    <row r="624" spans="1:87"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c r="AV624" s="1"/>
      <c r="AW624" s="1"/>
      <c r="AX624" s="1"/>
      <c r="AY624" s="1"/>
      <c r="AZ624" s="1"/>
      <c r="BA624" s="1"/>
      <c r="BB624" s="1"/>
      <c r="BC624" s="1"/>
      <c r="BD624" s="1"/>
      <c r="BE624" s="1"/>
      <c r="BF624" s="1"/>
      <c r="BG624" s="1"/>
      <c r="BH624" s="1"/>
      <c r="BI624" s="1"/>
      <c r="BJ624" s="1"/>
      <c r="BK624" s="1"/>
      <c r="BL624" s="1"/>
      <c r="BM624" s="1"/>
      <c r="BN624" s="1"/>
      <c r="BO624" s="1"/>
      <c r="BP624" s="1"/>
      <c r="BQ624" s="1"/>
      <c r="BR624" s="1"/>
      <c r="BS624" s="1"/>
      <c r="BT624" s="1"/>
      <c r="BU624" s="1"/>
      <c r="BV624" s="1"/>
      <c r="BW624" s="1"/>
      <c r="BX624" s="1"/>
      <c r="BY624" s="1"/>
      <c r="BZ624" s="1"/>
      <c r="CA624" s="1"/>
      <c r="CB624" s="1"/>
      <c r="CC624" s="1"/>
      <c r="CD624" s="1"/>
      <c r="CE624" s="1"/>
      <c r="CF624" s="1"/>
      <c r="CG624" s="1"/>
      <c r="CH624" s="1"/>
      <c r="CI624" s="1"/>
    </row>
    <row r="625" spans="1:87"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c r="AV625" s="1"/>
      <c r="AW625" s="1"/>
      <c r="AX625" s="1"/>
      <c r="AY625" s="1"/>
      <c r="AZ625" s="1"/>
      <c r="BA625" s="1"/>
      <c r="BB625" s="1"/>
      <c r="BC625" s="1"/>
      <c r="BD625" s="1"/>
      <c r="BE625" s="1"/>
      <c r="BF625" s="1"/>
      <c r="BG625" s="1"/>
      <c r="BH625" s="1"/>
      <c r="BI625" s="1"/>
      <c r="BJ625" s="1"/>
      <c r="BK625" s="1"/>
      <c r="BL625" s="1"/>
      <c r="BM625" s="1"/>
      <c r="BN625" s="1"/>
      <c r="BO625" s="1"/>
      <c r="BP625" s="1"/>
      <c r="BQ625" s="1"/>
      <c r="BR625" s="1"/>
      <c r="BS625" s="1"/>
      <c r="BT625" s="1"/>
      <c r="BU625" s="1"/>
      <c r="BV625" s="1"/>
      <c r="BW625" s="1"/>
      <c r="BX625" s="1"/>
      <c r="BY625" s="1"/>
      <c r="BZ625" s="1"/>
      <c r="CA625" s="1"/>
      <c r="CB625" s="1"/>
      <c r="CC625" s="1"/>
      <c r="CD625" s="1"/>
      <c r="CE625" s="1"/>
      <c r="CF625" s="1"/>
      <c r="CG625" s="1"/>
      <c r="CH625" s="1"/>
      <c r="CI625" s="1"/>
    </row>
    <row r="626" spans="1:87"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c r="AU626" s="1"/>
      <c r="AV626" s="1"/>
      <c r="AW626" s="1"/>
      <c r="AX626" s="1"/>
      <c r="AY626" s="1"/>
      <c r="AZ626" s="1"/>
      <c r="BA626" s="1"/>
      <c r="BB626" s="1"/>
      <c r="BC626" s="1"/>
      <c r="BD626" s="1"/>
      <c r="BE626" s="1"/>
      <c r="BF626" s="1"/>
      <c r="BG626" s="1"/>
      <c r="BH626" s="1"/>
      <c r="BI626" s="1"/>
      <c r="BJ626" s="1"/>
      <c r="BK626" s="1"/>
      <c r="BL626" s="1"/>
      <c r="BM626" s="1"/>
      <c r="BN626" s="1"/>
      <c r="BO626" s="1"/>
      <c r="BP626" s="1"/>
      <c r="BQ626" s="1"/>
      <c r="BR626" s="1"/>
      <c r="BS626" s="1"/>
      <c r="BT626" s="1"/>
      <c r="BU626" s="1"/>
      <c r="BV626" s="1"/>
      <c r="BW626" s="1"/>
      <c r="BX626" s="1"/>
      <c r="BY626" s="1"/>
      <c r="BZ626" s="1"/>
      <c r="CA626" s="1"/>
      <c r="CB626" s="1"/>
      <c r="CC626" s="1"/>
      <c r="CD626" s="1"/>
      <c r="CE626" s="1"/>
      <c r="CF626" s="1"/>
      <c r="CG626" s="1"/>
      <c r="CH626" s="1"/>
      <c r="CI626" s="1"/>
    </row>
    <row r="627" spans="1:87"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c r="BP627" s="1"/>
      <c r="BQ627" s="1"/>
      <c r="BR627" s="1"/>
      <c r="BS627" s="1"/>
      <c r="BT627" s="1"/>
      <c r="BU627" s="1"/>
      <c r="BV627" s="1"/>
      <c r="BW627" s="1"/>
      <c r="BX627" s="1"/>
      <c r="BY627" s="1"/>
      <c r="BZ627" s="1"/>
      <c r="CA627" s="1"/>
      <c r="CB627" s="1"/>
      <c r="CC627" s="1"/>
      <c r="CD627" s="1"/>
      <c r="CE627" s="1"/>
      <c r="CF627" s="1"/>
      <c r="CG627" s="1"/>
      <c r="CH627" s="1"/>
      <c r="CI627" s="1"/>
    </row>
    <row r="628" spans="1:87"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c r="BP628" s="1"/>
      <c r="BQ628" s="1"/>
      <c r="BR628" s="1"/>
      <c r="BS628" s="1"/>
      <c r="BT628" s="1"/>
      <c r="BU628" s="1"/>
      <c r="BV628" s="1"/>
      <c r="BW628" s="1"/>
      <c r="BX628" s="1"/>
      <c r="BY628" s="1"/>
      <c r="BZ628" s="1"/>
      <c r="CA628" s="1"/>
      <c r="CB628" s="1"/>
      <c r="CC628" s="1"/>
      <c r="CD628" s="1"/>
      <c r="CE628" s="1"/>
      <c r="CF628" s="1"/>
      <c r="CG628" s="1"/>
      <c r="CH628" s="1"/>
      <c r="CI628" s="1"/>
    </row>
    <row r="629" spans="1:87"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c r="BP629" s="1"/>
      <c r="BQ629" s="1"/>
      <c r="BR629" s="1"/>
      <c r="BS629" s="1"/>
      <c r="BT629" s="1"/>
      <c r="BU629" s="1"/>
      <c r="BV629" s="1"/>
      <c r="BW629" s="1"/>
      <c r="BX629" s="1"/>
      <c r="BY629" s="1"/>
      <c r="BZ629" s="1"/>
      <c r="CA629" s="1"/>
      <c r="CB629" s="1"/>
      <c r="CC629" s="1"/>
      <c r="CD629" s="1"/>
      <c r="CE629" s="1"/>
      <c r="CF629" s="1"/>
      <c r="CG629" s="1"/>
      <c r="CH629" s="1"/>
      <c r="CI629" s="1"/>
    </row>
    <row r="630" spans="1:87"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c r="BP630" s="1"/>
      <c r="BQ630" s="1"/>
      <c r="BR630" s="1"/>
      <c r="BS630" s="1"/>
      <c r="BT630" s="1"/>
      <c r="BU630" s="1"/>
      <c r="BV630" s="1"/>
      <c r="BW630" s="1"/>
      <c r="BX630" s="1"/>
      <c r="BY630" s="1"/>
      <c r="BZ630" s="1"/>
      <c r="CA630" s="1"/>
      <c r="CB630" s="1"/>
      <c r="CC630" s="1"/>
      <c r="CD630" s="1"/>
      <c r="CE630" s="1"/>
      <c r="CF630" s="1"/>
      <c r="CG630" s="1"/>
      <c r="CH630" s="1"/>
      <c r="CI630" s="1"/>
    </row>
    <row r="631" spans="1:87"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c r="BP631" s="1"/>
      <c r="BQ631" s="1"/>
      <c r="BR631" s="1"/>
      <c r="BS631" s="1"/>
      <c r="BT631" s="1"/>
      <c r="BU631" s="1"/>
      <c r="BV631" s="1"/>
      <c r="BW631" s="1"/>
      <c r="BX631" s="1"/>
      <c r="BY631" s="1"/>
      <c r="BZ631" s="1"/>
      <c r="CA631" s="1"/>
      <c r="CB631" s="1"/>
      <c r="CC631" s="1"/>
      <c r="CD631" s="1"/>
      <c r="CE631" s="1"/>
      <c r="CF631" s="1"/>
      <c r="CG631" s="1"/>
      <c r="CH631" s="1"/>
      <c r="CI631" s="1"/>
    </row>
    <row r="632" spans="1:87"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c r="BP632" s="1"/>
      <c r="BQ632" s="1"/>
      <c r="BR632" s="1"/>
      <c r="BS632" s="1"/>
      <c r="BT632" s="1"/>
      <c r="BU632" s="1"/>
      <c r="BV632" s="1"/>
      <c r="BW632" s="1"/>
      <c r="BX632" s="1"/>
      <c r="BY632" s="1"/>
      <c r="BZ632" s="1"/>
      <c r="CA632" s="1"/>
      <c r="CB632" s="1"/>
      <c r="CC632" s="1"/>
      <c r="CD632" s="1"/>
      <c r="CE632" s="1"/>
      <c r="CF632" s="1"/>
      <c r="CG632" s="1"/>
      <c r="CH632" s="1"/>
      <c r="CI632" s="1"/>
    </row>
    <row r="633" spans="1:87"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c r="BP633" s="1"/>
      <c r="BQ633" s="1"/>
      <c r="BR633" s="1"/>
      <c r="BS633" s="1"/>
      <c r="BT633" s="1"/>
      <c r="BU633" s="1"/>
      <c r="BV633" s="1"/>
      <c r="BW633" s="1"/>
      <c r="BX633" s="1"/>
      <c r="BY633" s="1"/>
      <c r="BZ633" s="1"/>
      <c r="CA633" s="1"/>
      <c r="CB633" s="1"/>
      <c r="CC633" s="1"/>
      <c r="CD633" s="1"/>
      <c r="CE633" s="1"/>
      <c r="CF633" s="1"/>
      <c r="CG633" s="1"/>
      <c r="CH633" s="1"/>
      <c r="CI633" s="1"/>
    </row>
    <row r="634" spans="1:87"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c r="BP634" s="1"/>
      <c r="BQ634" s="1"/>
      <c r="BR634" s="1"/>
      <c r="BS634" s="1"/>
      <c r="BT634" s="1"/>
      <c r="BU634" s="1"/>
      <c r="BV634" s="1"/>
      <c r="BW634" s="1"/>
      <c r="BX634" s="1"/>
      <c r="BY634" s="1"/>
      <c r="BZ634" s="1"/>
      <c r="CA634" s="1"/>
      <c r="CB634" s="1"/>
      <c r="CC634" s="1"/>
      <c r="CD634" s="1"/>
      <c r="CE634" s="1"/>
      <c r="CF634" s="1"/>
      <c r="CG634" s="1"/>
      <c r="CH634" s="1"/>
      <c r="CI634" s="1"/>
    </row>
    <row r="635" spans="1:87"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c r="BP635" s="1"/>
      <c r="BQ635" s="1"/>
      <c r="BR635" s="1"/>
      <c r="BS635" s="1"/>
      <c r="BT635" s="1"/>
      <c r="BU635" s="1"/>
      <c r="BV635" s="1"/>
      <c r="BW635" s="1"/>
      <c r="BX635" s="1"/>
      <c r="BY635" s="1"/>
      <c r="BZ635" s="1"/>
      <c r="CA635" s="1"/>
      <c r="CB635" s="1"/>
      <c r="CC635" s="1"/>
      <c r="CD635" s="1"/>
      <c r="CE635" s="1"/>
      <c r="CF635" s="1"/>
      <c r="CG635" s="1"/>
      <c r="CH635" s="1"/>
      <c r="CI635" s="1"/>
    </row>
    <row r="636" spans="1:87"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c r="BP636" s="1"/>
      <c r="BQ636" s="1"/>
      <c r="BR636" s="1"/>
      <c r="BS636" s="1"/>
      <c r="BT636" s="1"/>
      <c r="BU636" s="1"/>
      <c r="BV636" s="1"/>
      <c r="BW636" s="1"/>
      <c r="BX636" s="1"/>
      <c r="BY636" s="1"/>
      <c r="BZ636" s="1"/>
      <c r="CA636" s="1"/>
      <c r="CB636" s="1"/>
      <c r="CC636" s="1"/>
      <c r="CD636" s="1"/>
      <c r="CE636" s="1"/>
      <c r="CF636" s="1"/>
      <c r="CG636" s="1"/>
      <c r="CH636" s="1"/>
      <c r="CI636" s="1"/>
    </row>
    <row r="637" spans="1:87"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c r="BP637" s="1"/>
      <c r="BQ637" s="1"/>
      <c r="BR637" s="1"/>
      <c r="BS637" s="1"/>
      <c r="BT637" s="1"/>
      <c r="BU637" s="1"/>
      <c r="BV637" s="1"/>
      <c r="BW637" s="1"/>
      <c r="BX637" s="1"/>
      <c r="BY637" s="1"/>
      <c r="BZ637" s="1"/>
      <c r="CA637" s="1"/>
      <c r="CB637" s="1"/>
      <c r="CC637" s="1"/>
      <c r="CD637" s="1"/>
      <c r="CE637" s="1"/>
      <c r="CF637" s="1"/>
      <c r="CG637" s="1"/>
      <c r="CH637" s="1"/>
      <c r="CI637" s="1"/>
    </row>
    <row r="638" spans="1:87"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c r="BP638" s="1"/>
      <c r="BQ638" s="1"/>
      <c r="BR638" s="1"/>
      <c r="BS638" s="1"/>
      <c r="BT638" s="1"/>
      <c r="BU638" s="1"/>
      <c r="BV638" s="1"/>
      <c r="BW638" s="1"/>
      <c r="BX638" s="1"/>
      <c r="BY638" s="1"/>
      <c r="BZ638" s="1"/>
      <c r="CA638" s="1"/>
      <c r="CB638" s="1"/>
      <c r="CC638" s="1"/>
      <c r="CD638" s="1"/>
      <c r="CE638" s="1"/>
      <c r="CF638" s="1"/>
      <c r="CG638" s="1"/>
      <c r="CH638" s="1"/>
      <c r="CI638" s="1"/>
    </row>
    <row r="639" spans="1:87"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c r="BP639" s="1"/>
      <c r="BQ639" s="1"/>
      <c r="BR639" s="1"/>
      <c r="BS639" s="1"/>
      <c r="BT639" s="1"/>
      <c r="BU639" s="1"/>
      <c r="BV639" s="1"/>
      <c r="BW639" s="1"/>
      <c r="BX639" s="1"/>
      <c r="BY639" s="1"/>
      <c r="BZ639" s="1"/>
      <c r="CA639" s="1"/>
      <c r="CB639" s="1"/>
      <c r="CC639" s="1"/>
      <c r="CD639" s="1"/>
      <c r="CE639" s="1"/>
      <c r="CF639" s="1"/>
      <c r="CG639" s="1"/>
      <c r="CH639" s="1"/>
      <c r="CI639" s="1"/>
    </row>
    <row r="640" spans="1:87"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c r="BP640" s="1"/>
      <c r="BQ640" s="1"/>
      <c r="BR640" s="1"/>
      <c r="BS640" s="1"/>
      <c r="BT640" s="1"/>
      <c r="BU640" s="1"/>
      <c r="BV640" s="1"/>
      <c r="BW640" s="1"/>
      <c r="BX640" s="1"/>
      <c r="BY640" s="1"/>
      <c r="BZ640" s="1"/>
      <c r="CA640" s="1"/>
      <c r="CB640" s="1"/>
      <c r="CC640" s="1"/>
      <c r="CD640" s="1"/>
      <c r="CE640" s="1"/>
      <c r="CF640" s="1"/>
      <c r="CG640" s="1"/>
      <c r="CH640" s="1"/>
      <c r="CI640" s="1"/>
    </row>
    <row r="641" spans="1:87"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c r="BP641" s="1"/>
      <c r="BQ641" s="1"/>
      <c r="BR641" s="1"/>
      <c r="BS641" s="1"/>
      <c r="BT641" s="1"/>
      <c r="BU641" s="1"/>
      <c r="BV641" s="1"/>
      <c r="BW641" s="1"/>
      <c r="BX641" s="1"/>
      <c r="BY641" s="1"/>
      <c r="BZ641" s="1"/>
      <c r="CA641" s="1"/>
      <c r="CB641" s="1"/>
      <c r="CC641" s="1"/>
      <c r="CD641" s="1"/>
      <c r="CE641" s="1"/>
      <c r="CF641" s="1"/>
      <c r="CG641" s="1"/>
      <c r="CH641" s="1"/>
      <c r="CI641" s="1"/>
    </row>
    <row r="642" spans="1:87"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c r="BP642" s="1"/>
      <c r="BQ642" s="1"/>
      <c r="BR642" s="1"/>
      <c r="BS642" s="1"/>
      <c r="BT642" s="1"/>
      <c r="BU642" s="1"/>
      <c r="BV642" s="1"/>
      <c r="BW642" s="1"/>
      <c r="BX642" s="1"/>
      <c r="BY642" s="1"/>
      <c r="BZ642" s="1"/>
      <c r="CA642" s="1"/>
      <c r="CB642" s="1"/>
      <c r="CC642" s="1"/>
      <c r="CD642" s="1"/>
      <c r="CE642" s="1"/>
      <c r="CF642" s="1"/>
      <c r="CG642" s="1"/>
      <c r="CH642" s="1"/>
      <c r="CI642" s="1"/>
    </row>
    <row r="643" spans="1:87"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c r="BP643" s="1"/>
      <c r="BQ643" s="1"/>
      <c r="BR643" s="1"/>
      <c r="BS643" s="1"/>
      <c r="BT643" s="1"/>
      <c r="BU643" s="1"/>
      <c r="BV643" s="1"/>
      <c r="BW643" s="1"/>
      <c r="BX643" s="1"/>
      <c r="BY643" s="1"/>
      <c r="BZ643" s="1"/>
      <c r="CA643" s="1"/>
      <c r="CB643" s="1"/>
      <c r="CC643" s="1"/>
      <c r="CD643" s="1"/>
      <c r="CE643" s="1"/>
      <c r="CF643" s="1"/>
      <c r="CG643" s="1"/>
      <c r="CH643" s="1"/>
      <c r="CI643" s="1"/>
    </row>
    <row r="644" spans="1:87"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c r="BP644" s="1"/>
      <c r="BQ644" s="1"/>
      <c r="BR644" s="1"/>
      <c r="BS644" s="1"/>
      <c r="BT644" s="1"/>
      <c r="BU644" s="1"/>
      <c r="BV644" s="1"/>
      <c r="BW644" s="1"/>
      <c r="BX644" s="1"/>
      <c r="BY644" s="1"/>
      <c r="BZ644" s="1"/>
      <c r="CA644" s="1"/>
      <c r="CB644" s="1"/>
      <c r="CC644" s="1"/>
      <c r="CD644" s="1"/>
      <c r="CE644" s="1"/>
      <c r="CF644" s="1"/>
      <c r="CG644" s="1"/>
      <c r="CH644" s="1"/>
      <c r="CI644" s="1"/>
    </row>
    <row r="645" spans="1:87"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c r="BP645" s="1"/>
      <c r="BQ645" s="1"/>
      <c r="BR645" s="1"/>
      <c r="BS645" s="1"/>
      <c r="BT645" s="1"/>
      <c r="BU645" s="1"/>
      <c r="BV645" s="1"/>
      <c r="BW645" s="1"/>
      <c r="BX645" s="1"/>
      <c r="BY645" s="1"/>
      <c r="BZ645" s="1"/>
      <c r="CA645" s="1"/>
      <c r="CB645" s="1"/>
      <c r="CC645" s="1"/>
      <c r="CD645" s="1"/>
      <c r="CE645" s="1"/>
      <c r="CF645" s="1"/>
      <c r="CG645" s="1"/>
      <c r="CH645" s="1"/>
      <c r="CI645" s="1"/>
    </row>
    <row r="646" spans="1:87"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c r="BP646" s="1"/>
      <c r="BQ646" s="1"/>
      <c r="BR646" s="1"/>
      <c r="BS646" s="1"/>
      <c r="BT646" s="1"/>
      <c r="BU646" s="1"/>
      <c r="BV646" s="1"/>
      <c r="BW646" s="1"/>
      <c r="BX646" s="1"/>
      <c r="BY646" s="1"/>
      <c r="BZ646" s="1"/>
      <c r="CA646" s="1"/>
      <c r="CB646" s="1"/>
      <c r="CC646" s="1"/>
      <c r="CD646" s="1"/>
      <c r="CE646" s="1"/>
      <c r="CF646" s="1"/>
      <c r="CG646" s="1"/>
      <c r="CH646" s="1"/>
      <c r="CI646" s="1"/>
    </row>
    <row r="647" spans="1:87"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c r="BP647" s="1"/>
      <c r="BQ647" s="1"/>
      <c r="BR647" s="1"/>
      <c r="BS647" s="1"/>
      <c r="BT647" s="1"/>
      <c r="BU647" s="1"/>
      <c r="BV647" s="1"/>
      <c r="BW647" s="1"/>
      <c r="BX647" s="1"/>
      <c r="BY647" s="1"/>
      <c r="BZ647" s="1"/>
      <c r="CA647" s="1"/>
      <c r="CB647" s="1"/>
      <c r="CC647" s="1"/>
      <c r="CD647" s="1"/>
      <c r="CE647" s="1"/>
      <c r="CF647" s="1"/>
      <c r="CG647" s="1"/>
      <c r="CH647" s="1"/>
      <c r="CI647" s="1"/>
    </row>
    <row r="648" spans="1:87"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c r="BP648" s="1"/>
      <c r="BQ648" s="1"/>
      <c r="BR648" s="1"/>
      <c r="BS648" s="1"/>
      <c r="BT648" s="1"/>
      <c r="BU648" s="1"/>
      <c r="BV648" s="1"/>
      <c r="BW648" s="1"/>
      <c r="BX648" s="1"/>
      <c r="BY648" s="1"/>
      <c r="BZ648" s="1"/>
      <c r="CA648" s="1"/>
      <c r="CB648" s="1"/>
      <c r="CC648" s="1"/>
      <c r="CD648" s="1"/>
      <c r="CE648" s="1"/>
      <c r="CF648" s="1"/>
      <c r="CG648" s="1"/>
      <c r="CH648" s="1"/>
      <c r="CI648" s="1"/>
    </row>
    <row r="649" spans="1:87"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c r="BP649" s="1"/>
      <c r="BQ649" s="1"/>
      <c r="BR649" s="1"/>
      <c r="BS649" s="1"/>
      <c r="BT649" s="1"/>
      <c r="BU649" s="1"/>
      <c r="BV649" s="1"/>
      <c r="BW649" s="1"/>
      <c r="BX649" s="1"/>
      <c r="BY649" s="1"/>
      <c r="BZ649" s="1"/>
      <c r="CA649" s="1"/>
      <c r="CB649" s="1"/>
      <c r="CC649" s="1"/>
      <c r="CD649" s="1"/>
      <c r="CE649" s="1"/>
      <c r="CF649" s="1"/>
      <c r="CG649" s="1"/>
      <c r="CH649" s="1"/>
      <c r="CI649" s="1"/>
    </row>
    <row r="650" spans="1:87"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c r="BP650" s="1"/>
      <c r="BQ650" s="1"/>
      <c r="BR650" s="1"/>
      <c r="BS650" s="1"/>
      <c r="BT650" s="1"/>
      <c r="BU650" s="1"/>
      <c r="BV650" s="1"/>
      <c r="BW650" s="1"/>
      <c r="BX650" s="1"/>
      <c r="BY650" s="1"/>
      <c r="BZ650" s="1"/>
      <c r="CA650" s="1"/>
      <c r="CB650" s="1"/>
      <c r="CC650" s="1"/>
      <c r="CD650" s="1"/>
      <c r="CE650" s="1"/>
      <c r="CF650" s="1"/>
      <c r="CG650" s="1"/>
      <c r="CH650" s="1"/>
      <c r="CI650" s="1"/>
    </row>
    <row r="651" spans="1:87"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c r="BP651" s="1"/>
      <c r="BQ651" s="1"/>
      <c r="BR651" s="1"/>
      <c r="BS651" s="1"/>
      <c r="BT651" s="1"/>
      <c r="BU651" s="1"/>
      <c r="BV651" s="1"/>
      <c r="BW651" s="1"/>
      <c r="BX651" s="1"/>
      <c r="BY651" s="1"/>
      <c r="BZ651" s="1"/>
      <c r="CA651" s="1"/>
      <c r="CB651" s="1"/>
      <c r="CC651" s="1"/>
      <c r="CD651" s="1"/>
      <c r="CE651" s="1"/>
      <c r="CF651" s="1"/>
      <c r="CG651" s="1"/>
      <c r="CH651" s="1"/>
      <c r="CI651" s="1"/>
    </row>
    <row r="652" spans="1:87"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c r="BP652" s="1"/>
      <c r="BQ652" s="1"/>
      <c r="BR652" s="1"/>
      <c r="BS652" s="1"/>
      <c r="BT652" s="1"/>
      <c r="BU652" s="1"/>
      <c r="BV652" s="1"/>
      <c r="BW652" s="1"/>
      <c r="BX652" s="1"/>
      <c r="BY652" s="1"/>
      <c r="BZ652" s="1"/>
      <c r="CA652" s="1"/>
      <c r="CB652" s="1"/>
      <c r="CC652" s="1"/>
      <c r="CD652" s="1"/>
      <c r="CE652" s="1"/>
      <c r="CF652" s="1"/>
      <c r="CG652" s="1"/>
      <c r="CH652" s="1"/>
      <c r="CI652" s="1"/>
    </row>
    <row r="653" spans="1:87"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c r="BP653" s="1"/>
      <c r="BQ653" s="1"/>
      <c r="BR653" s="1"/>
      <c r="BS653" s="1"/>
      <c r="BT653" s="1"/>
      <c r="BU653" s="1"/>
      <c r="BV653" s="1"/>
      <c r="BW653" s="1"/>
      <c r="BX653" s="1"/>
      <c r="BY653" s="1"/>
      <c r="BZ653" s="1"/>
      <c r="CA653" s="1"/>
      <c r="CB653" s="1"/>
      <c r="CC653" s="1"/>
      <c r="CD653" s="1"/>
      <c r="CE653" s="1"/>
      <c r="CF653" s="1"/>
      <c r="CG653" s="1"/>
      <c r="CH653" s="1"/>
      <c r="CI653" s="1"/>
    </row>
    <row r="654" spans="1:87"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c r="BP654" s="1"/>
      <c r="BQ654" s="1"/>
      <c r="BR654" s="1"/>
      <c r="BS654" s="1"/>
      <c r="BT654" s="1"/>
      <c r="BU654" s="1"/>
      <c r="BV654" s="1"/>
      <c r="BW654" s="1"/>
      <c r="BX654" s="1"/>
      <c r="BY654" s="1"/>
      <c r="BZ654" s="1"/>
      <c r="CA654" s="1"/>
      <c r="CB654" s="1"/>
      <c r="CC654" s="1"/>
      <c r="CD654" s="1"/>
      <c r="CE654" s="1"/>
      <c r="CF654" s="1"/>
      <c r="CG654" s="1"/>
      <c r="CH654" s="1"/>
      <c r="CI654" s="1"/>
    </row>
    <row r="655" spans="1:87"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c r="BP655" s="1"/>
      <c r="BQ655" s="1"/>
      <c r="BR655" s="1"/>
      <c r="BS655" s="1"/>
      <c r="BT655" s="1"/>
      <c r="BU655" s="1"/>
      <c r="BV655" s="1"/>
      <c r="BW655" s="1"/>
      <c r="BX655" s="1"/>
      <c r="BY655" s="1"/>
      <c r="BZ655" s="1"/>
      <c r="CA655" s="1"/>
      <c r="CB655" s="1"/>
      <c r="CC655" s="1"/>
      <c r="CD655" s="1"/>
      <c r="CE655" s="1"/>
      <c r="CF655" s="1"/>
      <c r="CG655" s="1"/>
      <c r="CH655" s="1"/>
      <c r="CI655" s="1"/>
    </row>
    <row r="656" spans="1:87"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c r="BP656" s="1"/>
      <c r="BQ656" s="1"/>
      <c r="BR656" s="1"/>
      <c r="BS656" s="1"/>
      <c r="BT656" s="1"/>
      <c r="BU656" s="1"/>
      <c r="BV656" s="1"/>
      <c r="BW656" s="1"/>
      <c r="BX656" s="1"/>
      <c r="BY656" s="1"/>
      <c r="BZ656" s="1"/>
      <c r="CA656" s="1"/>
      <c r="CB656" s="1"/>
      <c r="CC656" s="1"/>
      <c r="CD656" s="1"/>
      <c r="CE656" s="1"/>
      <c r="CF656" s="1"/>
      <c r="CG656" s="1"/>
      <c r="CH656" s="1"/>
      <c r="CI656" s="1"/>
    </row>
    <row r="657" spans="1:87"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c r="BP657" s="1"/>
      <c r="BQ657" s="1"/>
      <c r="BR657" s="1"/>
      <c r="BS657" s="1"/>
      <c r="BT657" s="1"/>
      <c r="BU657" s="1"/>
      <c r="BV657" s="1"/>
      <c r="BW657" s="1"/>
      <c r="BX657" s="1"/>
      <c r="BY657" s="1"/>
      <c r="BZ657" s="1"/>
      <c r="CA657" s="1"/>
      <c r="CB657" s="1"/>
      <c r="CC657" s="1"/>
      <c r="CD657" s="1"/>
      <c r="CE657" s="1"/>
      <c r="CF657" s="1"/>
      <c r="CG657" s="1"/>
      <c r="CH657" s="1"/>
      <c r="CI657" s="1"/>
    </row>
    <row r="658" spans="1:87"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c r="BP658" s="1"/>
      <c r="BQ658" s="1"/>
      <c r="BR658" s="1"/>
      <c r="BS658" s="1"/>
      <c r="BT658" s="1"/>
      <c r="BU658" s="1"/>
      <c r="BV658" s="1"/>
      <c r="BW658" s="1"/>
      <c r="BX658" s="1"/>
      <c r="BY658" s="1"/>
      <c r="BZ658" s="1"/>
      <c r="CA658" s="1"/>
      <c r="CB658" s="1"/>
      <c r="CC658" s="1"/>
      <c r="CD658" s="1"/>
      <c r="CE658" s="1"/>
      <c r="CF658" s="1"/>
      <c r="CG658" s="1"/>
      <c r="CH658" s="1"/>
      <c r="CI658" s="1"/>
    </row>
    <row r="659" spans="1:87"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c r="BP659" s="1"/>
      <c r="BQ659" s="1"/>
      <c r="BR659" s="1"/>
      <c r="BS659" s="1"/>
      <c r="BT659" s="1"/>
      <c r="BU659" s="1"/>
      <c r="BV659" s="1"/>
      <c r="BW659" s="1"/>
      <c r="BX659" s="1"/>
      <c r="BY659" s="1"/>
      <c r="BZ659" s="1"/>
      <c r="CA659" s="1"/>
      <c r="CB659" s="1"/>
      <c r="CC659" s="1"/>
      <c r="CD659" s="1"/>
      <c r="CE659" s="1"/>
      <c r="CF659" s="1"/>
      <c r="CG659" s="1"/>
      <c r="CH659" s="1"/>
      <c r="CI659" s="1"/>
    </row>
    <row r="660" spans="1:87"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c r="BP660" s="1"/>
      <c r="BQ660" s="1"/>
      <c r="BR660" s="1"/>
      <c r="BS660" s="1"/>
      <c r="BT660" s="1"/>
      <c r="BU660" s="1"/>
      <c r="BV660" s="1"/>
      <c r="BW660" s="1"/>
      <c r="BX660" s="1"/>
      <c r="BY660" s="1"/>
      <c r="BZ660" s="1"/>
      <c r="CA660" s="1"/>
      <c r="CB660" s="1"/>
      <c r="CC660" s="1"/>
      <c r="CD660" s="1"/>
      <c r="CE660" s="1"/>
      <c r="CF660" s="1"/>
      <c r="CG660" s="1"/>
      <c r="CH660" s="1"/>
      <c r="CI660" s="1"/>
    </row>
    <row r="661" spans="1:87"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c r="BP661" s="1"/>
      <c r="BQ661" s="1"/>
      <c r="BR661" s="1"/>
      <c r="BS661" s="1"/>
      <c r="BT661" s="1"/>
      <c r="BU661" s="1"/>
      <c r="BV661" s="1"/>
      <c r="BW661" s="1"/>
      <c r="BX661" s="1"/>
      <c r="BY661" s="1"/>
      <c r="BZ661" s="1"/>
      <c r="CA661" s="1"/>
      <c r="CB661" s="1"/>
      <c r="CC661" s="1"/>
      <c r="CD661" s="1"/>
      <c r="CE661" s="1"/>
      <c r="CF661" s="1"/>
      <c r="CG661" s="1"/>
      <c r="CH661" s="1"/>
      <c r="CI661" s="1"/>
    </row>
    <row r="662" spans="1:87"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c r="BP662" s="1"/>
      <c r="BQ662" s="1"/>
      <c r="BR662" s="1"/>
      <c r="BS662" s="1"/>
      <c r="BT662" s="1"/>
      <c r="BU662" s="1"/>
      <c r="BV662" s="1"/>
      <c r="BW662" s="1"/>
      <c r="BX662" s="1"/>
      <c r="BY662" s="1"/>
      <c r="BZ662" s="1"/>
      <c r="CA662" s="1"/>
      <c r="CB662" s="1"/>
      <c r="CC662" s="1"/>
      <c r="CD662" s="1"/>
      <c r="CE662" s="1"/>
      <c r="CF662" s="1"/>
      <c r="CG662" s="1"/>
      <c r="CH662" s="1"/>
      <c r="CI662" s="1"/>
    </row>
    <row r="663" spans="1:87"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c r="BP663" s="1"/>
      <c r="BQ663" s="1"/>
      <c r="BR663" s="1"/>
      <c r="BS663" s="1"/>
      <c r="BT663" s="1"/>
      <c r="BU663" s="1"/>
      <c r="BV663" s="1"/>
      <c r="BW663" s="1"/>
      <c r="BX663" s="1"/>
      <c r="BY663" s="1"/>
      <c r="BZ663" s="1"/>
      <c r="CA663" s="1"/>
      <c r="CB663" s="1"/>
      <c r="CC663" s="1"/>
      <c r="CD663" s="1"/>
      <c r="CE663" s="1"/>
      <c r="CF663" s="1"/>
      <c r="CG663" s="1"/>
      <c r="CH663" s="1"/>
      <c r="CI663" s="1"/>
    </row>
    <row r="664" spans="1:87"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c r="BP664" s="1"/>
      <c r="BQ664" s="1"/>
      <c r="BR664" s="1"/>
      <c r="BS664" s="1"/>
      <c r="BT664" s="1"/>
      <c r="BU664" s="1"/>
      <c r="BV664" s="1"/>
      <c r="BW664" s="1"/>
      <c r="BX664" s="1"/>
      <c r="BY664" s="1"/>
      <c r="BZ664" s="1"/>
      <c r="CA664" s="1"/>
      <c r="CB664" s="1"/>
      <c r="CC664" s="1"/>
      <c r="CD664" s="1"/>
      <c r="CE664" s="1"/>
      <c r="CF664" s="1"/>
      <c r="CG664" s="1"/>
      <c r="CH664" s="1"/>
      <c r="CI664" s="1"/>
    </row>
    <row r="665" spans="1:87"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c r="BP665" s="1"/>
      <c r="BQ665" s="1"/>
      <c r="BR665" s="1"/>
      <c r="BS665" s="1"/>
      <c r="BT665" s="1"/>
      <c r="BU665" s="1"/>
      <c r="BV665" s="1"/>
      <c r="BW665" s="1"/>
      <c r="BX665" s="1"/>
      <c r="BY665" s="1"/>
      <c r="BZ665" s="1"/>
      <c r="CA665" s="1"/>
      <c r="CB665" s="1"/>
      <c r="CC665" s="1"/>
      <c r="CD665" s="1"/>
      <c r="CE665" s="1"/>
      <c r="CF665" s="1"/>
      <c r="CG665" s="1"/>
      <c r="CH665" s="1"/>
      <c r="CI665" s="1"/>
    </row>
    <row r="666" spans="1:87"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c r="BP666" s="1"/>
      <c r="BQ666" s="1"/>
      <c r="BR666" s="1"/>
      <c r="BS666" s="1"/>
      <c r="BT666" s="1"/>
      <c r="BU666" s="1"/>
      <c r="BV666" s="1"/>
      <c r="BW666" s="1"/>
      <c r="BX666" s="1"/>
      <c r="BY666" s="1"/>
      <c r="BZ666" s="1"/>
      <c r="CA666" s="1"/>
      <c r="CB666" s="1"/>
      <c r="CC666" s="1"/>
      <c r="CD666" s="1"/>
      <c r="CE666" s="1"/>
      <c r="CF666" s="1"/>
      <c r="CG666" s="1"/>
      <c r="CH666" s="1"/>
      <c r="CI666" s="1"/>
    </row>
    <row r="667" spans="1:87"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c r="BP667" s="1"/>
      <c r="BQ667" s="1"/>
      <c r="BR667" s="1"/>
      <c r="BS667" s="1"/>
      <c r="BT667" s="1"/>
      <c r="BU667" s="1"/>
      <c r="BV667" s="1"/>
      <c r="BW667" s="1"/>
      <c r="BX667" s="1"/>
      <c r="BY667" s="1"/>
      <c r="BZ667" s="1"/>
      <c r="CA667" s="1"/>
      <c r="CB667" s="1"/>
      <c r="CC667" s="1"/>
      <c r="CD667" s="1"/>
      <c r="CE667" s="1"/>
      <c r="CF667" s="1"/>
      <c r="CG667" s="1"/>
      <c r="CH667" s="1"/>
      <c r="CI667" s="1"/>
    </row>
    <row r="668" spans="1:87"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c r="BP668" s="1"/>
      <c r="BQ668" s="1"/>
      <c r="BR668" s="1"/>
      <c r="BS668" s="1"/>
      <c r="BT668" s="1"/>
      <c r="BU668" s="1"/>
      <c r="BV668" s="1"/>
      <c r="BW668" s="1"/>
      <c r="BX668" s="1"/>
      <c r="BY668" s="1"/>
      <c r="BZ668" s="1"/>
      <c r="CA668" s="1"/>
      <c r="CB668" s="1"/>
      <c r="CC668" s="1"/>
      <c r="CD668" s="1"/>
      <c r="CE668" s="1"/>
      <c r="CF668" s="1"/>
      <c r="CG668" s="1"/>
      <c r="CH668" s="1"/>
      <c r="CI668" s="1"/>
    </row>
    <row r="669" spans="1:87"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c r="BP669" s="1"/>
      <c r="BQ669" s="1"/>
      <c r="BR669" s="1"/>
      <c r="BS669" s="1"/>
      <c r="BT669" s="1"/>
      <c r="BU669" s="1"/>
      <c r="BV669" s="1"/>
      <c r="BW669" s="1"/>
      <c r="BX669" s="1"/>
      <c r="BY669" s="1"/>
      <c r="BZ669" s="1"/>
      <c r="CA669" s="1"/>
      <c r="CB669" s="1"/>
      <c r="CC669" s="1"/>
      <c r="CD669" s="1"/>
      <c r="CE669" s="1"/>
      <c r="CF669" s="1"/>
      <c r="CG669" s="1"/>
      <c r="CH669" s="1"/>
      <c r="CI669" s="1"/>
    </row>
    <row r="670" spans="1:87"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c r="BP670" s="1"/>
      <c r="BQ670" s="1"/>
      <c r="BR670" s="1"/>
      <c r="BS670" s="1"/>
      <c r="BT670" s="1"/>
      <c r="BU670" s="1"/>
      <c r="BV670" s="1"/>
      <c r="BW670" s="1"/>
      <c r="BX670" s="1"/>
      <c r="BY670" s="1"/>
      <c r="BZ670" s="1"/>
      <c r="CA670" s="1"/>
      <c r="CB670" s="1"/>
      <c r="CC670" s="1"/>
      <c r="CD670" s="1"/>
      <c r="CE670" s="1"/>
      <c r="CF670" s="1"/>
      <c r="CG670" s="1"/>
      <c r="CH670" s="1"/>
      <c r="CI670" s="1"/>
    </row>
    <row r="671" spans="1:87"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c r="BP671" s="1"/>
      <c r="BQ671" s="1"/>
      <c r="BR671" s="1"/>
      <c r="BS671" s="1"/>
      <c r="BT671" s="1"/>
      <c r="BU671" s="1"/>
      <c r="BV671" s="1"/>
      <c r="BW671" s="1"/>
      <c r="BX671" s="1"/>
      <c r="BY671" s="1"/>
      <c r="BZ671" s="1"/>
      <c r="CA671" s="1"/>
      <c r="CB671" s="1"/>
      <c r="CC671" s="1"/>
      <c r="CD671" s="1"/>
      <c r="CE671" s="1"/>
      <c r="CF671" s="1"/>
      <c r="CG671" s="1"/>
      <c r="CH671" s="1"/>
      <c r="CI671" s="1"/>
    </row>
    <row r="672" spans="1:87"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c r="BP672" s="1"/>
      <c r="BQ672" s="1"/>
      <c r="BR672" s="1"/>
      <c r="BS672" s="1"/>
      <c r="BT672" s="1"/>
      <c r="BU672" s="1"/>
      <c r="BV672" s="1"/>
      <c r="BW672" s="1"/>
      <c r="BX672" s="1"/>
      <c r="BY672" s="1"/>
      <c r="BZ672" s="1"/>
      <c r="CA672" s="1"/>
      <c r="CB672" s="1"/>
      <c r="CC672" s="1"/>
      <c r="CD672" s="1"/>
      <c r="CE672" s="1"/>
      <c r="CF672" s="1"/>
      <c r="CG672" s="1"/>
      <c r="CH672" s="1"/>
      <c r="CI672" s="1"/>
    </row>
    <row r="673" spans="1:87"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c r="BP673" s="1"/>
      <c r="BQ673" s="1"/>
      <c r="BR673" s="1"/>
      <c r="BS673" s="1"/>
      <c r="BT673" s="1"/>
      <c r="BU673" s="1"/>
      <c r="BV673" s="1"/>
      <c r="BW673" s="1"/>
      <c r="BX673" s="1"/>
      <c r="BY673" s="1"/>
      <c r="BZ673" s="1"/>
      <c r="CA673" s="1"/>
      <c r="CB673" s="1"/>
      <c r="CC673" s="1"/>
      <c r="CD673" s="1"/>
      <c r="CE673" s="1"/>
      <c r="CF673" s="1"/>
      <c r="CG673" s="1"/>
      <c r="CH673" s="1"/>
      <c r="CI673" s="1"/>
    </row>
    <row r="674" spans="1:87"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c r="BP674" s="1"/>
      <c r="BQ674" s="1"/>
      <c r="BR674" s="1"/>
      <c r="BS674" s="1"/>
      <c r="BT674" s="1"/>
      <c r="BU674" s="1"/>
      <c r="BV674" s="1"/>
      <c r="BW674" s="1"/>
      <c r="BX674" s="1"/>
      <c r="BY674" s="1"/>
      <c r="BZ674" s="1"/>
      <c r="CA674" s="1"/>
      <c r="CB674" s="1"/>
      <c r="CC674" s="1"/>
      <c r="CD674" s="1"/>
      <c r="CE674" s="1"/>
      <c r="CF674" s="1"/>
      <c r="CG674" s="1"/>
      <c r="CH674" s="1"/>
      <c r="CI674" s="1"/>
    </row>
    <row r="675" spans="1:87"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c r="BP675" s="1"/>
      <c r="BQ675" s="1"/>
      <c r="BR675" s="1"/>
      <c r="BS675" s="1"/>
      <c r="BT675" s="1"/>
      <c r="BU675" s="1"/>
      <c r="BV675" s="1"/>
      <c r="BW675" s="1"/>
      <c r="BX675" s="1"/>
      <c r="BY675" s="1"/>
      <c r="BZ675" s="1"/>
      <c r="CA675" s="1"/>
      <c r="CB675" s="1"/>
      <c r="CC675" s="1"/>
      <c r="CD675" s="1"/>
      <c r="CE675" s="1"/>
      <c r="CF675" s="1"/>
      <c r="CG675" s="1"/>
      <c r="CH675" s="1"/>
      <c r="CI675" s="1"/>
    </row>
    <row r="676" spans="1:87"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c r="BP676" s="1"/>
      <c r="BQ676" s="1"/>
      <c r="BR676" s="1"/>
      <c r="BS676" s="1"/>
      <c r="BT676" s="1"/>
      <c r="BU676" s="1"/>
      <c r="BV676" s="1"/>
      <c r="BW676" s="1"/>
      <c r="BX676" s="1"/>
      <c r="BY676" s="1"/>
      <c r="BZ676" s="1"/>
      <c r="CA676" s="1"/>
      <c r="CB676" s="1"/>
      <c r="CC676" s="1"/>
      <c r="CD676" s="1"/>
      <c r="CE676" s="1"/>
      <c r="CF676" s="1"/>
      <c r="CG676" s="1"/>
      <c r="CH676" s="1"/>
      <c r="CI676" s="1"/>
    </row>
    <row r="677" spans="1:87"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c r="BP677" s="1"/>
      <c r="BQ677" s="1"/>
      <c r="BR677" s="1"/>
      <c r="BS677" s="1"/>
      <c r="BT677" s="1"/>
      <c r="BU677" s="1"/>
      <c r="BV677" s="1"/>
      <c r="BW677" s="1"/>
      <c r="BX677" s="1"/>
      <c r="BY677" s="1"/>
      <c r="BZ677" s="1"/>
      <c r="CA677" s="1"/>
      <c r="CB677" s="1"/>
      <c r="CC677" s="1"/>
      <c r="CD677" s="1"/>
      <c r="CE677" s="1"/>
      <c r="CF677" s="1"/>
      <c r="CG677" s="1"/>
      <c r="CH677" s="1"/>
      <c r="CI677" s="1"/>
    </row>
    <row r="678" spans="1:87"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c r="BP678" s="1"/>
      <c r="BQ678" s="1"/>
      <c r="BR678" s="1"/>
      <c r="BS678" s="1"/>
      <c r="BT678" s="1"/>
      <c r="BU678" s="1"/>
      <c r="BV678" s="1"/>
      <c r="BW678" s="1"/>
      <c r="BX678" s="1"/>
      <c r="BY678" s="1"/>
      <c r="BZ678" s="1"/>
      <c r="CA678" s="1"/>
      <c r="CB678" s="1"/>
      <c r="CC678" s="1"/>
      <c r="CD678" s="1"/>
      <c r="CE678" s="1"/>
      <c r="CF678" s="1"/>
      <c r="CG678" s="1"/>
      <c r="CH678" s="1"/>
      <c r="CI678" s="1"/>
    </row>
    <row r="679" spans="1:87"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c r="BP679" s="1"/>
      <c r="BQ679" s="1"/>
      <c r="BR679" s="1"/>
      <c r="BS679" s="1"/>
      <c r="BT679" s="1"/>
      <c r="BU679" s="1"/>
      <c r="BV679" s="1"/>
      <c r="BW679" s="1"/>
      <c r="BX679" s="1"/>
      <c r="BY679" s="1"/>
      <c r="BZ679" s="1"/>
      <c r="CA679" s="1"/>
      <c r="CB679" s="1"/>
      <c r="CC679" s="1"/>
      <c r="CD679" s="1"/>
      <c r="CE679" s="1"/>
      <c r="CF679" s="1"/>
      <c r="CG679" s="1"/>
      <c r="CH679" s="1"/>
      <c r="CI679" s="1"/>
    </row>
    <row r="680" spans="1:87"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c r="BP680" s="1"/>
      <c r="BQ680" s="1"/>
      <c r="BR680" s="1"/>
      <c r="BS680" s="1"/>
      <c r="BT680" s="1"/>
      <c r="BU680" s="1"/>
      <c r="BV680" s="1"/>
      <c r="BW680" s="1"/>
      <c r="BX680" s="1"/>
      <c r="BY680" s="1"/>
      <c r="BZ680" s="1"/>
      <c r="CA680" s="1"/>
      <c r="CB680" s="1"/>
      <c r="CC680" s="1"/>
      <c r="CD680" s="1"/>
      <c r="CE680" s="1"/>
      <c r="CF680" s="1"/>
      <c r="CG680" s="1"/>
      <c r="CH680" s="1"/>
      <c r="CI680" s="1"/>
    </row>
    <row r="681" spans="1:87"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c r="BP681" s="1"/>
      <c r="BQ681" s="1"/>
      <c r="BR681" s="1"/>
      <c r="BS681" s="1"/>
      <c r="BT681" s="1"/>
      <c r="BU681" s="1"/>
      <c r="BV681" s="1"/>
      <c r="BW681" s="1"/>
      <c r="BX681" s="1"/>
      <c r="BY681" s="1"/>
      <c r="BZ681" s="1"/>
      <c r="CA681" s="1"/>
      <c r="CB681" s="1"/>
      <c r="CC681" s="1"/>
      <c r="CD681" s="1"/>
      <c r="CE681" s="1"/>
      <c r="CF681" s="1"/>
      <c r="CG681" s="1"/>
      <c r="CH681" s="1"/>
      <c r="CI681" s="1"/>
    </row>
    <row r="682" spans="1:87"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c r="BP682" s="1"/>
      <c r="BQ682" s="1"/>
      <c r="BR682" s="1"/>
      <c r="BS682" s="1"/>
      <c r="BT682" s="1"/>
      <c r="BU682" s="1"/>
      <c r="BV682" s="1"/>
      <c r="BW682" s="1"/>
      <c r="BX682" s="1"/>
      <c r="BY682" s="1"/>
      <c r="BZ682" s="1"/>
      <c r="CA682" s="1"/>
      <c r="CB682" s="1"/>
      <c r="CC682" s="1"/>
      <c r="CD682" s="1"/>
      <c r="CE682" s="1"/>
      <c r="CF682" s="1"/>
      <c r="CG682" s="1"/>
      <c r="CH682" s="1"/>
      <c r="CI682" s="1"/>
    </row>
    <row r="683" spans="1:87"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c r="BP683" s="1"/>
      <c r="BQ683" s="1"/>
      <c r="BR683" s="1"/>
      <c r="BS683" s="1"/>
      <c r="BT683" s="1"/>
      <c r="BU683" s="1"/>
      <c r="BV683" s="1"/>
      <c r="BW683" s="1"/>
      <c r="BX683" s="1"/>
      <c r="BY683" s="1"/>
      <c r="BZ683" s="1"/>
      <c r="CA683" s="1"/>
      <c r="CB683" s="1"/>
      <c r="CC683" s="1"/>
      <c r="CD683" s="1"/>
      <c r="CE683" s="1"/>
      <c r="CF683" s="1"/>
      <c r="CG683" s="1"/>
      <c r="CH683" s="1"/>
      <c r="CI683" s="1"/>
    </row>
    <row r="684" spans="1:87"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c r="BP684" s="1"/>
      <c r="BQ684" s="1"/>
      <c r="BR684" s="1"/>
      <c r="BS684" s="1"/>
      <c r="BT684" s="1"/>
      <c r="BU684" s="1"/>
      <c r="BV684" s="1"/>
      <c r="BW684" s="1"/>
      <c r="BX684" s="1"/>
      <c r="BY684" s="1"/>
      <c r="BZ684" s="1"/>
      <c r="CA684" s="1"/>
      <c r="CB684" s="1"/>
      <c r="CC684" s="1"/>
      <c r="CD684" s="1"/>
      <c r="CE684" s="1"/>
      <c r="CF684" s="1"/>
      <c r="CG684" s="1"/>
      <c r="CH684" s="1"/>
      <c r="CI684" s="1"/>
    </row>
    <row r="685" spans="1:87"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c r="BP685" s="1"/>
      <c r="BQ685" s="1"/>
      <c r="BR685" s="1"/>
      <c r="BS685" s="1"/>
      <c r="BT685" s="1"/>
      <c r="BU685" s="1"/>
      <c r="BV685" s="1"/>
      <c r="BW685" s="1"/>
      <c r="BX685" s="1"/>
      <c r="BY685" s="1"/>
      <c r="BZ685" s="1"/>
      <c r="CA685" s="1"/>
      <c r="CB685" s="1"/>
      <c r="CC685" s="1"/>
      <c r="CD685" s="1"/>
      <c r="CE685" s="1"/>
      <c r="CF685" s="1"/>
      <c r="CG685" s="1"/>
      <c r="CH685" s="1"/>
      <c r="CI685" s="1"/>
    </row>
    <row r="686" spans="1:87"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c r="BP686" s="1"/>
      <c r="BQ686" s="1"/>
      <c r="BR686" s="1"/>
      <c r="BS686" s="1"/>
      <c r="BT686" s="1"/>
      <c r="BU686" s="1"/>
      <c r="BV686" s="1"/>
      <c r="BW686" s="1"/>
      <c r="BX686" s="1"/>
      <c r="BY686" s="1"/>
      <c r="BZ686" s="1"/>
      <c r="CA686" s="1"/>
      <c r="CB686" s="1"/>
      <c r="CC686" s="1"/>
      <c r="CD686" s="1"/>
      <c r="CE686" s="1"/>
      <c r="CF686" s="1"/>
      <c r="CG686" s="1"/>
      <c r="CH686" s="1"/>
      <c r="CI686" s="1"/>
    </row>
    <row r="687" spans="1:87"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c r="BP687" s="1"/>
      <c r="BQ687" s="1"/>
      <c r="BR687" s="1"/>
      <c r="BS687" s="1"/>
      <c r="BT687" s="1"/>
      <c r="BU687" s="1"/>
      <c r="BV687" s="1"/>
      <c r="BW687" s="1"/>
      <c r="BX687" s="1"/>
      <c r="BY687" s="1"/>
      <c r="BZ687" s="1"/>
      <c r="CA687" s="1"/>
      <c r="CB687" s="1"/>
      <c r="CC687" s="1"/>
      <c r="CD687" s="1"/>
      <c r="CE687" s="1"/>
      <c r="CF687" s="1"/>
      <c r="CG687" s="1"/>
      <c r="CH687" s="1"/>
      <c r="CI687" s="1"/>
    </row>
    <row r="688" spans="1:87"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c r="BP688" s="1"/>
      <c r="BQ688" s="1"/>
      <c r="BR688" s="1"/>
      <c r="BS688" s="1"/>
      <c r="BT688" s="1"/>
      <c r="BU688" s="1"/>
      <c r="BV688" s="1"/>
      <c r="BW688" s="1"/>
      <c r="BX688" s="1"/>
      <c r="BY688" s="1"/>
      <c r="BZ688" s="1"/>
      <c r="CA688" s="1"/>
      <c r="CB688" s="1"/>
      <c r="CC688" s="1"/>
      <c r="CD688" s="1"/>
      <c r="CE688" s="1"/>
      <c r="CF688" s="1"/>
      <c r="CG688" s="1"/>
      <c r="CH688" s="1"/>
      <c r="CI688" s="1"/>
    </row>
    <row r="689" spans="1:87"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c r="BP689" s="1"/>
      <c r="BQ689" s="1"/>
      <c r="BR689" s="1"/>
      <c r="BS689" s="1"/>
      <c r="BT689" s="1"/>
      <c r="BU689" s="1"/>
      <c r="BV689" s="1"/>
      <c r="BW689" s="1"/>
      <c r="BX689" s="1"/>
      <c r="BY689" s="1"/>
      <c r="BZ689" s="1"/>
      <c r="CA689" s="1"/>
      <c r="CB689" s="1"/>
      <c r="CC689" s="1"/>
      <c r="CD689" s="1"/>
      <c r="CE689" s="1"/>
      <c r="CF689" s="1"/>
      <c r="CG689" s="1"/>
      <c r="CH689" s="1"/>
      <c r="CI689" s="1"/>
    </row>
    <row r="690" spans="1:87"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c r="BP690" s="1"/>
      <c r="BQ690" s="1"/>
      <c r="BR690" s="1"/>
      <c r="BS690" s="1"/>
      <c r="BT690" s="1"/>
      <c r="BU690" s="1"/>
      <c r="BV690" s="1"/>
      <c r="BW690" s="1"/>
      <c r="BX690" s="1"/>
      <c r="BY690" s="1"/>
      <c r="BZ690" s="1"/>
      <c r="CA690" s="1"/>
      <c r="CB690" s="1"/>
      <c r="CC690" s="1"/>
      <c r="CD690" s="1"/>
      <c r="CE690" s="1"/>
      <c r="CF690" s="1"/>
      <c r="CG690" s="1"/>
      <c r="CH690" s="1"/>
      <c r="CI690" s="1"/>
    </row>
    <row r="691" spans="1:87"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c r="BP691" s="1"/>
      <c r="BQ691" s="1"/>
      <c r="BR691" s="1"/>
      <c r="BS691" s="1"/>
      <c r="BT691" s="1"/>
      <c r="BU691" s="1"/>
      <c r="BV691" s="1"/>
      <c r="BW691" s="1"/>
      <c r="BX691" s="1"/>
      <c r="BY691" s="1"/>
      <c r="BZ691" s="1"/>
      <c r="CA691" s="1"/>
      <c r="CB691" s="1"/>
      <c r="CC691" s="1"/>
      <c r="CD691" s="1"/>
      <c r="CE691" s="1"/>
      <c r="CF691" s="1"/>
      <c r="CG691" s="1"/>
      <c r="CH691" s="1"/>
      <c r="CI691" s="1"/>
    </row>
    <row r="692" spans="1:87"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c r="BP692" s="1"/>
      <c r="BQ692" s="1"/>
      <c r="BR692" s="1"/>
      <c r="BS692" s="1"/>
      <c r="BT692" s="1"/>
      <c r="BU692" s="1"/>
      <c r="BV692" s="1"/>
      <c r="BW692" s="1"/>
      <c r="BX692" s="1"/>
      <c r="BY692" s="1"/>
      <c r="BZ692" s="1"/>
      <c r="CA692" s="1"/>
      <c r="CB692" s="1"/>
      <c r="CC692" s="1"/>
      <c r="CD692" s="1"/>
      <c r="CE692" s="1"/>
      <c r="CF692" s="1"/>
      <c r="CG692" s="1"/>
      <c r="CH692" s="1"/>
      <c r="CI692" s="1"/>
    </row>
    <row r="693" spans="1:87"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c r="BP693" s="1"/>
      <c r="BQ693" s="1"/>
      <c r="BR693" s="1"/>
      <c r="BS693" s="1"/>
      <c r="BT693" s="1"/>
      <c r="BU693" s="1"/>
      <c r="BV693" s="1"/>
      <c r="BW693" s="1"/>
      <c r="BX693" s="1"/>
      <c r="BY693" s="1"/>
      <c r="BZ693" s="1"/>
      <c r="CA693" s="1"/>
      <c r="CB693" s="1"/>
      <c r="CC693" s="1"/>
      <c r="CD693" s="1"/>
      <c r="CE693" s="1"/>
      <c r="CF693" s="1"/>
      <c r="CG693" s="1"/>
      <c r="CH693" s="1"/>
      <c r="CI693" s="1"/>
    </row>
    <row r="694" spans="1:87"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c r="BP694" s="1"/>
      <c r="BQ694" s="1"/>
      <c r="BR694" s="1"/>
      <c r="BS694" s="1"/>
      <c r="BT694" s="1"/>
      <c r="BU694" s="1"/>
      <c r="BV694" s="1"/>
      <c r="BW694" s="1"/>
      <c r="BX694" s="1"/>
      <c r="BY694" s="1"/>
      <c r="BZ694" s="1"/>
      <c r="CA694" s="1"/>
      <c r="CB694" s="1"/>
      <c r="CC694" s="1"/>
      <c r="CD694" s="1"/>
      <c r="CE694" s="1"/>
      <c r="CF694" s="1"/>
      <c r="CG694" s="1"/>
      <c r="CH694" s="1"/>
      <c r="CI694" s="1"/>
    </row>
    <row r="695" spans="1:87"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c r="BP695" s="1"/>
      <c r="BQ695" s="1"/>
      <c r="BR695" s="1"/>
      <c r="BS695" s="1"/>
      <c r="BT695" s="1"/>
      <c r="BU695" s="1"/>
      <c r="BV695" s="1"/>
      <c r="BW695" s="1"/>
      <c r="BX695" s="1"/>
      <c r="BY695" s="1"/>
      <c r="BZ695" s="1"/>
      <c r="CA695" s="1"/>
      <c r="CB695" s="1"/>
      <c r="CC695" s="1"/>
      <c r="CD695" s="1"/>
      <c r="CE695" s="1"/>
      <c r="CF695" s="1"/>
      <c r="CG695" s="1"/>
      <c r="CH695" s="1"/>
      <c r="CI695" s="1"/>
    </row>
    <row r="696" spans="1:87"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c r="BP696" s="1"/>
      <c r="BQ696" s="1"/>
      <c r="BR696" s="1"/>
      <c r="BS696" s="1"/>
      <c r="BT696" s="1"/>
      <c r="BU696" s="1"/>
      <c r="BV696" s="1"/>
      <c r="BW696" s="1"/>
      <c r="BX696" s="1"/>
      <c r="BY696" s="1"/>
      <c r="BZ696" s="1"/>
      <c r="CA696" s="1"/>
      <c r="CB696" s="1"/>
      <c r="CC696" s="1"/>
      <c r="CD696" s="1"/>
      <c r="CE696" s="1"/>
      <c r="CF696" s="1"/>
      <c r="CG696" s="1"/>
      <c r="CH696" s="1"/>
      <c r="CI696" s="1"/>
    </row>
    <row r="697" spans="1:87"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c r="BP697" s="1"/>
      <c r="BQ697" s="1"/>
      <c r="BR697" s="1"/>
      <c r="BS697" s="1"/>
      <c r="BT697" s="1"/>
      <c r="BU697" s="1"/>
      <c r="BV697" s="1"/>
      <c r="BW697" s="1"/>
      <c r="BX697" s="1"/>
      <c r="BY697" s="1"/>
      <c r="BZ697" s="1"/>
      <c r="CA697" s="1"/>
      <c r="CB697" s="1"/>
      <c r="CC697" s="1"/>
      <c r="CD697" s="1"/>
      <c r="CE697" s="1"/>
      <c r="CF697" s="1"/>
      <c r="CG697" s="1"/>
      <c r="CH697" s="1"/>
      <c r="CI697" s="1"/>
    </row>
    <row r="698" spans="1:87"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c r="BP698" s="1"/>
      <c r="BQ698" s="1"/>
      <c r="BR698" s="1"/>
      <c r="BS698" s="1"/>
      <c r="BT698" s="1"/>
      <c r="BU698" s="1"/>
      <c r="BV698" s="1"/>
      <c r="BW698" s="1"/>
      <c r="BX698" s="1"/>
      <c r="BY698" s="1"/>
      <c r="BZ698" s="1"/>
      <c r="CA698" s="1"/>
      <c r="CB698" s="1"/>
      <c r="CC698" s="1"/>
      <c r="CD698" s="1"/>
      <c r="CE698" s="1"/>
      <c r="CF698" s="1"/>
      <c r="CG698" s="1"/>
      <c r="CH698" s="1"/>
      <c r="CI698" s="1"/>
    </row>
    <row r="699" spans="1:87"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c r="BP699" s="1"/>
      <c r="BQ699" s="1"/>
      <c r="BR699" s="1"/>
      <c r="BS699" s="1"/>
      <c r="BT699" s="1"/>
      <c r="BU699" s="1"/>
      <c r="BV699" s="1"/>
      <c r="BW699" s="1"/>
      <c r="BX699" s="1"/>
      <c r="BY699" s="1"/>
      <c r="BZ699" s="1"/>
      <c r="CA699" s="1"/>
      <c r="CB699" s="1"/>
      <c r="CC699" s="1"/>
      <c r="CD699" s="1"/>
      <c r="CE699" s="1"/>
      <c r="CF699" s="1"/>
      <c r="CG699" s="1"/>
      <c r="CH699" s="1"/>
      <c r="CI699" s="1"/>
    </row>
    <row r="700" spans="1:87"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c r="BP700" s="1"/>
      <c r="BQ700" s="1"/>
      <c r="BR700" s="1"/>
      <c r="BS700" s="1"/>
      <c r="BT700" s="1"/>
      <c r="BU700" s="1"/>
      <c r="BV700" s="1"/>
      <c r="BW700" s="1"/>
      <c r="BX700" s="1"/>
      <c r="BY700" s="1"/>
      <c r="BZ700" s="1"/>
      <c r="CA700" s="1"/>
      <c r="CB700" s="1"/>
      <c r="CC700" s="1"/>
      <c r="CD700" s="1"/>
      <c r="CE700" s="1"/>
      <c r="CF700" s="1"/>
      <c r="CG700" s="1"/>
      <c r="CH700" s="1"/>
      <c r="CI700" s="1"/>
    </row>
    <row r="701" spans="1:87"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c r="BP701" s="1"/>
      <c r="BQ701" s="1"/>
      <c r="BR701" s="1"/>
      <c r="BS701" s="1"/>
      <c r="BT701" s="1"/>
      <c r="BU701" s="1"/>
      <c r="BV701" s="1"/>
      <c r="BW701" s="1"/>
      <c r="BX701" s="1"/>
      <c r="BY701" s="1"/>
      <c r="BZ701" s="1"/>
      <c r="CA701" s="1"/>
      <c r="CB701" s="1"/>
      <c r="CC701" s="1"/>
      <c r="CD701" s="1"/>
      <c r="CE701" s="1"/>
      <c r="CF701" s="1"/>
      <c r="CG701" s="1"/>
      <c r="CH701" s="1"/>
      <c r="CI701" s="1"/>
    </row>
    <row r="702" spans="1:87"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c r="BP702" s="1"/>
      <c r="BQ702" s="1"/>
      <c r="BR702" s="1"/>
      <c r="BS702" s="1"/>
      <c r="BT702" s="1"/>
      <c r="BU702" s="1"/>
      <c r="BV702" s="1"/>
      <c r="BW702" s="1"/>
      <c r="BX702" s="1"/>
      <c r="BY702" s="1"/>
      <c r="BZ702" s="1"/>
      <c r="CA702" s="1"/>
      <c r="CB702" s="1"/>
      <c r="CC702" s="1"/>
      <c r="CD702" s="1"/>
      <c r="CE702" s="1"/>
      <c r="CF702" s="1"/>
      <c r="CG702" s="1"/>
      <c r="CH702" s="1"/>
      <c r="CI702" s="1"/>
    </row>
    <row r="703" spans="1:87"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c r="BP703" s="1"/>
      <c r="BQ703" s="1"/>
      <c r="BR703" s="1"/>
      <c r="BS703" s="1"/>
      <c r="BT703" s="1"/>
      <c r="BU703" s="1"/>
      <c r="BV703" s="1"/>
      <c r="BW703" s="1"/>
      <c r="BX703" s="1"/>
      <c r="BY703" s="1"/>
      <c r="BZ703" s="1"/>
      <c r="CA703" s="1"/>
      <c r="CB703" s="1"/>
      <c r="CC703" s="1"/>
      <c r="CD703" s="1"/>
      <c r="CE703" s="1"/>
      <c r="CF703" s="1"/>
      <c r="CG703" s="1"/>
      <c r="CH703" s="1"/>
      <c r="CI703" s="1"/>
    </row>
    <row r="704" spans="1:87"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c r="BP704" s="1"/>
      <c r="BQ704" s="1"/>
      <c r="BR704" s="1"/>
      <c r="BS704" s="1"/>
      <c r="BT704" s="1"/>
      <c r="BU704" s="1"/>
      <c r="BV704" s="1"/>
      <c r="BW704" s="1"/>
      <c r="BX704" s="1"/>
      <c r="BY704" s="1"/>
      <c r="BZ704" s="1"/>
      <c r="CA704" s="1"/>
      <c r="CB704" s="1"/>
      <c r="CC704" s="1"/>
      <c r="CD704" s="1"/>
      <c r="CE704" s="1"/>
      <c r="CF704" s="1"/>
      <c r="CG704" s="1"/>
      <c r="CH704" s="1"/>
      <c r="CI704" s="1"/>
    </row>
    <row r="705" spans="1:87"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c r="BP705" s="1"/>
      <c r="BQ705" s="1"/>
      <c r="BR705" s="1"/>
      <c r="BS705" s="1"/>
      <c r="BT705" s="1"/>
      <c r="BU705" s="1"/>
      <c r="BV705" s="1"/>
      <c r="BW705" s="1"/>
      <c r="BX705" s="1"/>
      <c r="BY705" s="1"/>
      <c r="BZ705" s="1"/>
      <c r="CA705" s="1"/>
      <c r="CB705" s="1"/>
      <c r="CC705" s="1"/>
      <c r="CD705" s="1"/>
      <c r="CE705" s="1"/>
      <c r="CF705" s="1"/>
      <c r="CG705" s="1"/>
      <c r="CH705" s="1"/>
      <c r="CI705" s="1"/>
    </row>
    <row r="706" spans="1:87"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c r="BP706" s="1"/>
      <c r="BQ706" s="1"/>
      <c r="BR706" s="1"/>
      <c r="BS706" s="1"/>
      <c r="BT706" s="1"/>
      <c r="BU706" s="1"/>
      <c r="BV706" s="1"/>
      <c r="BW706" s="1"/>
      <c r="BX706" s="1"/>
      <c r="BY706" s="1"/>
      <c r="BZ706" s="1"/>
      <c r="CA706" s="1"/>
      <c r="CB706" s="1"/>
      <c r="CC706" s="1"/>
      <c r="CD706" s="1"/>
      <c r="CE706" s="1"/>
      <c r="CF706" s="1"/>
      <c r="CG706" s="1"/>
      <c r="CH706" s="1"/>
      <c r="CI706" s="1"/>
    </row>
    <row r="707" spans="1:87"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c r="BP707" s="1"/>
      <c r="BQ707" s="1"/>
      <c r="BR707" s="1"/>
      <c r="BS707" s="1"/>
      <c r="BT707" s="1"/>
      <c r="BU707" s="1"/>
      <c r="BV707" s="1"/>
      <c r="BW707" s="1"/>
      <c r="BX707" s="1"/>
      <c r="BY707" s="1"/>
      <c r="BZ707" s="1"/>
      <c r="CA707" s="1"/>
      <c r="CB707" s="1"/>
      <c r="CC707" s="1"/>
      <c r="CD707" s="1"/>
      <c r="CE707" s="1"/>
      <c r="CF707" s="1"/>
      <c r="CG707" s="1"/>
      <c r="CH707" s="1"/>
      <c r="CI707" s="1"/>
    </row>
    <row r="708" spans="1:87"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c r="BP708" s="1"/>
      <c r="BQ708" s="1"/>
      <c r="BR708" s="1"/>
      <c r="BS708" s="1"/>
      <c r="BT708" s="1"/>
      <c r="BU708" s="1"/>
      <c r="BV708" s="1"/>
      <c r="BW708" s="1"/>
      <c r="BX708" s="1"/>
      <c r="BY708" s="1"/>
      <c r="BZ708" s="1"/>
      <c r="CA708" s="1"/>
      <c r="CB708" s="1"/>
      <c r="CC708" s="1"/>
      <c r="CD708" s="1"/>
      <c r="CE708" s="1"/>
      <c r="CF708" s="1"/>
      <c r="CG708" s="1"/>
      <c r="CH708" s="1"/>
      <c r="CI708" s="1"/>
    </row>
    <row r="709" spans="1:87"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c r="BP709" s="1"/>
      <c r="BQ709" s="1"/>
      <c r="BR709" s="1"/>
      <c r="BS709" s="1"/>
      <c r="BT709" s="1"/>
      <c r="BU709" s="1"/>
      <c r="BV709" s="1"/>
      <c r="BW709" s="1"/>
      <c r="BX709" s="1"/>
      <c r="BY709" s="1"/>
      <c r="BZ709" s="1"/>
      <c r="CA709" s="1"/>
      <c r="CB709" s="1"/>
      <c r="CC709" s="1"/>
      <c r="CD709" s="1"/>
      <c r="CE709" s="1"/>
      <c r="CF709" s="1"/>
      <c r="CG709" s="1"/>
      <c r="CH709" s="1"/>
      <c r="CI709" s="1"/>
    </row>
    <row r="710" spans="1:87"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c r="BP710" s="1"/>
      <c r="BQ710" s="1"/>
      <c r="BR710" s="1"/>
      <c r="BS710" s="1"/>
      <c r="BT710" s="1"/>
      <c r="BU710" s="1"/>
      <c r="BV710" s="1"/>
      <c r="BW710" s="1"/>
      <c r="BX710" s="1"/>
      <c r="BY710" s="1"/>
      <c r="BZ710" s="1"/>
      <c r="CA710" s="1"/>
      <c r="CB710" s="1"/>
      <c r="CC710" s="1"/>
      <c r="CD710" s="1"/>
      <c r="CE710" s="1"/>
      <c r="CF710" s="1"/>
      <c r="CG710" s="1"/>
      <c r="CH710" s="1"/>
      <c r="CI710" s="1"/>
    </row>
    <row r="711" spans="1:87"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c r="BP711" s="1"/>
      <c r="BQ711" s="1"/>
      <c r="BR711" s="1"/>
      <c r="BS711" s="1"/>
      <c r="BT711" s="1"/>
      <c r="BU711" s="1"/>
      <c r="BV711" s="1"/>
      <c r="BW711" s="1"/>
      <c r="BX711" s="1"/>
      <c r="BY711" s="1"/>
      <c r="BZ711" s="1"/>
      <c r="CA711" s="1"/>
      <c r="CB711" s="1"/>
      <c r="CC711" s="1"/>
      <c r="CD711" s="1"/>
      <c r="CE711" s="1"/>
      <c r="CF711" s="1"/>
      <c r="CG711" s="1"/>
      <c r="CH711" s="1"/>
      <c r="CI711" s="1"/>
    </row>
    <row r="712" spans="1:87"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c r="BP712" s="1"/>
      <c r="BQ712" s="1"/>
      <c r="BR712" s="1"/>
      <c r="BS712" s="1"/>
      <c r="BT712" s="1"/>
      <c r="BU712" s="1"/>
      <c r="BV712" s="1"/>
      <c r="BW712" s="1"/>
      <c r="BX712" s="1"/>
      <c r="BY712" s="1"/>
      <c r="BZ712" s="1"/>
      <c r="CA712" s="1"/>
      <c r="CB712" s="1"/>
      <c r="CC712" s="1"/>
      <c r="CD712" s="1"/>
      <c r="CE712" s="1"/>
      <c r="CF712" s="1"/>
      <c r="CG712" s="1"/>
      <c r="CH712" s="1"/>
      <c r="CI712" s="1"/>
    </row>
    <row r="713" spans="1:87"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c r="BP713" s="1"/>
      <c r="BQ713" s="1"/>
      <c r="BR713" s="1"/>
      <c r="BS713" s="1"/>
      <c r="BT713" s="1"/>
      <c r="BU713" s="1"/>
      <c r="BV713" s="1"/>
      <c r="BW713" s="1"/>
      <c r="BX713" s="1"/>
      <c r="BY713" s="1"/>
      <c r="BZ713" s="1"/>
      <c r="CA713" s="1"/>
      <c r="CB713" s="1"/>
      <c r="CC713" s="1"/>
      <c r="CD713" s="1"/>
      <c r="CE713" s="1"/>
      <c r="CF713" s="1"/>
      <c r="CG713" s="1"/>
      <c r="CH713" s="1"/>
      <c r="CI713" s="1"/>
    </row>
    <row r="714" spans="1:87"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c r="BP714" s="1"/>
      <c r="BQ714" s="1"/>
      <c r="BR714" s="1"/>
      <c r="BS714" s="1"/>
      <c r="BT714" s="1"/>
      <c r="BU714" s="1"/>
      <c r="BV714" s="1"/>
      <c r="BW714" s="1"/>
      <c r="BX714" s="1"/>
      <c r="BY714" s="1"/>
      <c r="BZ714" s="1"/>
      <c r="CA714" s="1"/>
      <c r="CB714" s="1"/>
      <c r="CC714" s="1"/>
      <c r="CD714" s="1"/>
      <c r="CE714" s="1"/>
      <c r="CF714" s="1"/>
      <c r="CG714" s="1"/>
      <c r="CH714" s="1"/>
      <c r="CI714" s="1"/>
    </row>
    <row r="715" spans="1:87"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c r="BP715" s="1"/>
      <c r="BQ715" s="1"/>
      <c r="BR715" s="1"/>
      <c r="BS715" s="1"/>
      <c r="BT715" s="1"/>
      <c r="BU715" s="1"/>
      <c r="BV715" s="1"/>
      <c r="BW715" s="1"/>
      <c r="BX715" s="1"/>
      <c r="BY715" s="1"/>
      <c r="BZ715" s="1"/>
      <c r="CA715" s="1"/>
      <c r="CB715" s="1"/>
      <c r="CC715" s="1"/>
      <c r="CD715" s="1"/>
      <c r="CE715" s="1"/>
      <c r="CF715" s="1"/>
      <c r="CG715" s="1"/>
      <c r="CH715" s="1"/>
      <c r="CI715" s="1"/>
    </row>
    <row r="716" spans="1:87"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c r="BP716" s="1"/>
      <c r="BQ716" s="1"/>
      <c r="BR716" s="1"/>
      <c r="BS716" s="1"/>
      <c r="BT716" s="1"/>
      <c r="BU716" s="1"/>
      <c r="BV716" s="1"/>
      <c r="BW716" s="1"/>
      <c r="BX716" s="1"/>
      <c r="BY716" s="1"/>
      <c r="BZ716" s="1"/>
      <c r="CA716" s="1"/>
      <c r="CB716" s="1"/>
      <c r="CC716" s="1"/>
      <c r="CD716" s="1"/>
      <c r="CE716" s="1"/>
      <c r="CF716" s="1"/>
      <c r="CG716" s="1"/>
      <c r="CH716" s="1"/>
      <c r="CI716" s="1"/>
    </row>
    <row r="717" spans="1:87"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c r="BP717" s="1"/>
      <c r="BQ717" s="1"/>
      <c r="BR717" s="1"/>
      <c r="BS717" s="1"/>
      <c r="BT717" s="1"/>
      <c r="BU717" s="1"/>
      <c r="BV717" s="1"/>
      <c r="BW717" s="1"/>
      <c r="BX717" s="1"/>
      <c r="BY717" s="1"/>
      <c r="BZ717" s="1"/>
      <c r="CA717" s="1"/>
      <c r="CB717" s="1"/>
      <c r="CC717" s="1"/>
      <c r="CD717" s="1"/>
      <c r="CE717" s="1"/>
      <c r="CF717" s="1"/>
      <c r="CG717" s="1"/>
      <c r="CH717" s="1"/>
      <c r="CI717" s="1"/>
    </row>
    <row r="718" spans="1:87"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c r="BP718" s="1"/>
      <c r="BQ718" s="1"/>
      <c r="BR718" s="1"/>
      <c r="BS718" s="1"/>
      <c r="BT718" s="1"/>
      <c r="BU718" s="1"/>
      <c r="BV718" s="1"/>
      <c r="BW718" s="1"/>
      <c r="BX718" s="1"/>
      <c r="BY718" s="1"/>
      <c r="BZ718" s="1"/>
      <c r="CA718" s="1"/>
      <c r="CB718" s="1"/>
      <c r="CC718" s="1"/>
      <c r="CD718" s="1"/>
      <c r="CE718" s="1"/>
      <c r="CF718" s="1"/>
      <c r="CG718" s="1"/>
      <c r="CH718" s="1"/>
      <c r="CI718" s="1"/>
    </row>
    <row r="719" spans="1:87"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c r="BP719" s="1"/>
      <c r="BQ719" s="1"/>
      <c r="BR719" s="1"/>
      <c r="BS719" s="1"/>
      <c r="BT719" s="1"/>
      <c r="BU719" s="1"/>
      <c r="BV719" s="1"/>
      <c r="BW719" s="1"/>
      <c r="BX719" s="1"/>
      <c r="BY719" s="1"/>
      <c r="BZ719" s="1"/>
      <c r="CA719" s="1"/>
      <c r="CB719" s="1"/>
      <c r="CC719" s="1"/>
      <c r="CD719" s="1"/>
      <c r="CE719" s="1"/>
      <c r="CF719" s="1"/>
      <c r="CG719" s="1"/>
      <c r="CH719" s="1"/>
      <c r="CI719" s="1"/>
    </row>
    <row r="720" spans="1:87"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c r="BP720" s="1"/>
      <c r="BQ720" s="1"/>
      <c r="BR720" s="1"/>
      <c r="BS720" s="1"/>
      <c r="BT720" s="1"/>
      <c r="BU720" s="1"/>
      <c r="BV720" s="1"/>
      <c r="BW720" s="1"/>
      <c r="BX720" s="1"/>
      <c r="BY720" s="1"/>
      <c r="BZ720" s="1"/>
      <c r="CA720" s="1"/>
      <c r="CB720" s="1"/>
      <c r="CC720" s="1"/>
      <c r="CD720" s="1"/>
      <c r="CE720" s="1"/>
      <c r="CF720" s="1"/>
      <c r="CG720" s="1"/>
      <c r="CH720" s="1"/>
      <c r="CI720" s="1"/>
    </row>
    <row r="721" spans="1:87"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c r="BP721" s="1"/>
      <c r="BQ721" s="1"/>
      <c r="BR721" s="1"/>
      <c r="BS721" s="1"/>
      <c r="BT721" s="1"/>
      <c r="BU721" s="1"/>
      <c r="BV721" s="1"/>
      <c r="BW721" s="1"/>
      <c r="BX721" s="1"/>
      <c r="BY721" s="1"/>
      <c r="BZ721" s="1"/>
      <c r="CA721" s="1"/>
      <c r="CB721" s="1"/>
      <c r="CC721" s="1"/>
      <c r="CD721" s="1"/>
      <c r="CE721" s="1"/>
      <c r="CF721" s="1"/>
      <c r="CG721" s="1"/>
      <c r="CH721" s="1"/>
      <c r="CI721" s="1"/>
    </row>
    <row r="722" spans="1:87"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c r="BP722" s="1"/>
      <c r="BQ722" s="1"/>
      <c r="BR722" s="1"/>
      <c r="BS722" s="1"/>
      <c r="BT722" s="1"/>
      <c r="BU722" s="1"/>
      <c r="BV722" s="1"/>
      <c r="BW722" s="1"/>
      <c r="BX722" s="1"/>
      <c r="BY722" s="1"/>
      <c r="BZ722" s="1"/>
      <c r="CA722" s="1"/>
      <c r="CB722" s="1"/>
      <c r="CC722" s="1"/>
      <c r="CD722" s="1"/>
      <c r="CE722" s="1"/>
      <c r="CF722" s="1"/>
      <c r="CG722" s="1"/>
      <c r="CH722" s="1"/>
      <c r="CI722" s="1"/>
    </row>
    <row r="723" spans="1:87"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c r="BP723" s="1"/>
      <c r="BQ723" s="1"/>
      <c r="BR723" s="1"/>
      <c r="BS723" s="1"/>
      <c r="BT723" s="1"/>
      <c r="BU723" s="1"/>
      <c r="BV723" s="1"/>
      <c r="BW723" s="1"/>
      <c r="BX723" s="1"/>
      <c r="BY723" s="1"/>
      <c r="BZ723" s="1"/>
      <c r="CA723" s="1"/>
      <c r="CB723" s="1"/>
      <c r="CC723" s="1"/>
      <c r="CD723" s="1"/>
      <c r="CE723" s="1"/>
      <c r="CF723" s="1"/>
      <c r="CG723" s="1"/>
      <c r="CH723" s="1"/>
      <c r="CI723" s="1"/>
    </row>
    <row r="724" spans="1:87"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c r="BP724" s="1"/>
      <c r="BQ724" s="1"/>
      <c r="BR724" s="1"/>
      <c r="BS724" s="1"/>
      <c r="BT724" s="1"/>
      <c r="BU724" s="1"/>
      <c r="BV724" s="1"/>
      <c r="BW724" s="1"/>
      <c r="BX724" s="1"/>
      <c r="BY724" s="1"/>
      <c r="BZ724" s="1"/>
      <c r="CA724" s="1"/>
      <c r="CB724" s="1"/>
      <c r="CC724" s="1"/>
      <c r="CD724" s="1"/>
      <c r="CE724" s="1"/>
      <c r="CF724" s="1"/>
      <c r="CG724" s="1"/>
      <c r="CH724" s="1"/>
      <c r="CI724" s="1"/>
    </row>
    <row r="725" spans="1:87"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c r="BP725" s="1"/>
      <c r="BQ725" s="1"/>
      <c r="BR725" s="1"/>
      <c r="BS725" s="1"/>
      <c r="BT725" s="1"/>
      <c r="BU725" s="1"/>
      <c r="BV725" s="1"/>
      <c r="BW725" s="1"/>
      <c r="BX725" s="1"/>
      <c r="BY725" s="1"/>
      <c r="BZ725" s="1"/>
      <c r="CA725" s="1"/>
      <c r="CB725" s="1"/>
      <c r="CC725" s="1"/>
      <c r="CD725" s="1"/>
      <c r="CE725" s="1"/>
      <c r="CF725" s="1"/>
      <c r="CG725" s="1"/>
      <c r="CH725" s="1"/>
      <c r="CI725" s="1"/>
    </row>
    <row r="726" spans="1:87"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c r="BP726" s="1"/>
      <c r="BQ726" s="1"/>
      <c r="BR726" s="1"/>
      <c r="BS726" s="1"/>
      <c r="BT726" s="1"/>
      <c r="BU726" s="1"/>
      <c r="BV726" s="1"/>
      <c r="BW726" s="1"/>
      <c r="BX726" s="1"/>
      <c r="BY726" s="1"/>
      <c r="BZ726" s="1"/>
      <c r="CA726" s="1"/>
      <c r="CB726" s="1"/>
      <c r="CC726" s="1"/>
      <c r="CD726" s="1"/>
      <c r="CE726" s="1"/>
      <c r="CF726" s="1"/>
      <c r="CG726" s="1"/>
      <c r="CH726" s="1"/>
      <c r="CI726" s="1"/>
    </row>
    <row r="727" spans="1:87"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c r="BP727" s="1"/>
      <c r="BQ727" s="1"/>
      <c r="BR727" s="1"/>
      <c r="BS727" s="1"/>
      <c r="BT727" s="1"/>
      <c r="BU727" s="1"/>
      <c r="BV727" s="1"/>
      <c r="BW727" s="1"/>
      <c r="BX727" s="1"/>
      <c r="BY727" s="1"/>
      <c r="BZ727" s="1"/>
      <c r="CA727" s="1"/>
      <c r="CB727" s="1"/>
      <c r="CC727" s="1"/>
      <c r="CD727" s="1"/>
      <c r="CE727" s="1"/>
      <c r="CF727" s="1"/>
      <c r="CG727" s="1"/>
      <c r="CH727" s="1"/>
      <c r="CI727" s="1"/>
    </row>
    <row r="728" spans="1:87"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c r="BP728" s="1"/>
      <c r="BQ728" s="1"/>
      <c r="BR728" s="1"/>
      <c r="BS728" s="1"/>
      <c r="BT728" s="1"/>
      <c r="BU728" s="1"/>
      <c r="BV728" s="1"/>
      <c r="BW728" s="1"/>
      <c r="BX728" s="1"/>
      <c r="BY728" s="1"/>
      <c r="BZ728" s="1"/>
      <c r="CA728" s="1"/>
      <c r="CB728" s="1"/>
      <c r="CC728" s="1"/>
      <c r="CD728" s="1"/>
      <c r="CE728" s="1"/>
      <c r="CF728" s="1"/>
      <c r="CG728" s="1"/>
      <c r="CH728" s="1"/>
      <c r="CI728" s="1"/>
    </row>
    <row r="729" spans="1:87"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c r="BP729" s="1"/>
      <c r="BQ729" s="1"/>
      <c r="BR729" s="1"/>
      <c r="BS729" s="1"/>
      <c r="BT729" s="1"/>
      <c r="BU729" s="1"/>
      <c r="BV729" s="1"/>
      <c r="BW729" s="1"/>
      <c r="BX729" s="1"/>
      <c r="BY729" s="1"/>
      <c r="BZ729" s="1"/>
      <c r="CA729" s="1"/>
      <c r="CB729" s="1"/>
      <c r="CC729" s="1"/>
      <c r="CD729" s="1"/>
      <c r="CE729" s="1"/>
      <c r="CF729" s="1"/>
      <c r="CG729" s="1"/>
      <c r="CH729" s="1"/>
      <c r="CI729" s="1"/>
    </row>
    <row r="730" spans="1:87"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c r="BP730" s="1"/>
      <c r="BQ730" s="1"/>
      <c r="BR730" s="1"/>
      <c r="BS730" s="1"/>
      <c r="BT730" s="1"/>
      <c r="BU730" s="1"/>
      <c r="BV730" s="1"/>
      <c r="BW730" s="1"/>
      <c r="BX730" s="1"/>
      <c r="BY730" s="1"/>
      <c r="BZ730" s="1"/>
      <c r="CA730" s="1"/>
      <c r="CB730" s="1"/>
      <c r="CC730" s="1"/>
      <c r="CD730" s="1"/>
      <c r="CE730" s="1"/>
      <c r="CF730" s="1"/>
      <c r="CG730" s="1"/>
      <c r="CH730" s="1"/>
      <c r="CI730" s="1"/>
    </row>
    <row r="731" spans="1:87"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c r="BP731" s="1"/>
      <c r="BQ731" s="1"/>
      <c r="BR731" s="1"/>
      <c r="BS731" s="1"/>
      <c r="BT731" s="1"/>
      <c r="BU731" s="1"/>
      <c r="BV731" s="1"/>
      <c r="BW731" s="1"/>
      <c r="BX731" s="1"/>
      <c r="BY731" s="1"/>
      <c r="BZ731" s="1"/>
      <c r="CA731" s="1"/>
      <c r="CB731" s="1"/>
      <c r="CC731" s="1"/>
      <c r="CD731" s="1"/>
      <c r="CE731" s="1"/>
      <c r="CF731" s="1"/>
      <c r="CG731" s="1"/>
      <c r="CH731" s="1"/>
      <c r="CI731" s="1"/>
    </row>
    <row r="732" spans="1:87"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c r="BP732" s="1"/>
      <c r="BQ732" s="1"/>
      <c r="BR732" s="1"/>
      <c r="BS732" s="1"/>
      <c r="BT732" s="1"/>
      <c r="BU732" s="1"/>
      <c r="BV732" s="1"/>
      <c r="BW732" s="1"/>
      <c r="BX732" s="1"/>
      <c r="BY732" s="1"/>
      <c r="BZ732" s="1"/>
      <c r="CA732" s="1"/>
      <c r="CB732" s="1"/>
      <c r="CC732" s="1"/>
      <c r="CD732" s="1"/>
      <c r="CE732" s="1"/>
      <c r="CF732" s="1"/>
      <c r="CG732" s="1"/>
      <c r="CH732" s="1"/>
      <c r="CI732" s="1"/>
    </row>
    <row r="733" spans="1:87"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c r="BP733" s="1"/>
      <c r="BQ733" s="1"/>
      <c r="BR733" s="1"/>
      <c r="BS733" s="1"/>
      <c r="BT733" s="1"/>
      <c r="BU733" s="1"/>
      <c r="BV733" s="1"/>
      <c r="BW733" s="1"/>
      <c r="BX733" s="1"/>
      <c r="BY733" s="1"/>
      <c r="BZ733" s="1"/>
      <c r="CA733" s="1"/>
      <c r="CB733" s="1"/>
      <c r="CC733" s="1"/>
      <c r="CD733" s="1"/>
      <c r="CE733" s="1"/>
      <c r="CF733" s="1"/>
      <c r="CG733" s="1"/>
      <c r="CH733" s="1"/>
      <c r="CI733" s="1"/>
    </row>
    <row r="734" spans="1:87"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c r="BP734" s="1"/>
      <c r="BQ734" s="1"/>
      <c r="BR734" s="1"/>
      <c r="BS734" s="1"/>
      <c r="BT734" s="1"/>
      <c r="BU734" s="1"/>
      <c r="BV734" s="1"/>
      <c r="BW734" s="1"/>
      <c r="BX734" s="1"/>
      <c r="BY734" s="1"/>
      <c r="BZ734" s="1"/>
      <c r="CA734" s="1"/>
      <c r="CB734" s="1"/>
      <c r="CC734" s="1"/>
      <c r="CD734" s="1"/>
      <c r="CE734" s="1"/>
      <c r="CF734" s="1"/>
      <c r="CG734" s="1"/>
      <c r="CH734" s="1"/>
      <c r="CI734" s="1"/>
    </row>
    <row r="735" spans="1:87"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c r="BP735" s="1"/>
      <c r="BQ735" s="1"/>
      <c r="BR735" s="1"/>
      <c r="BS735" s="1"/>
      <c r="BT735" s="1"/>
      <c r="BU735" s="1"/>
      <c r="BV735" s="1"/>
      <c r="BW735" s="1"/>
      <c r="BX735" s="1"/>
      <c r="BY735" s="1"/>
      <c r="BZ735" s="1"/>
      <c r="CA735" s="1"/>
      <c r="CB735" s="1"/>
      <c r="CC735" s="1"/>
      <c r="CD735" s="1"/>
      <c r="CE735" s="1"/>
      <c r="CF735" s="1"/>
      <c r="CG735" s="1"/>
      <c r="CH735" s="1"/>
      <c r="CI735" s="1"/>
    </row>
    <row r="736" spans="1:87"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c r="BP736" s="1"/>
      <c r="BQ736" s="1"/>
      <c r="BR736" s="1"/>
      <c r="BS736" s="1"/>
      <c r="BT736" s="1"/>
      <c r="BU736" s="1"/>
      <c r="BV736" s="1"/>
      <c r="BW736" s="1"/>
      <c r="BX736" s="1"/>
      <c r="BY736" s="1"/>
      <c r="BZ736" s="1"/>
      <c r="CA736" s="1"/>
      <c r="CB736" s="1"/>
      <c r="CC736" s="1"/>
      <c r="CD736" s="1"/>
      <c r="CE736" s="1"/>
      <c r="CF736" s="1"/>
      <c r="CG736" s="1"/>
      <c r="CH736" s="1"/>
      <c r="CI736" s="1"/>
    </row>
    <row r="737" spans="1:87"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c r="BP737" s="1"/>
      <c r="BQ737" s="1"/>
      <c r="BR737" s="1"/>
      <c r="BS737" s="1"/>
      <c r="BT737" s="1"/>
      <c r="BU737" s="1"/>
      <c r="BV737" s="1"/>
      <c r="BW737" s="1"/>
      <c r="BX737" s="1"/>
      <c r="BY737" s="1"/>
      <c r="BZ737" s="1"/>
      <c r="CA737" s="1"/>
      <c r="CB737" s="1"/>
      <c r="CC737" s="1"/>
      <c r="CD737" s="1"/>
      <c r="CE737" s="1"/>
      <c r="CF737" s="1"/>
      <c r="CG737" s="1"/>
      <c r="CH737" s="1"/>
      <c r="CI737" s="1"/>
    </row>
    <row r="738" spans="1:87"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c r="BP738" s="1"/>
      <c r="BQ738" s="1"/>
      <c r="BR738" s="1"/>
      <c r="BS738" s="1"/>
      <c r="BT738" s="1"/>
      <c r="BU738" s="1"/>
      <c r="BV738" s="1"/>
      <c r="BW738" s="1"/>
      <c r="BX738" s="1"/>
      <c r="BY738" s="1"/>
      <c r="BZ738" s="1"/>
      <c r="CA738" s="1"/>
      <c r="CB738" s="1"/>
      <c r="CC738" s="1"/>
      <c r="CD738" s="1"/>
      <c r="CE738" s="1"/>
      <c r="CF738" s="1"/>
      <c r="CG738" s="1"/>
      <c r="CH738" s="1"/>
      <c r="CI738" s="1"/>
    </row>
    <row r="739" spans="1:87"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c r="BP739" s="1"/>
      <c r="BQ739" s="1"/>
      <c r="BR739" s="1"/>
      <c r="BS739" s="1"/>
      <c r="BT739" s="1"/>
      <c r="BU739" s="1"/>
      <c r="BV739" s="1"/>
      <c r="BW739" s="1"/>
      <c r="BX739" s="1"/>
      <c r="BY739" s="1"/>
      <c r="BZ739" s="1"/>
      <c r="CA739" s="1"/>
      <c r="CB739" s="1"/>
      <c r="CC739" s="1"/>
      <c r="CD739" s="1"/>
      <c r="CE739" s="1"/>
      <c r="CF739" s="1"/>
      <c r="CG739" s="1"/>
      <c r="CH739" s="1"/>
      <c r="CI739" s="1"/>
    </row>
    <row r="740" spans="1:87"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c r="BP740" s="1"/>
      <c r="BQ740" s="1"/>
      <c r="BR740" s="1"/>
      <c r="BS740" s="1"/>
      <c r="BT740" s="1"/>
      <c r="BU740" s="1"/>
      <c r="BV740" s="1"/>
      <c r="BW740" s="1"/>
      <c r="BX740" s="1"/>
      <c r="BY740" s="1"/>
      <c r="BZ740" s="1"/>
      <c r="CA740" s="1"/>
      <c r="CB740" s="1"/>
      <c r="CC740" s="1"/>
      <c r="CD740" s="1"/>
      <c r="CE740" s="1"/>
      <c r="CF740" s="1"/>
      <c r="CG740" s="1"/>
      <c r="CH740" s="1"/>
      <c r="CI740" s="1"/>
    </row>
    <row r="741" spans="1:87"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c r="BP741" s="1"/>
      <c r="BQ741" s="1"/>
      <c r="BR741" s="1"/>
      <c r="BS741" s="1"/>
      <c r="BT741" s="1"/>
      <c r="BU741" s="1"/>
      <c r="BV741" s="1"/>
      <c r="BW741" s="1"/>
      <c r="BX741" s="1"/>
      <c r="BY741" s="1"/>
      <c r="BZ741" s="1"/>
      <c r="CA741" s="1"/>
      <c r="CB741" s="1"/>
      <c r="CC741" s="1"/>
      <c r="CD741" s="1"/>
      <c r="CE741" s="1"/>
      <c r="CF741" s="1"/>
      <c r="CG741" s="1"/>
      <c r="CH741" s="1"/>
      <c r="CI741" s="1"/>
    </row>
    <row r="742" spans="1:87"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c r="BP742" s="1"/>
      <c r="BQ742" s="1"/>
      <c r="BR742" s="1"/>
      <c r="BS742" s="1"/>
      <c r="BT742" s="1"/>
      <c r="BU742" s="1"/>
      <c r="BV742" s="1"/>
      <c r="BW742" s="1"/>
      <c r="BX742" s="1"/>
      <c r="BY742" s="1"/>
      <c r="BZ742" s="1"/>
      <c r="CA742" s="1"/>
      <c r="CB742" s="1"/>
      <c r="CC742" s="1"/>
      <c r="CD742" s="1"/>
      <c r="CE742" s="1"/>
      <c r="CF742" s="1"/>
      <c r="CG742" s="1"/>
      <c r="CH742" s="1"/>
      <c r="CI742" s="1"/>
    </row>
    <row r="743" spans="1:87"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c r="BP743" s="1"/>
      <c r="BQ743" s="1"/>
      <c r="BR743" s="1"/>
      <c r="BS743" s="1"/>
      <c r="BT743" s="1"/>
      <c r="BU743" s="1"/>
      <c r="BV743" s="1"/>
      <c r="BW743" s="1"/>
      <c r="BX743" s="1"/>
      <c r="BY743" s="1"/>
      <c r="BZ743" s="1"/>
      <c r="CA743" s="1"/>
      <c r="CB743" s="1"/>
      <c r="CC743" s="1"/>
      <c r="CD743" s="1"/>
      <c r="CE743" s="1"/>
      <c r="CF743" s="1"/>
      <c r="CG743" s="1"/>
      <c r="CH743" s="1"/>
      <c r="CI743" s="1"/>
    </row>
    <row r="744" spans="1:87"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c r="BP744" s="1"/>
      <c r="BQ744" s="1"/>
      <c r="BR744" s="1"/>
      <c r="BS744" s="1"/>
      <c r="BT744" s="1"/>
      <c r="BU744" s="1"/>
      <c r="BV744" s="1"/>
      <c r="BW744" s="1"/>
      <c r="BX744" s="1"/>
      <c r="BY744" s="1"/>
      <c r="BZ744" s="1"/>
      <c r="CA744" s="1"/>
      <c r="CB744" s="1"/>
      <c r="CC744" s="1"/>
      <c r="CD744" s="1"/>
      <c r="CE744" s="1"/>
      <c r="CF744" s="1"/>
      <c r="CG744" s="1"/>
      <c r="CH744" s="1"/>
      <c r="CI744" s="1"/>
    </row>
    <row r="745" spans="1:87"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c r="BP745" s="1"/>
      <c r="BQ745" s="1"/>
      <c r="BR745" s="1"/>
      <c r="BS745" s="1"/>
      <c r="BT745" s="1"/>
      <c r="BU745" s="1"/>
      <c r="BV745" s="1"/>
      <c r="BW745" s="1"/>
      <c r="BX745" s="1"/>
      <c r="BY745" s="1"/>
      <c r="BZ745" s="1"/>
      <c r="CA745" s="1"/>
      <c r="CB745" s="1"/>
      <c r="CC745" s="1"/>
      <c r="CD745" s="1"/>
      <c r="CE745" s="1"/>
      <c r="CF745" s="1"/>
      <c r="CG745" s="1"/>
      <c r="CH745" s="1"/>
      <c r="CI745" s="1"/>
    </row>
    <row r="746" spans="1:87"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c r="BP746" s="1"/>
      <c r="BQ746" s="1"/>
      <c r="BR746" s="1"/>
      <c r="BS746" s="1"/>
      <c r="BT746" s="1"/>
      <c r="BU746" s="1"/>
      <c r="BV746" s="1"/>
      <c r="BW746" s="1"/>
      <c r="BX746" s="1"/>
      <c r="BY746" s="1"/>
      <c r="BZ746" s="1"/>
      <c r="CA746" s="1"/>
      <c r="CB746" s="1"/>
      <c r="CC746" s="1"/>
      <c r="CD746" s="1"/>
      <c r="CE746" s="1"/>
      <c r="CF746" s="1"/>
      <c r="CG746" s="1"/>
      <c r="CH746" s="1"/>
      <c r="CI746" s="1"/>
    </row>
    <row r="747" spans="1:87"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c r="BP747" s="1"/>
      <c r="BQ747" s="1"/>
      <c r="BR747" s="1"/>
      <c r="BS747" s="1"/>
      <c r="BT747" s="1"/>
      <c r="BU747" s="1"/>
      <c r="BV747" s="1"/>
      <c r="BW747" s="1"/>
      <c r="BX747" s="1"/>
      <c r="BY747" s="1"/>
      <c r="BZ747" s="1"/>
      <c r="CA747" s="1"/>
      <c r="CB747" s="1"/>
      <c r="CC747" s="1"/>
      <c r="CD747" s="1"/>
      <c r="CE747" s="1"/>
      <c r="CF747" s="1"/>
      <c r="CG747" s="1"/>
      <c r="CH747" s="1"/>
      <c r="CI747" s="1"/>
    </row>
    <row r="748" spans="1:87"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c r="BP748" s="1"/>
      <c r="BQ748" s="1"/>
      <c r="BR748" s="1"/>
      <c r="BS748" s="1"/>
      <c r="BT748" s="1"/>
      <c r="BU748" s="1"/>
      <c r="BV748" s="1"/>
      <c r="BW748" s="1"/>
      <c r="BX748" s="1"/>
      <c r="BY748" s="1"/>
      <c r="BZ748" s="1"/>
      <c r="CA748" s="1"/>
      <c r="CB748" s="1"/>
      <c r="CC748" s="1"/>
      <c r="CD748" s="1"/>
      <c r="CE748" s="1"/>
      <c r="CF748" s="1"/>
      <c r="CG748" s="1"/>
      <c r="CH748" s="1"/>
      <c r="CI748" s="1"/>
    </row>
    <row r="749" spans="1:87"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c r="BP749" s="1"/>
      <c r="BQ749" s="1"/>
      <c r="BR749" s="1"/>
      <c r="BS749" s="1"/>
      <c r="BT749" s="1"/>
      <c r="BU749" s="1"/>
      <c r="BV749" s="1"/>
      <c r="BW749" s="1"/>
      <c r="BX749" s="1"/>
      <c r="BY749" s="1"/>
      <c r="BZ749" s="1"/>
      <c r="CA749" s="1"/>
      <c r="CB749" s="1"/>
      <c r="CC749" s="1"/>
      <c r="CD749" s="1"/>
      <c r="CE749" s="1"/>
      <c r="CF749" s="1"/>
      <c r="CG749" s="1"/>
      <c r="CH749" s="1"/>
      <c r="CI749" s="1"/>
    </row>
    <row r="750" spans="1:87"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c r="BP750" s="1"/>
      <c r="BQ750" s="1"/>
      <c r="BR750" s="1"/>
      <c r="BS750" s="1"/>
      <c r="BT750" s="1"/>
      <c r="BU750" s="1"/>
      <c r="BV750" s="1"/>
      <c r="BW750" s="1"/>
      <c r="BX750" s="1"/>
      <c r="BY750" s="1"/>
      <c r="BZ750" s="1"/>
      <c r="CA750" s="1"/>
      <c r="CB750" s="1"/>
      <c r="CC750" s="1"/>
      <c r="CD750" s="1"/>
      <c r="CE750" s="1"/>
      <c r="CF750" s="1"/>
      <c r="CG750" s="1"/>
      <c r="CH750" s="1"/>
      <c r="CI750" s="1"/>
    </row>
    <row r="751" spans="1:87"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c r="BP751" s="1"/>
      <c r="BQ751" s="1"/>
      <c r="BR751" s="1"/>
      <c r="BS751" s="1"/>
      <c r="BT751" s="1"/>
      <c r="BU751" s="1"/>
      <c r="BV751" s="1"/>
      <c r="BW751" s="1"/>
      <c r="BX751" s="1"/>
      <c r="BY751" s="1"/>
      <c r="BZ751" s="1"/>
      <c r="CA751" s="1"/>
      <c r="CB751" s="1"/>
      <c r="CC751" s="1"/>
      <c r="CD751" s="1"/>
      <c r="CE751" s="1"/>
      <c r="CF751" s="1"/>
      <c r="CG751" s="1"/>
      <c r="CH751" s="1"/>
      <c r="CI751" s="1"/>
    </row>
    <row r="752" spans="1:87"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c r="BP752" s="1"/>
      <c r="BQ752" s="1"/>
      <c r="BR752" s="1"/>
      <c r="BS752" s="1"/>
      <c r="BT752" s="1"/>
      <c r="BU752" s="1"/>
      <c r="BV752" s="1"/>
      <c r="BW752" s="1"/>
      <c r="BX752" s="1"/>
      <c r="BY752" s="1"/>
      <c r="BZ752" s="1"/>
      <c r="CA752" s="1"/>
      <c r="CB752" s="1"/>
      <c r="CC752" s="1"/>
      <c r="CD752" s="1"/>
      <c r="CE752" s="1"/>
      <c r="CF752" s="1"/>
      <c r="CG752" s="1"/>
      <c r="CH752" s="1"/>
      <c r="CI752" s="1"/>
    </row>
    <row r="753" spans="1:87"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c r="BP753" s="1"/>
      <c r="BQ753" s="1"/>
      <c r="BR753" s="1"/>
      <c r="BS753" s="1"/>
      <c r="BT753" s="1"/>
      <c r="BU753" s="1"/>
      <c r="BV753" s="1"/>
      <c r="BW753" s="1"/>
      <c r="BX753" s="1"/>
      <c r="BY753" s="1"/>
      <c r="BZ753" s="1"/>
      <c r="CA753" s="1"/>
      <c r="CB753" s="1"/>
      <c r="CC753" s="1"/>
      <c r="CD753" s="1"/>
      <c r="CE753" s="1"/>
      <c r="CF753" s="1"/>
      <c r="CG753" s="1"/>
      <c r="CH753" s="1"/>
      <c r="CI753" s="1"/>
    </row>
    <row r="754" spans="1:87"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c r="BP754" s="1"/>
      <c r="BQ754" s="1"/>
      <c r="BR754" s="1"/>
      <c r="BS754" s="1"/>
      <c r="BT754" s="1"/>
      <c r="BU754" s="1"/>
      <c r="BV754" s="1"/>
      <c r="BW754" s="1"/>
      <c r="BX754" s="1"/>
      <c r="BY754" s="1"/>
      <c r="BZ754" s="1"/>
      <c r="CA754" s="1"/>
      <c r="CB754" s="1"/>
      <c r="CC754" s="1"/>
      <c r="CD754" s="1"/>
      <c r="CE754" s="1"/>
      <c r="CF754" s="1"/>
      <c r="CG754" s="1"/>
      <c r="CH754" s="1"/>
      <c r="CI754" s="1"/>
    </row>
    <row r="755" spans="1:87"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c r="BP755" s="1"/>
      <c r="BQ755" s="1"/>
      <c r="BR755" s="1"/>
      <c r="BS755" s="1"/>
      <c r="BT755" s="1"/>
      <c r="BU755" s="1"/>
      <c r="BV755" s="1"/>
      <c r="BW755" s="1"/>
      <c r="BX755" s="1"/>
      <c r="BY755" s="1"/>
      <c r="BZ755" s="1"/>
      <c r="CA755" s="1"/>
      <c r="CB755" s="1"/>
      <c r="CC755" s="1"/>
      <c r="CD755" s="1"/>
      <c r="CE755" s="1"/>
      <c r="CF755" s="1"/>
      <c r="CG755" s="1"/>
      <c r="CH755" s="1"/>
      <c r="CI755" s="1"/>
    </row>
    <row r="756" spans="1:87"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c r="BP756" s="1"/>
      <c r="BQ756" s="1"/>
      <c r="BR756" s="1"/>
      <c r="BS756" s="1"/>
      <c r="BT756" s="1"/>
      <c r="BU756" s="1"/>
      <c r="BV756" s="1"/>
      <c r="BW756" s="1"/>
      <c r="BX756" s="1"/>
      <c r="BY756" s="1"/>
      <c r="BZ756" s="1"/>
      <c r="CA756" s="1"/>
      <c r="CB756" s="1"/>
      <c r="CC756" s="1"/>
      <c r="CD756" s="1"/>
      <c r="CE756" s="1"/>
      <c r="CF756" s="1"/>
      <c r="CG756" s="1"/>
      <c r="CH756" s="1"/>
      <c r="CI756" s="1"/>
    </row>
    <row r="757" spans="1:87"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c r="BP757" s="1"/>
      <c r="BQ757" s="1"/>
      <c r="BR757" s="1"/>
      <c r="BS757" s="1"/>
      <c r="BT757" s="1"/>
      <c r="BU757" s="1"/>
      <c r="BV757" s="1"/>
      <c r="BW757" s="1"/>
      <c r="BX757" s="1"/>
      <c r="BY757" s="1"/>
      <c r="BZ757" s="1"/>
      <c r="CA757" s="1"/>
      <c r="CB757" s="1"/>
      <c r="CC757" s="1"/>
      <c r="CD757" s="1"/>
      <c r="CE757" s="1"/>
      <c r="CF757" s="1"/>
      <c r="CG757" s="1"/>
      <c r="CH757" s="1"/>
      <c r="CI757" s="1"/>
    </row>
    <row r="758" spans="1:87"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c r="BP758" s="1"/>
      <c r="BQ758" s="1"/>
      <c r="BR758" s="1"/>
      <c r="BS758" s="1"/>
      <c r="BT758" s="1"/>
      <c r="BU758" s="1"/>
      <c r="BV758" s="1"/>
      <c r="BW758" s="1"/>
      <c r="BX758" s="1"/>
      <c r="BY758" s="1"/>
      <c r="BZ758" s="1"/>
      <c r="CA758" s="1"/>
      <c r="CB758" s="1"/>
      <c r="CC758" s="1"/>
      <c r="CD758" s="1"/>
      <c r="CE758" s="1"/>
      <c r="CF758" s="1"/>
      <c r="CG758" s="1"/>
      <c r="CH758" s="1"/>
      <c r="CI758" s="1"/>
    </row>
    <row r="759" spans="1:87"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c r="BP759" s="1"/>
      <c r="BQ759" s="1"/>
      <c r="BR759" s="1"/>
      <c r="BS759" s="1"/>
      <c r="BT759" s="1"/>
      <c r="BU759" s="1"/>
      <c r="BV759" s="1"/>
      <c r="BW759" s="1"/>
      <c r="BX759" s="1"/>
      <c r="BY759" s="1"/>
      <c r="BZ759" s="1"/>
      <c r="CA759" s="1"/>
      <c r="CB759" s="1"/>
      <c r="CC759" s="1"/>
      <c r="CD759" s="1"/>
      <c r="CE759" s="1"/>
      <c r="CF759" s="1"/>
      <c r="CG759" s="1"/>
      <c r="CH759" s="1"/>
      <c r="CI759" s="1"/>
    </row>
    <row r="760" spans="1:87"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c r="BP760" s="1"/>
      <c r="BQ760" s="1"/>
      <c r="BR760" s="1"/>
      <c r="BS760" s="1"/>
      <c r="BT760" s="1"/>
      <c r="BU760" s="1"/>
      <c r="BV760" s="1"/>
      <c r="BW760" s="1"/>
      <c r="BX760" s="1"/>
      <c r="BY760" s="1"/>
      <c r="BZ760" s="1"/>
      <c r="CA760" s="1"/>
      <c r="CB760" s="1"/>
      <c r="CC760" s="1"/>
      <c r="CD760" s="1"/>
      <c r="CE760" s="1"/>
      <c r="CF760" s="1"/>
      <c r="CG760" s="1"/>
      <c r="CH760" s="1"/>
      <c r="CI760" s="1"/>
    </row>
    <row r="761" spans="1:87"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c r="BP761" s="1"/>
      <c r="BQ761" s="1"/>
      <c r="BR761" s="1"/>
      <c r="BS761" s="1"/>
      <c r="BT761" s="1"/>
      <c r="BU761" s="1"/>
      <c r="BV761" s="1"/>
      <c r="BW761" s="1"/>
      <c r="BX761" s="1"/>
      <c r="BY761" s="1"/>
      <c r="BZ761" s="1"/>
      <c r="CA761" s="1"/>
      <c r="CB761" s="1"/>
      <c r="CC761" s="1"/>
      <c r="CD761" s="1"/>
      <c r="CE761" s="1"/>
      <c r="CF761" s="1"/>
      <c r="CG761" s="1"/>
      <c r="CH761" s="1"/>
      <c r="CI761" s="1"/>
    </row>
    <row r="762" spans="1:87"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c r="BP762" s="1"/>
      <c r="BQ762" s="1"/>
      <c r="BR762" s="1"/>
      <c r="BS762" s="1"/>
      <c r="BT762" s="1"/>
      <c r="BU762" s="1"/>
      <c r="BV762" s="1"/>
      <c r="BW762" s="1"/>
      <c r="BX762" s="1"/>
      <c r="BY762" s="1"/>
      <c r="BZ762" s="1"/>
      <c r="CA762" s="1"/>
      <c r="CB762" s="1"/>
      <c r="CC762" s="1"/>
      <c r="CD762" s="1"/>
      <c r="CE762" s="1"/>
      <c r="CF762" s="1"/>
      <c r="CG762" s="1"/>
      <c r="CH762" s="1"/>
      <c r="CI762" s="1"/>
    </row>
    <row r="763" spans="1:87"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c r="BP763" s="1"/>
      <c r="BQ763" s="1"/>
      <c r="BR763" s="1"/>
      <c r="BS763" s="1"/>
      <c r="BT763" s="1"/>
      <c r="BU763" s="1"/>
      <c r="BV763" s="1"/>
      <c r="BW763" s="1"/>
      <c r="BX763" s="1"/>
      <c r="BY763" s="1"/>
      <c r="BZ763" s="1"/>
      <c r="CA763" s="1"/>
      <c r="CB763" s="1"/>
      <c r="CC763" s="1"/>
      <c r="CD763" s="1"/>
      <c r="CE763" s="1"/>
      <c r="CF763" s="1"/>
      <c r="CG763" s="1"/>
      <c r="CH763" s="1"/>
      <c r="CI763" s="1"/>
    </row>
    <row r="764" spans="1:87"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c r="BP764" s="1"/>
      <c r="BQ764" s="1"/>
      <c r="BR764" s="1"/>
      <c r="BS764" s="1"/>
      <c r="BT764" s="1"/>
      <c r="BU764" s="1"/>
      <c r="BV764" s="1"/>
      <c r="BW764" s="1"/>
      <c r="BX764" s="1"/>
      <c r="BY764" s="1"/>
      <c r="BZ764" s="1"/>
      <c r="CA764" s="1"/>
      <c r="CB764" s="1"/>
      <c r="CC764" s="1"/>
      <c r="CD764" s="1"/>
      <c r="CE764" s="1"/>
      <c r="CF764" s="1"/>
      <c r="CG764" s="1"/>
      <c r="CH764" s="1"/>
      <c r="CI764" s="1"/>
    </row>
    <row r="765" spans="1:87"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c r="BP765" s="1"/>
      <c r="BQ765" s="1"/>
      <c r="BR765" s="1"/>
      <c r="BS765" s="1"/>
      <c r="BT765" s="1"/>
      <c r="BU765" s="1"/>
      <c r="BV765" s="1"/>
      <c r="BW765" s="1"/>
      <c r="BX765" s="1"/>
      <c r="BY765" s="1"/>
      <c r="BZ765" s="1"/>
      <c r="CA765" s="1"/>
      <c r="CB765" s="1"/>
      <c r="CC765" s="1"/>
      <c r="CD765" s="1"/>
      <c r="CE765" s="1"/>
      <c r="CF765" s="1"/>
      <c r="CG765" s="1"/>
      <c r="CH765" s="1"/>
      <c r="CI765" s="1"/>
    </row>
    <row r="766" spans="1:87"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c r="BP766" s="1"/>
      <c r="BQ766" s="1"/>
      <c r="BR766" s="1"/>
      <c r="BS766" s="1"/>
      <c r="BT766" s="1"/>
      <c r="BU766" s="1"/>
      <c r="BV766" s="1"/>
      <c r="BW766" s="1"/>
      <c r="BX766" s="1"/>
      <c r="BY766" s="1"/>
      <c r="BZ766" s="1"/>
      <c r="CA766" s="1"/>
      <c r="CB766" s="1"/>
      <c r="CC766" s="1"/>
      <c r="CD766" s="1"/>
      <c r="CE766" s="1"/>
      <c r="CF766" s="1"/>
      <c r="CG766" s="1"/>
      <c r="CH766" s="1"/>
      <c r="CI766" s="1"/>
    </row>
    <row r="767" spans="1:87"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c r="BP767" s="1"/>
      <c r="BQ767" s="1"/>
      <c r="BR767" s="1"/>
      <c r="BS767" s="1"/>
      <c r="BT767" s="1"/>
      <c r="BU767" s="1"/>
      <c r="BV767" s="1"/>
      <c r="BW767" s="1"/>
      <c r="BX767" s="1"/>
      <c r="BY767" s="1"/>
      <c r="BZ767" s="1"/>
      <c r="CA767" s="1"/>
      <c r="CB767" s="1"/>
      <c r="CC767" s="1"/>
      <c r="CD767" s="1"/>
      <c r="CE767" s="1"/>
      <c r="CF767" s="1"/>
      <c r="CG767" s="1"/>
      <c r="CH767" s="1"/>
      <c r="CI767" s="1"/>
    </row>
    <row r="768" spans="1:87"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c r="BP768" s="1"/>
      <c r="BQ768" s="1"/>
      <c r="BR768" s="1"/>
      <c r="BS768" s="1"/>
      <c r="BT768" s="1"/>
      <c r="BU768" s="1"/>
      <c r="BV768" s="1"/>
      <c r="BW768" s="1"/>
      <c r="BX768" s="1"/>
      <c r="BY768" s="1"/>
      <c r="BZ768" s="1"/>
      <c r="CA768" s="1"/>
      <c r="CB768" s="1"/>
      <c r="CC768" s="1"/>
      <c r="CD768" s="1"/>
      <c r="CE768" s="1"/>
      <c r="CF768" s="1"/>
      <c r="CG768" s="1"/>
      <c r="CH768" s="1"/>
      <c r="CI768" s="1"/>
    </row>
    <row r="769" spans="1:87"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c r="BP769" s="1"/>
      <c r="BQ769" s="1"/>
      <c r="BR769" s="1"/>
      <c r="BS769" s="1"/>
      <c r="BT769" s="1"/>
      <c r="BU769" s="1"/>
      <c r="BV769" s="1"/>
      <c r="BW769" s="1"/>
      <c r="BX769" s="1"/>
      <c r="BY769" s="1"/>
      <c r="BZ769" s="1"/>
      <c r="CA769" s="1"/>
      <c r="CB769" s="1"/>
      <c r="CC769" s="1"/>
      <c r="CD769" s="1"/>
      <c r="CE769" s="1"/>
      <c r="CF769" s="1"/>
      <c r="CG769" s="1"/>
      <c r="CH769" s="1"/>
      <c r="CI769" s="1"/>
    </row>
    <row r="770" spans="1:87"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c r="BP770" s="1"/>
      <c r="BQ770" s="1"/>
      <c r="BR770" s="1"/>
      <c r="BS770" s="1"/>
      <c r="BT770" s="1"/>
      <c r="BU770" s="1"/>
      <c r="BV770" s="1"/>
      <c r="BW770" s="1"/>
      <c r="BX770" s="1"/>
      <c r="BY770" s="1"/>
      <c r="BZ770" s="1"/>
      <c r="CA770" s="1"/>
      <c r="CB770" s="1"/>
      <c r="CC770" s="1"/>
      <c r="CD770" s="1"/>
      <c r="CE770" s="1"/>
      <c r="CF770" s="1"/>
      <c r="CG770" s="1"/>
      <c r="CH770" s="1"/>
      <c r="CI770" s="1"/>
    </row>
    <row r="771" spans="1:87"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c r="BP771" s="1"/>
      <c r="BQ771" s="1"/>
      <c r="BR771" s="1"/>
      <c r="BS771" s="1"/>
      <c r="BT771" s="1"/>
      <c r="BU771" s="1"/>
      <c r="BV771" s="1"/>
      <c r="BW771" s="1"/>
      <c r="BX771" s="1"/>
      <c r="BY771" s="1"/>
      <c r="BZ771" s="1"/>
      <c r="CA771" s="1"/>
      <c r="CB771" s="1"/>
      <c r="CC771" s="1"/>
      <c r="CD771" s="1"/>
      <c r="CE771" s="1"/>
      <c r="CF771" s="1"/>
      <c r="CG771" s="1"/>
      <c r="CH771" s="1"/>
      <c r="CI771" s="1"/>
    </row>
    <row r="772" spans="1:87"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c r="BP772" s="1"/>
      <c r="BQ772" s="1"/>
      <c r="BR772" s="1"/>
      <c r="BS772" s="1"/>
      <c r="BT772" s="1"/>
      <c r="BU772" s="1"/>
      <c r="BV772" s="1"/>
      <c r="BW772" s="1"/>
      <c r="BX772" s="1"/>
      <c r="BY772" s="1"/>
      <c r="BZ772" s="1"/>
      <c r="CA772" s="1"/>
      <c r="CB772" s="1"/>
      <c r="CC772" s="1"/>
      <c r="CD772" s="1"/>
      <c r="CE772" s="1"/>
      <c r="CF772" s="1"/>
      <c r="CG772" s="1"/>
      <c r="CH772" s="1"/>
      <c r="CI772" s="1"/>
    </row>
    <row r="773" spans="1:87"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c r="BP773" s="1"/>
      <c r="BQ773" s="1"/>
      <c r="BR773" s="1"/>
      <c r="BS773" s="1"/>
      <c r="BT773" s="1"/>
      <c r="BU773" s="1"/>
      <c r="BV773" s="1"/>
      <c r="BW773" s="1"/>
      <c r="BX773" s="1"/>
      <c r="BY773" s="1"/>
      <c r="BZ773" s="1"/>
      <c r="CA773" s="1"/>
      <c r="CB773" s="1"/>
      <c r="CC773" s="1"/>
      <c r="CD773" s="1"/>
      <c r="CE773" s="1"/>
      <c r="CF773" s="1"/>
      <c r="CG773" s="1"/>
      <c r="CH773" s="1"/>
      <c r="CI773" s="1"/>
    </row>
    <row r="774" spans="1:87"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c r="BP774" s="1"/>
      <c r="BQ774" s="1"/>
      <c r="BR774" s="1"/>
      <c r="BS774" s="1"/>
      <c r="BT774" s="1"/>
      <c r="BU774" s="1"/>
      <c r="BV774" s="1"/>
      <c r="BW774" s="1"/>
      <c r="BX774" s="1"/>
      <c r="BY774" s="1"/>
      <c r="BZ774" s="1"/>
      <c r="CA774" s="1"/>
      <c r="CB774" s="1"/>
      <c r="CC774" s="1"/>
      <c r="CD774" s="1"/>
      <c r="CE774" s="1"/>
      <c r="CF774" s="1"/>
      <c r="CG774" s="1"/>
      <c r="CH774" s="1"/>
      <c r="CI774" s="1"/>
    </row>
    <row r="775" spans="1:87"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c r="BP775" s="1"/>
      <c r="BQ775" s="1"/>
      <c r="BR775" s="1"/>
      <c r="BS775" s="1"/>
      <c r="BT775" s="1"/>
      <c r="BU775" s="1"/>
      <c r="BV775" s="1"/>
      <c r="BW775" s="1"/>
      <c r="BX775" s="1"/>
      <c r="BY775" s="1"/>
      <c r="BZ775" s="1"/>
      <c r="CA775" s="1"/>
      <c r="CB775" s="1"/>
      <c r="CC775" s="1"/>
      <c r="CD775" s="1"/>
      <c r="CE775" s="1"/>
      <c r="CF775" s="1"/>
      <c r="CG775" s="1"/>
      <c r="CH775" s="1"/>
      <c r="CI775" s="1"/>
    </row>
    <row r="776" spans="1:87"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c r="BP776" s="1"/>
      <c r="BQ776" s="1"/>
      <c r="BR776" s="1"/>
      <c r="BS776" s="1"/>
      <c r="BT776" s="1"/>
      <c r="BU776" s="1"/>
      <c r="BV776" s="1"/>
      <c r="BW776" s="1"/>
      <c r="BX776" s="1"/>
      <c r="BY776" s="1"/>
      <c r="BZ776" s="1"/>
      <c r="CA776" s="1"/>
      <c r="CB776" s="1"/>
      <c r="CC776" s="1"/>
      <c r="CD776" s="1"/>
      <c r="CE776" s="1"/>
      <c r="CF776" s="1"/>
      <c r="CG776" s="1"/>
      <c r="CH776" s="1"/>
      <c r="CI776" s="1"/>
    </row>
    <row r="777" spans="1:87"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c r="BP777" s="1"/>
      <c r="BQ777" s="1"/>
      <c r="BR777" s="1"/>
      <c r="BS777" s="1"/>
      <c r="BT777" s="1"/>
      <c r="BU777" s="1"/>
      <c r="BV777" s="1"/>
      <c r="BW777" s="1"/>
      <c r="BX777" s="1"/>
      <c r="BY777" s="1"/>
      <c r="BZ777" s="1"/>
      <c r="CA777" s="1"/>
      <c r="CB777" s="1"/>
      <c r="CC777" s="1"/>
      <c r="CD777" s="1"/>
      <c r="CE777" s="1"/>
      <c r="CF777" s="1"/>
      <c r="CG777" s="1"/>
      <c r="CH777" s="1"/>
      <c r="CI777" s="1"/>
    </row>
    <row r="778" spans="1:87"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c r="BP778" s="1"/>
      <c r="BQ778" s="1"/>
      <c r="BR778" s="1"/>
      <c r="BS778" s="1"/>
      <c r="BT778" s="1"/>
      <c r="BU778" s="1"/>
      <c r="BV778" s="1"/>
      <c r="BW778" s="1"/>
      <c r="BX778" s="1"/>
      <c r="BY778" s="1"/>
      <c r="BZ778" s="1"/>
      <c r="CA778" s="1"/>
      <c r="CB778" s="1"/>
      <c r="CC778" s="1"/>
      <c r="CD778" s="1"/>
      <c r="CE778" s="1"/>
      <c r="CF778" s="1"/>
      <c r="CG778" s="1"/>
      <c r="CH778" s="1"/>
      <c r="CI778" s="1"/>
    </row>
    <row r="779" spans="1:87"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c r="BP779" s="1"/>
      <c r="BQ779" s="1"/>
      <c r="BR779" s="1"/>
      <c r="BS779" s="1"/>
      <c r="BT779" s="1"/>
      <c r="BU779" s="1"/>
      <c r="BV779" s="1"/>
      <c r="BW779" s="1"/>
      <c r="BX779" s="1"/>
      <c r="BY779" s="1"/>
      <c r="BZ779" s="1"/>
      <c r="CA779" s="1"/>
      <c r="CB779" s="1"/>
      <c r="CC779" s="1"/>
      <c r="CD779" s="1"/>
      <c r="CE779" s="1"/>
      <c r="CF779" s="1"/>
      <c r="CG779" s="1"/>
      <c r="CH779" s="1"/>
      <c r="CI779" s="1"/>
    </row>
    <row r="780" spans="1:87"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c r="BP780" s="1"/>
      <c r="BQ780" s="1"/>
      <c r="BR780" s="1"/>
      <c r="BS780" s="1"/>
      <c r="BT780" s="1"/>
      <c r="BU780" s="1"/>
      <c r="BV780" s="1"/>
      <c r="BW780" s="1"/>
      <c r="BX780" s="1"/>
      <c r="BY780" s="1"/>
      <c r="BZ780" s="1"/>
      <c r="CA780" s="1"/>
      <c r="CB780" s="1"/>
      <c r="CC780" s="1"/>
      <c r="CD780" s="1"/>
      <c r="CE780" s="1"/>
      <c r="CF780" s="1"/>
      <c r="CG780" s="1"/>
      <c r="CH780" s="1"/>
      <c r="CI780" s="1"/>
    </row>
    <row r="781" spans="1:87"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c r="BP781" s="1"/>
      <c r="BQ781" s="1"/>
      <c r="BR781" s="1"/>
      <c r="BS781" s="1"/>
      <c r="BT781" s="1"/>
      <c r="BU781" s="1"/>
      <c r="BV781" s="1"/>
      <c r="BW781" s="1"/>
      <c r="BX781" s="1"/>
      <c r="BY781" s="1"/>
      <c r="BZ781" s="1"/>
      <c r="CA781" s="1"/>
      <c r="CB781" s="1"/>
      <c r="CC781" s="1"/>
      <c r="CD781" s="1"/>
      <c r="CE781" s="1"/>
      <c r="CF781" s="1"/>
      <c r="CG781" s="1"/>
      <c r="CH781" s="1"/>
      <c r="CI781" s="1"/>
    </row>
    <row r="782" spans="1:87"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c r="BP782" s="1"/>
      <c r="BQ782" s="1"/>
      <c r="BR782" s="1"/>
      <c r="BS782" s="1"/>
      <c r="BT782" s="1"/>
      <c r="BU782" s="1"/>
      <c r="BV782" s="1"/>
      <c r="BW782" s="1"/>
      <c r="BX782" s="1"/>
      <c r="BY782" s="1"/>
      <c r="BZ782" s="1"/>
      <c r="CA782" s="1"/>
      <c r="CB782" s="1"/>
      <c r="CC782" s="1"/>
      <c r="CD782" s="1"/>
      <c r="CE782" s="1"/>
      <c r="CF782" s="1"/>
      <c r="CG782" s="1"/>
      <c r="CH782" s="1"/>
      <c r="CI782" s="1"/>
    </row>
    <row r="783" spans="1:87"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c r="BP783" s="1"/>
      <c r="BQ783" s="1"/>
      <c r="BR783" s="1"/>
      <c r="BS783" s="1"/>
      <c r="BT783" s="1"/>
      <c r="BU783" s="1"/>
      <c r="BV783" s="1"/>
      <c r="BW783" s="1"/>
      <c r="BX783" s="1"/>
      <c r="BY783" s="1"/>
      <c r="BZ783" s="1"/>
      <c r="CA783" s="1"/>
      <c r="CB783" s="1"/>
      <c r="CC783" s="1"/>
      <c r="CD783" s="1"/>
      <c r="CE783" s="1"/>
      <c r="CF783" s="1"/>
      <c r="CG783" s="1"/>
      <c r="CH783" s="1"/>
      <c r="CI783" s="1"/>
    </row>
    <row r="784" spans="1:87"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c r="BP784" s="1"/>
      <c r="BQ784" s="1"/>
      <c r="BR784" s="1"/>
      <c r="BS784" s="1"/>
      <c r="BT784" s="1"/>
      <c r="BU784" s="1"/>
      <c r="BV784" s="1"/>
      <c r="BW784" s="1"/>
      <c r="BX784" s="1"/>
      <c r="BY784" s="1"/>
      <c r="BZ784" s="1"/>
      <c r="CA784" s="1"/>
      <c r="CB784" s="1"/>
      <c r="CC784" s="1"/>
      <c r="CD784" s="1"/>
      <c r="CE784" s="1"/>
      <c r="CF784" s="1"/>
      <c r="CG784" s="1"/>
      <c r="CH784" s="1"/>
      <c r="CI784" s="1"/>
    </row>
    <row r="785" spans="1:87"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c r="BP785" s="1"/>
      <c r="BQ785" s="1"/>
      <c r="BR785" s="1"/>
      <c r="BS785" s="1"/>
      <c r="BT785" s="1"/>
      <c r="BU785" s="1"/>
      <c r="BV785" s="1"/>
      <c r="BW785" s="1"/>
      <c r="BX785" s="1"/>
      <c r="BY785" s="1"/>
      <c r="BZ785" s="1"/>
      <c r="CA785" s="1"/>
      <c r="CB785" s="1"/>
      <c r="CC785" s="1"/>
      <c r="CD785" s="1"/>
      <c r="CE785" s="1"/>
      <c r="CF785" s="1"/>
      <c r="CG785" s="1"/>
      <c r="CH785" s="1"/>
      <c r="CI785" s="1"/>
    </row>
    <row r="786" spans="1:87"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c r="BP786" s="1"/>
      <c r="BQ786" s="1"/>
      <c r="BR786" s="1"/>
      <c r="BS786" s="1"/>
      <c r="BT786" s="1"/>
      <c r="BU786" s="1"/>
      <c r="BV786" s="1"/>
      <c r="BW786" s="1"/>
      <c r="BX786" s="1"/>
      <c r="BY786" s="1"/>
      <c r="BZ786" s="1"/>
      <c r="CA786" s="1"/>
      <c r="CB786" s="1"/>
      <c r="CC786" s="1"/>
      <c r="CD786" s="1"/>
      <c r="CE786" s="1"/>
      <c r="CF786" s="1"/>
      <c r="CG786" s="1"/>
      <c r="CH786" s="1"/>
      <c r="CI786" s="1"/>
    </row>
    <row r="787" spans="1:87"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c r="BP787" s="1"/>
      <c r="BQ787" s="1"/>
      <c r="BR787" s="1"/>
      <c r="BS787" s="1"/>
      <c r="BT787" s="1"/>
      <c r="BU787" s="1"/>
      <c r="BV787" s="1"/>
      <c r="BW787" s="1"/>
      <c r="BX787" s="1"/>
      <c r="BY787" s="1"/>
      <c r="BZ787" s="1"/>
      <c r="CA787" s="1"/>
      <c r="CB787" s="1"/>
      <c r="CC787" s="1"/>
      <c r="CD787" s="1"/>
      <c r="CE787" s="1"/>
      <c r="CF787" s="1"/>
      <c r="CG787" s="1"/>
      <c r="CH787" s="1"/>
      <c r="CI787" s="1"/>
    </row>
    <row r="788" spans="1:87"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c r="BP788" s="1"/>
      <c r="BQ788" s="1"/>
      <c r="BR788" s="1"/>
      <c r="BS788" s="1"/>
      <c r="BT788" s="1"/>
      <c r="BU788" s="1"/>
      <c r="BV788" s="1"/>
      <c r="BW788" s="1"/>
      <c r="BX788" s="1"/>
      <c r="BY788" s="1"/>
      <c r="BZ788" s="1"/>
      <c r="CA788" s="1"/>
      <c r="CB788" s="1"/>
      <c r="CC788" s="1"/>
      <c r="CD788" s="1"/>
      <c r="CE788" s="1"/>
      <c r="CF788" s="1"/>
      <c r="CG788" s="1"/>
      <c r="CH788" s="1"/>
      <c r="CI788" s="1"/>
    </row>
    <row r="789" spans="1:87"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c r="BP789" s="1"/>
      <c r="BQ789" s="1"/>
      <c r="BR789" s="1"/>
      <c r="BS789" s="1"/>
      <c r="BT789" s="1"/>
      <c r="BU789" s="1"/>
      <c r="BV789" s="1"/>
      <c r="BW789" s="1"/>
      <c r="BX789" s="1"/>
      <c r="BY789" s="1"/>
      <c r="BZ789" s="1"/>
      <c r="CA789" s="1"/>
      <c r="CB789" s="1"/>
      <c r="CC789" s="1"/>
      <c r="CD789" s="1"/>
      <c r="CE789" s="1"/>
      <c r="CF789" s="1"/>
      <c r="CG789" s="1"/>
      <c r="CH789" s="1"/>
      <c r="CI789" s="1"/>
    </row>
    <row r="790" spans="1:87"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c r="BP790" s="1"/>
      <c r="BQ790" s="1"/>
      <c r="BR790" s="1"/>
      <c r="BS790" s="1"/>
      <c r="BT790" s="1"/>
      <c r="BU790" s="1"/>
      <c r="BV790" s="1"/>
      <c r="BW790" s="1"/>
      <c r="BX790" s="1"/>
      <c r="BY790" s="1"/>
      <c r="BZ790" s="1"/>
      <c r="CA790" s="1"/>
      <c r="CB790" s="1"/>
      <c r="CC790" s="1"/>
      <c r="CD790" s="1"/>
      <c r="CE790" s="1"/>
      <c r="CF790" s="1"/>
      <c r="CG790" s="1"/>
      <c r="CH790" s="1"/>
      <c r="CI790" s="1"/>
    </row>
    <row r="791" spans="1:87"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c r="BP791" s="1"/>
      <c r="BQ791" s="1"/>
      <c r="BR791" s="1"/>
      <c r="BS791" s="1"/>
      <c r="BT791" s="1"/>
      <c r="BU791" s="1"/>
      <c r="BV791" s="1"/>
      <c r="BW791" s="1"/>
      <c r="BX791" s="1"/>
      <c r="BY791" s="1"/>
      <c r="BZ791" s="1"/>
      <c r="CA791" s="1"/>
      <c r="CB791" s="1"/>
      <c r="CC791" s="1"/>
      <c r="CD791" s="1"/>
      <c r="CE791" s="1"/>
      <c r="CF791" s="1"/>
      <c r="CG791" s="1"/>
      <c r="CH791" s="1"/>
      <c r="CI791" s="1"/>
    </row>
    <row r="792" spans="1:87"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c r="BP792" s="1"/>
      <c r="BQ792" s="1"/>
      <c r="BR792" s="1"/>
      <c r="BS792" s="1"/>
      <c r="BT792" s="1"/>
      <c r="BU792" s="1"/>
      <c r="BV792" s="1"/>
      <c r="BW792" s="1"/>
      <c r="BX792" s="1"/>
      <c r="BY792" s="1"/>
      <c r="BZ792" s="1"/>
      <c r="CA792" s="1"/>
      <c r="CB792" s="1"/>
      <c r="CC792" s="1"/>
      <c r="CD792" s="1"/>
      <c r="CE792" s="1"/>
      <c r="CF792" s="1"/>
      <c r="CG792" s="1"/>
      <c r="CH792" s="1"/>
      <c r="CI792" s="1"/>
    </row>
    <row r="793" spans="1:87"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c r="BP793" s="1"/>
      <c r="BQ793" s="1"/>
      <c r="BR793" s="1"/>
      <c r="BS793" s="1"/>
      <c r="BT793" s="1"/>
      <c r="BU793" s="1"/>
      <c r="BV793" s="1"/>
      <c r="BW793" s="1"/>
      <c r="BX793" s="1"/>
      <c r="BY793" s="1"/>
      <c r="BZ793" s="1"/>
      <c r="CA793" s="1"/>
      <c r="CB793" s="1"/>
      <c r="CC793" s="1"/>
      <c r="CD793" s="1"/>
      <c r="CE793" s="1"/>
      <c r="CF793" s="1"/>
      <c r="CG793" s="1"/>
      <c r="CH793" s="1"/>
      <c r="CI793" s="1"/>
    </row>
    <row r="794" spans="1:87"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c r="BP794" s="1"/>
      <c r="BQ794" s="1"/>
      <c r="BR794" s="1"/>
      <c r="BS794" s="1"/>
      <c r="BT794" s="1"/>
      <c r="BU794" s="1"/>
      <c r="BV794" s="1"/>
      <c r="BW794" s="1"/>
      <c r="BX794" s="1"/>
      <c r="BY794" s="1"/>
      <c r="BZ794" s="1"/>
      <c r="CA794" s="1"/>
      <c r="CB794" s="1"/>
      <c r="CC794" s="1"/>
      <c r="CD794" s="1"/>
      <c r="CE794" s="1"/>
      <c r="CF794" s="1"/>
      <c r="CG794" s="1"/>
      <c r="CH794" s="1"/>
      <c r="CI794" s="1"/>
    </row>
    <row r="795" spans="1:87"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c r="BP795" s="1"/>
      <c r="BQ795" s="1"/>
      <c r="BR795" s="1"/>
      <c r="BS795" s="1"/>
      <c r="BT795" s="1"/>
      <c r="BU795" s="1"/>
      <c r="BV795" s="1"/>
      <c r="BW795" s="1"/>
      <c r="BX795" s="1"/>
      <c r="BY795" s="1"/>
      <c r="BZ795" s="1"/>
      <c r="CA795" s="1"/>
      <c r="CB795" s="1"/>
      <c r="CC795" s="1"/>
      <c r="CD795" s="1"/>
      <c r="CE795" s="1"/>
      <c r="CF795" s="1"/>
      <c r="CG795" s="1"/>
      <c r="CH795" s="1"/>
      <c r="CI795" s="1"/>
    </row>
    <row r="796" spans="1:87"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c r="BP796" s="1"/>
      <c r="BQ796" s="1"/>
      <c r="BR796" s="1"/>
      <c r="BS796" s="1"/>
      <c r="BT796" s="1"/>
      <c r="BU796" s="1"/>
      <c r="BV796" s="1"/>
      <c r="BW796" s="1"/>
      <c r="BX796" s="1"/>
      <c r="BY796" s="1"/>
      <c r="BZ796" s="1"/>
      <c r="CA796" s="1"/>
      <c r="CB796" s="1"/>
      <c r="CC796" s="1"/>
      <c r="CD796" s="1"/>
      <c r="CE796" s="1"/>
      <c r="CF796" s="1"/>
      <c r="CG796" s="1"/>
      <c r="CH796" s="1"/>
      <c r="CI796" s="1"/>
    </row>
    <row r="797" spans="1:87"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c r="BP797" s="1"/>
      <c r="BQ797" s="1"/>
      <c r="BR797" s="1"/>
      <c r="BS797" s="1"/>
      <c r="BT797" s="1"/>
      <c r="BU797" s="1"/>
      <c r="BV797" s="1"/>
      <c r="BW797" s="1"/>
      <c r="BX797" s="1"/>
      <c r="BY797" s="1"/>
      <c r="BZ797" s="1"/>
      <c r="CA797" s="1"/>
      <c r="CB797" s="1"/>
      <c r="CC797" s="1"/>
      <c r="CD797" s="1"/>
      <c r="CE797" s="1"/>
      <c r="CF797" s="1"/>
      <c r="CG797" s="1"/>
      <c r="CH797" s="1"/>
      <c r="CI797" s="1"/>
    </row>
    <row r="798" spans="1:87"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c r="BP798" s="1"/>
      <c r="BQ798" s="1"/>
      <c r="BR798" s="1"/>
      <c r="BS798" s="1"/>
      <c r="BT798" s="1"/>
      <c r="BU798" s="1"/>
      <c r="BV798" s="1"/>
      <c r="BW798" s="1"/>
      <c r="BX798" s="1"/>
      <c r="BY798" s="1"/>
      <c r="BZ798" s="1"/>
      <c r="CA798" s="1"/>
      <c r="CB798" s="1"/>
      <c r="CC798" s="1"/>
      <c r="CD798" s="1"/>
      <c r="CE798" s="1"/>
      <c r="CF798" s="1"/>
      <c r="CG798" s="1"/>
      <c r="CH798" s="1"/>
      <c r="CI798" s="1"/>
    </row>
    <row r="799" spans="1:87"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c r="BP799" s="1"/>
      <c r="BQ799" s="1"/>
      <c r="BR799" s="1"/>
      <c r="BS799" s="1"/>
      <c r="BT799" s="1"/>
      <c r="BU799" s="1"/>
      <c r="BV799" s="1"/>
      <c r="BW799" s="1"/>
      <c r="BX799" s="1"/>
      <c r="BY799" s="1"/>
      <c r="BZ799" s="1"/>
      <c r="CA799" s="1"/>
      <c r="CB799" s="1"/>
      <c r="CC799" s="1"/>
      <c r="CD799" s="1"/>
      <c r="CE799" s="1"/>
      <c r="CF799" s="1"/>
      <c r="CG799" s="1"/>
      <c r="CH799" s="1"/>
      <c r="CI799" s="1"/>
    </row>
    <row r="800" spans="1:87"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c r="BP800" s="1"/>
      <c r="BQ800" s="1"/>
      <c r="BR800" s="1"/>
      <c r="BS800" s="1"/>
      <c r="BT800" s="1"/>
      <c r="BU800" s="1"/>
      <c r="BV800" s="1"/>
      <c r="BW800" s="1"/>
      <c r="BX800" s="1"/>
      <c r="BY800" s="1"/>
      <c r="BZ800" s="1"/>
      <c r="CA800" s="1"/>
      <c r="CB800" s="1"/>
      <c r="CC800" s="1"/>
      <c r="CD800" s="1"/>
      <c r="CE800" s="1"/>
      <c r="CF800" s="1"/>
      <c r="CG800" s="1"/>
      <c r="CH800" s="1"/>
      <c r="CI800" s="1"/>
    </row>
    <row r="801" spans="1:87"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c r="BP801" s="1"/>
      <c r="BQ801" s="1"/>
      <c r="BR801" s="1"/>
      <c r="BS801" s="1"/>
      <c r="BT801" s="1"/>
      <c r="BU801" s="1"/>
      <c r="BV801" s="1"/>
      <c r="BW801" s="1"/>
      <c r="BX801" s="1"/>
      <c r="BY801" s="1"/>
      <c r="BZ801" s="1"/>
      <c r="CA801" s="1"/>
      <c r="CB801" s="1"/>
      <c r="CC801" s="1"/>
      <c r="CD801" s="1"/>
      <c r="CE801" s="1"/>
      <c r="CF801" s="1"/>
      <c r="CG801" s="1"/>
      <c r="CH801" s="1"/>
      <c r="CI801" s="1"/>
    </row>
    <row r="802" spans="1:87"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c r="BP802" s="1"/>
      <c r="BQ802" s="1"/>
      <c r="BR802" s="1"/>
      <c r="BS802" s="1"/>
      <c r="BT802" s="1"/>
      <c r="BU802" s="1"/>
      <c r="BV802" s="1"/>
      <c r="BW802" s="1"/>
      <c r="BX802" s="1"/>
      <c r="BY802" s="1"/>
      <c r="BZ802" s="1"/>
      <c r="CA802" s="1"/>
      <c r="CB802" s="1"/>
      <c r="CC802" s="1"/>
      <c r="CD802" s="1"/>
      <c r="CE802" s="1"/>
      <c r="CF802" s="1"/>
      <c r="CG802" s="1"/>
      <c r="CH802" s="1"/>
      <c r="CI802" s="1"/>
    </row>
    <row r="803" spans="1:87"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c r="BP803" s="1"/>
      <c r="BQ803" s="1"/>
      <c r="BR803" s="1"/>
      <c r="BS803" s="1"/>
      <c r="BT803" s="1"/>
      <c r="BU803" s="1"/>
      <c r="BV803" s="1"/>
      <c r="BW803" s="1"/>
      <c r="BX803" s="1"/>
      <c r="BY803" s="1"/>
      <c r="BZ803" s="1"/>
      <c r="CA803" s="1"/>
      <c r="CB803" s="1"/>
      <c r="CC803" s="1"/>
      <c r="CD803" s="1"/>
      <c r="CE803" s="1"/>
      <c r="CF803" s="1"/>
      <c r="CG803" s="1"/>
      <c r="CH803" s="1"/>
      <c r="CI803" s="1"/>
    </row>
    <row r="804" spans="1:87"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c r="BP804" s="1"/>
      <c r="BQ804" s="1"/>
      <c r="BR804" s="1"/>
      <c r="BS804" s="1"/>
      <c r="BT804" s="1"/>
      <c r="BU804" s="1"/>
      <c r="BV804" s="1"/>
      <c r="BW804" s="1"/>
      <c r="BX804" s="1"/>
      <c r="BY804" s="1"/>
      <c r="BZ804" s="1"/>
      <c r="CA804" s="1"/>
      <c r="CB804" s="1"/>
      <c r="CC804" s="1"/>
      <c r="CD804" s="1"/>
      <c r="CE804" s="1"/>
      <c r="CF804" s="1"/>
      <c r="CG804" s="1"/>
      <c r="CH804" s="1"/>
      <c r="CI804" s="1"/>
    </row>
    <row r="805" spans="1:87"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c r="BP805" s="1"/>
      <c r="BQ805" s="1"/>
      <c r="BR805" s="1"/>
      <c r="BS805" s="1"/>
      <c r="BT805" s="1"/>
      <c r="BU805" s="1"/>
      <c r="BV805" s="1"/>
      <c r="BW805" s="1"/>
      <c r="BX805" s="1"/>
      <c r="BY805" s="1"/>
      <c r="BZ805" s="1"/>
      <c r="CA805" s="1"/>
      <c r="CB805" s="1"/>
      <c r="CC805" s="1"/>
      <c r="CD805" s="1"/>
      <c r="CE805" s="1"/>
      <c r="CF805" s="1"/>
      <c r="CG805" s="1"/>
      <c r="CH805" s="1"/>
      <c r="CI805" s="1"/>
    </row>
    <row r="806" spans="1:87"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c r="BP806" s="1"/>
      <c r="BQ806" s="1"/>
      <c r="BR806" s="1"/>
      <c r="BS806" s="1"/>
      <c r="BT806" s="1"/>
      <c r="BU806" s="1"/>
      <c r="BV806" s="1"/>
      <c r="BW806" s="1"/>
      <c r="BX806" s="1"/>
      <c r="BY806" s="1"/>
      <c r="BZ806" s="1"/>
      <c r="CA806" s="1"/>
      <c r="CB806" s="1"/>
      <c r="CC806" s="1"/>
      <c r="CD806" s="1"/>
      <c r="CE806" s="1"/>
      <c r="CF806" s="1"/>
      <c r="CG806" s="1"/>
      <c r="CH806" s="1"/>
      <c r="CI806" s="1"/>
    </row>
    <row r="807" spans="1:87"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c r="BP807" s="1"/>
      <c r="BQ807" s="1"/>
      <c r="BR807" s="1"/>
      <c r="BS807" s="1"/>
      <c r="BT807" s="1"/>
      <c r="BU807" s="1"/>
      <c r="BV807" s="1"/>
      <c r="BW807" s="1"/>
      <c r="BX807" s="1"/>
      <c r="BY807" s="1"/>
      <c r="BZ807" s="1"/>
      <c r="CA807" s="1"/>
      <c r="CB807" s="1"/>
      <c r="CC807" s="1"/>
      <c r="CD807" s="1"/>
      <c r="CE807" s="1"/>
      <c r="CF807" s="1"/>
      <c r="CG807" s="1"/>
      <c r="CH807" s="1"/>
      <c r="CI807" s="1"/>
    </row>
    <row r="808" spans="1:87"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c r="BP808" s="1"/>
      <c r="BQ808" s="1"/>
      <c r="BR808" s="1"/>
      <c r="BS808" s="1"/>
      <c r="BT808" s="1"/>
      <c r="BU808" s="1"/>
      <c r="BV808" s="1"/>
      <c r="BW808" s="1"/>
      <c r="BX808" s="1"/>
      <c r="BY808" s="1"/>
      <c r="BZ808" s="1"/>
      <c r="CA808" s="1"/>
      <c r="CB808" s="1"/>
      <c r="CC808" s="1"/>
      <c r="CD808" s="1"/>
      <c r="CE808" s="1"/>
      <c r="CF808" s="1"/>
      <c r="CG808" s="1"/>
      <c r="CH808" s="1"/>
      <c r="CI808" s="1"/>
    </row>
    <row r="809" spans="1:87"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c r="BP809" s="1"/>
      <c r="BQ809" s="1"/>
      <c r="BR809" s="1"/>
      <c r="BS809" s="1"/>
      <c r="BT809" s="1"/>
      <c r="BU809" s="1"/>
      <c r="BV809" s="1"/>
      <c r="BW809" s="1"/>
      <c r="BX809" s="1"/>
      <c r="BY809" s="1"/>
      <c r="BZ809" s="1"/>
      <c r="CA809" s="1"/>
      <c r="CB809" s="1"/>
      <c r="CC809" s="1"/>
      <c r="CD809" s="1"/>
      <c r="CE809" s="1"/>
      <c r="CF809" s="1"/>
      <c r="CG809" s="1"/>
      <c r="CH809" s="1"/>
      <c r="CI809" s="1"/>
    </row>
    <row r="810" spans="1:87"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c r="BP810" s="1"/>
      <c r="BQ810" s="1"/>
      <c r="BR810" s="1"/>
      <c r="BS810" s="1"/>
      <c r="BT810" s="1"/>
      <c r="BU810" s="1"/>
      <c r="BV810" s="1"/>
      <c r="BW810" s="1"/>
      <c r="BX810" s="1"/>
      <c r="BY810" s="1"/>
      <c r="BZ810" s="1"/>
      <c r="CA810" s="1"/>
      <c r="CB810" s="1"/>
      <c r="CC810" s="1"/>
      <c r="CD810" s="1"/>
      <c r="CE810" s="1"/>
      <c r="CF810" s="1"/>
      <c r="CG810" s="1"/>
      <c r="CH810" s="1"/>
      <c r="CI810" s="1"/>
    </row>
    <row r="811" spans="1:87"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c r="BP811" s="1"/>
      <c r="BQ811" s="1"/>
      <c r="BR811" s="1"/>
      <c r="BS811" s="1"/>
      <c r="BT811" s="1"/>
      <c r="BU811" s="1"/>
      <c r="BV811" s="1"/>
      <c r="BW811" s="1"/>
      <c r="BX811" s="1"/>
      <c r="BY811" s="1"/>
      <c r="BZ811" s="1"/>
      <c r="CA811" s="1"/>
      <c r="CB811" s="1"/>
      <c r="CC811" s="1"/>
      <c r="CD811" s="1"/>
      <c r="CE811" s="1"/>
      <c r="CF811" s="1"/>
      <c r="CG811" s="1"/>
      <c r="CH811" s="1"/>
      <c r="CI811" s="1"/>
    </row>
    <row r="812" spans="1:87"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c r="BP812" s="1"/>
      <c r="BQ812" s="1"/>
      <c r="BR812" s="1"/>
      <c r="BS812" s="1"/>
      <c r="BT812" s="1"/>
      <c r="BU812" s="1"/>
      <c r="BV812" s="1"/>
      <c r="BW812" s="1"/>
      <c r="BX812" s="1"/>
      <c r="BY812" s="1"/>
      <c r="BZ812" s="1"/>
      <c r="CA812" s="1"/>
      <c r="CB812" s="1"/>
      <c r="CC812" s="1"/>
      <c r="CD812" s="1"/>
      <c r="CE812" s="1"/>
      <c r="CF812" s="1"/>
      <c r="CG812" s="1"/>
      <c r="CH812" s="1"/>
      <c r="CI812" s="1"/>
    </row>
    <row r="813" spans="1:87"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c r="BP813" s="1"/>
      <c r="BQ813" s="1"/>
      <c r="BR813" s="1"/>
      <c r="BS813" s="1"/>
      <c r="BT813" s="1"/>
      <c r="BU813" s="1"/>
      <c r="BV813" s="1"/>
      <c r="BW813" s="1"/>
      <c r="BX813" s="1"/>
      <c r="BY813" s="1"/>
      <c r="BZ813" s="1"/>
      <c r="CA813" s="1"/>
      <c r="CB813" s="1"/>
      <c r="CC813" s="1"/>
      <c r="CD813" s="1"/>
      <c r="CE813" s="1"/>
      <c r="CF813" s="1"/>
      <c r="CG813" s="1"/>
      <c r="CH813" s="1"/>
      <c r="CI813" s="1"/>
    </row>
    <row r="814" spans="1:87"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c r="BP814" s="1"/>
      <c r="BQ814" s="1"/>
      <c r="BR814" s="1"/>
      <c r="BS814" s="1"/>
      <c r="BT814" s="1"/>
      <c r="BU814" s="1"/>
      <c r="BV814" s="1"/>
      <c r="BW814" s="1"/>
      <c r="BX814" s="1"/>
      <c r="BY814" s="1"/>
      <c r="BZ814" s="1"/>
      <c r="CA814" s="1"/>
      <c r="CB814" s="1"/>
      <c r="CC814" s="1"/>
      <c r="CD814" s="1"/>
      <c r="CE814" s="1"/>
      <c r="CF814" s="1"/>
      <c r="CG814" s="1"/>
      <c r="CH814" s="1"/>
      <c r="CI814" s="1"/>
    </row>
    <row r="815" spans="1:87"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c r="BP815" s="1"/>
      <c r="BQ815" s="1"/>
      <c r="BR815" s="1"/>
      <c r="BS815" s="1"/>
      <c r="BT815" s="1"/>
      <c r="BU815" s="1"/>
      <c r="BV815" s="1"/>
      <c r="BW815" s="1"/>
      <c r="BX815" s="1"/>
      <c r="BY815" s="1"/>
      <c r="BZ815" s="1"/>
      <c r="CA815" s="1"/>
      <c r="CB815" s="1"/>
      <c r="CC815" s="1"/>
      <c r="CD815" s="1"/>
      <c r="CE815" s="1"/>
      <c r="CF815" s="1"/>
      <c r="CG815" s="1"/>
      <c r="CH815" s="1"/>
      <c r="CI815" s="1"/>
    </row>
    <row r="816" spans="1:87"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c r="BP816" s="1"/>
      <c r="BQ816" s="1"/>
      <c r="BR816" s="1"/>
      <c r="BS816" s="1"/>
      <c r="BT816" s="1"/>
      <c r="BU816" s="1"/>
      <c r="BV816" s="1"/>
      <c r="BW816" s="1"/>
      <c r="BX816" s="1"/>
      <c r="BY816" s="1"/>
      <c r="BZ816" s="1"/>
      <c r="CA816" s="1"/>
      <c r="CB816" s="1"/>
      <c r="CC816" s="1"/>
      <c r="CD816" s="1"/>
      <c r="CE816" s="1"/>
      <c r="CF816" s="1"/>
      <c r="CG816" s="1"/>
      <c r="CH816" s="1"/>
      <c r="CI816" s="1"/>
    </row>
    <row r="817" spans="1:87"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c r="BP817" s="1"/>
      <c r="BQ817" s="1"/>
      <c r="BR817" s="1"/>
      <c r="BS817" s="1"/>
      <c r="BT817" s="1"/>
      <c r="BU817" s="1"/>
      <c r="BV817" s="1"/>
      <c r="BW817" s="1"/>
      <c r="BX817" s="1"/>
      <c r="BY817" s="1"/>
      <c r="BZ817" s="1"/>
      <c r="CA817" s="1"/>
      <c r="CB817" s="1"/>
      <c r="CC817" s="1"/>
      <c r="CD817" s="1"/>
      <c r="CE817" s="1"/>
      <c r="CF817" s="1"/>
      <c r="CG817" s="1"/>
      <c r="CH817" s="1"/>
      <c r="CI817" s="1"/>
    </row>
    <row r="818" spans="1:87"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c r="BP818" s="1"/>
      <c r="BQ818" s="1"/>
      <c r="BR818" s="1"/>
      <c r="BS818" s="1"/>
      <c r="BT818" s="1"/>
      <c r="BU818" s="1"/>
      <c r="BV818" s="1"/>
      <c r="BW818" s="1"/>
      <c r="BX818" s="1"/>
      <c r="BY818" s="1"/>
      <c r="BZ818" s="1"/>
      <c r="CA818" s="1"/>
      <c r="CB818" s="1"/>
      <c r="CC818" s="1"/>
      <c r="CD818" s="1"/>
      <c r="CE818" s="1"/>
      <c r="CF818" s="1"/>
      <c r="CG818" s="1"/>
      <c r="CH818" s="1"/>
      <c r="CI818" s="1"/>
    </row>
    <row r="819" spans="1:87"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c r="BP819" s="1"/>
      <c r="BQ819" s="1"/>
      <c r="BR819" s="1"/>
      <c r="BS819" s="1"/>
      <c r="BT819" s="1"/>
      <c r="BU819" s="1"/>
      <c r="BV819" s="1"/>
      <c r="BW819" s="1"/>
      <c r="BX819" s="1"/>
      <c r="BY819" s="1"/>
      <c r="BZ819" s="1"/>
      <c r="CA819" s="1"/>
      <c r="CB819" s="1"/>
      <c r="CC819" s="1"/>
      <c r="CD819" s="1"/>
      <c r="CE819" s="1"/>
      <c r="CF819" s="1"/>
      <c r="CG819" s="1"/>
      <c r="CH819" s="1"/>
      <c r="CI819" s="1"/>
    </row>
    <row r="820" spans="1:87"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c r="BP820" s="1"/>
      <c r="BQ820" s="1"/>
      <c r="BR820" s="1"/>
      <c r="BS820" s="1"/>
      <c r="BT820" s="1"/>
      <c r="BU820" s="1"/>
      <c r="BV820" s="1"/>
      <c r="BW820" s="1"/>
      <c r="BX820" s="1"/>
      <c r="BY820" s="1"/>
      <c r="BZ820" s="1"/>
      <c r="CA820" s="1"/>
      <c r="CB820" s="1"/>
      <c r="CC820" s="1"/>
      <c r="CD820" s="1"/>
      <c r="CE820" s="1"/>
      <c r="CF820" s="1"/>
      <c r="CG820" s="1"/>
      <c r="CH820" s="1"/>
      <c r="CI820" s="1"/>
    </row>
    <row r="821" spans="1:87"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c r="BP821" s="1"/>
      <c r="BQ821" s="1"/>
      <c r="BR821" s="1"/>
      <c r="BS821" s="1"/>
      <c r="BT821" s="1"/>
      <c r="BU821" s="1"/>
      <c r="BV821" s="1"/>
      <c r="BW821" s="1"/>
      <c r="BX821" s="1"/>
      <c r="BY821" s="1"/>
      <c r="BZ821" s="1"/>
      <c r="CA821" s="1"/>
      <c r="CB821" s="1"/>
      <c r="CC821" s="1"/>
      <c r="CD821" s="1"/>
      <c r="CE821" s="1"/>
      <c r="CF821" s="1"/>
      <c r="CG821" s="1"/>
      <c r="CH821" s="1"/>
      <c r="CI821" s="1"/>
    </row>
    <row r="822" spans="1:87"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c r="BP822" s="1"/>
      <c r="BQ822" s="1"/>
      <c r="BR822" s="1"/>
      <c r="BS822" s="1"/>
      <c r="BT822" s="1"/>
      <c r="BU822" s="1"/>
      <c r="BV822" s="1"/>
      <c r="BW822" s="1"/>
      <c r="BX822" s="1"/>
      <c r="BY822" s="1"/>
      <c r="BZ822" s="1"/>
      <c r="CA822" s="1"/>
      <c r="CB822" s="1"/>
      <c r="CC822" s="1"/>
      <c r="CD822" s="1"/>
      <c r="CE822" s="1"/>
      <c r="CF822" s="1"/>
      <c r="CG822" s="1"/>
      <c r="CH822" s="1"/>
      <c r="CI822" s="1"/>
    </row>
    <row r="823" spans="1:87"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c r="BP823" s="1"/>
      <c r="BQ823" s="1"/>
      <c r="BR823" s="1"/>
      <c r="BS823" s="1"/>
      <c r="BT823" s="1"/>
      <c r="BU823" s="1"/>
      <c r="BV823" s="1"/>
      <c r="BW823" s="1"/>
      <c r="BX823" s="1"/>
      <c r="BY823" s="1"/>
      <c r="BZ823" s="1"/>
      <c r="CA823" s="1"/>
      <c r="CB823" s="1"/>
      <c r="CC823" s="1"/>
      <c r="CD823" s="1"/>
      <c r="CE823" s="1"/>
      <c r="CF823" s="1"/>
      <c r="CG823" s="1"/>
      <c r="CH823" s="1"/>
      <c r="CI823" s="1"/>
    </row>
    <row r="824" spans="1:87"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c r="BP824" s="1"/>
      <c r="BQ824" s="1"/>
      <c r="BR824" s="1"/>
      <c r="BS824" s="1"/>
      <c r="BT824" s="1"/>
      <c r="BU824" s="1"/>
      <c r="BV824" s="1"/>
      <c r="BW824" s="1"/>
      <c r="BX824" s="1"/>
      <c r="BY824" s="1"/>
      <c r="BZ824" s="1"/>
      <c r="CA824" s="1"/>
      <c r="CB824" s="1"/>
      <c r="CC824" s="1"/>
      <c r="CD824" s="1"/>
      <c r="CE824" s="1"/>
      <c r="CF824" s="1"/>
      <c r="CG824" s="1"/>
      <c r="CH824" s="1"/>
      <c r="CI824" s="1"/>
    </row>
    <row r="825" spans="1:87"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c r="BP825" s="1"/>
      <c r="BQ825" s="1"/>
      <c r="BR825" s="1"/>
      <c r="BS825" s="1"/>
      <c r="BT825" s="1"/>
      <c r="BU825" s="1"/>
      <c r="BV825" s="1"/>
      <c r="BW825" s="1"/>
      <c r="BX825" s="1"/>
      <c r="BY825" s="1"/>
      <c r="BZ825" s="1"/>
      <c r="CA825" s="1"/>
      <c r="CB825" s="1"/>
      <c r="CC825" s="1"/>
      <c r="CD825" s="1"/>
      <c r="CE825" s="1"/>
      <c r="CF825" s="1"/>
      <c r="CG825" s="1"/>
      <c r="CH825" s="1"/>
      <c r="CI825" s="1"/>
    </row>
    <row r="826" spans="1:87"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c r="BP826" s="1"/>
      <c r="BQ826" s="1"/>
      <c r="BR826" s="1"/>
      <c r="BS826" s="1"/>
      <c r="BT826" s="1"/>
      <c r="BU826" s="1"/>
      <c r="BV826" s="1"/>
      <c r="BW826" s="1"/>
      <c r="BX826" s="1"/>
      <c r="BY826" s="1"/>
      <c r="BZ826" s="1"/>
      <c r="CA826" s="1"/>
      <c r="CB826" s="1"/>
      <c r="CC826" s="1"/>
      <c r="CD826" s="1"/>
      <c r="CE826" s="1"/>
      <c r="CF826" s="1"/>
      <c r="CG826" s="1"/>
      <c r="CH826" s="1"/>
      <c r="CI826" s="1"/>
    </row>
    <row r="827" spans="1:87"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c r="BP827" s="1"/>
      <c r="BQ827" s="1"/>
      <c r="BR827" s="1"/>
      <c r="BS827" s="1"/>
      <c r="BT827" s="1"/>
      <c r="BU827" s="1"/>
      <c r="BV827" s="1"/>
      <c r="BW827" s="1"/>
      <c r="BX827" s="1"/>
      <c r="BY827" s="1"/>
      <c r="BZ827" s="1"/>
      <c r="CA827" s="1"/>
      <c r="CB827" s="1"/>
      <c r="CC827" s="1"/>
      <c r="CD827" s="1"/>
      <c r="CE827" s="1"/>
      <c r="CF827" s="1"/>
      <c r="CG827" s="1"/>
      <c r="CH827" s="1"/>
      <c r="CI827" s="1"/>
    </row>
    <row r="828" spans="1:87"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c r="BP828" s="1"/>
      <c r="BQ828" s="1"/>
      <c r="BR828" s="1"/>
      <c r="BS828" s="1"/>
      <c r="BT828" s="1"/>
      <c r="BU828" s="1"/>
      <c r="BV828" s="1"/>
      <c r="BW828" s="1"/>
      <c r="BX828" s="1"/>
      <c r="BY828" s="1"/>
      <c r="BZ828" s="1"/>
      <c r="CA828" s="1"/>
      <c r="CB828" s="1"/>
      <c r="CC828" s="1"/>
      <c r="CD828" s="1"/>
      <c r="CE828" s="1"/>
      <c r="CF828" s="1"/>
      <c r="CG828" s="1"/>
      <c r="CH828" s="1"/>
      <c r="CI828" s="1"/>
    </row>
    <row r="829" spans="1:87"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c r="BP829" s="1"/>
      <c r="BQ829" s="1"/>
      <c r="BR829" s="1"/>
      <c r="BS829" s="1"/>
      <c r="BT829" s="1"/>
      <c r="BU829" s="1"/>
      <c r="BV829" s="1"/>
      <c r="BW829" s="1"/>
      <c r="BX829" s="1"/>
      <c r="BY829" s="1"/>
      <c r="BZ829" s="1"/>
      <c r="CA829" s="1"/>
      <c r="CB829" s="1"/>
      <c r="CC829" s="1"/>
      <c r="CD829" s="1"/>
      <c r="CE829" s="1"/>
      <c r="CF829" s="1"/>
      <c r="CG829" s="1"/>
      <c r="CH829" s="1"/>
      <c r="CI829" s="1"/>
    </row>
    <row r="830" spans="1:87"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c r="BP830" s="1"/>
      <c r="BQ830" s="1"/>
      <c r="BR830" s="1"/>
      <c r="BS830" s="1"/>
      <c r="BT830" s="1"/>
      <c r="BU830" s="1"/>
      <c r="BV830" s="1"/>
      <c r="BW830" s="1"/>
      <c r="BX830" s="1"/>
      <c r="BY830" s="1"/>
      <c r="BZ830" s="1"/>
      <c r="CA830" s="1"/>
      <c r="CB830" s="1"/>
      <c r="CC830" s="1"/>
      <c r="CD830" s="1"/>
      <c r="CE830" s="1"/>
      <c r="CF830" s="1"/>
      <c r="CG830" s="1"/>
      <c r="CH830" s="1"/>
      <c r="CI830" s="1"/>
    </row>
    <row r="831" spans="1:87"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c r="BP831" s="1"/>
      <c r="BQ831" s="1"/>
      <c r="BR831" s="1"/>
      <c r="BS831" s="1"/>
      <c r="BT831" s="1"/>
      <c r="BU831" s="1"/>
      <c r="BV831" s="1"/>
      <c r="BW831" s="1"/>
      <c r="BX831" s="1"/>
      <c r="BY831" s="1"/>
      <c r="BZ831" s="1"/>
      <c r="CA831" s="1"/>
      <c r="CB831" s="1"/>
      <c r="CC831" s="1"/>
      <c r="CD831" s="1"/>
      <c r="CE831" s="1"/>
      <c r="CF831" s="1"/>
      <c r="CG831" s="1"/>
      <c r="CH831" s="1"/>
      <c r="CI831" s="1"/>
    </row>
    <row r="832" spans="1:87"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c r="BP832" s="1"/>
      <c r="BQ832" s="1"/>
      <c r="BR832" s="1"/>
      <c r="BS832" s="1"/>
      <c r="BT832" s="1"/>
      <c r="BU832" s="1"/>
      <c r="BV832" s="1"/>
      <c r="BW832" s="1"/>
      <c r="BX832" s="1"/>
      <c r="BY832" s="1"/>
      <c r="BZ832" s="1"/>
      <c r="CA832" s="1"/>
      <c r="CB832" s="1"/>
      <c r="CC832" s="1"/>
      <c r="CD832" s="1"/>
      <c r="CE832" s="1"/>
      <c r="CF832" s="1"/>
      <c r="CG832" s="1"/>
      <c r="CH832" s="1"/>
      <c r="CI832" s="1"/>
    </row>
    <row r="833" spans="1:87"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c r="BP833" s="1"/>
      <c r="BQ833" s="1"/>
      <c r="BR833" s="1"/>
      <c r="BS833" s="1"/>
      <c r="BT833" s="1"/>
      <c r="BU833" s="1"/>
      <c r="BV833" s="1"/>
      <c r="BW833" s="1"/>
      <c r="BX833" s="1"/>
      <c r="BY833" s="1"/>
      <c r="BZ833" s="1"/>
      <c r="CA833" s="1"/>
      <c r="CB833" s="1"/>
      <c r="CC833" s="1"/>
      <c r="CD833" s="1"/>
      <c r="CE833" s="1"/>
      <c r="CF833" s="1"/>
      <c r="CG833" s="1"/>
      <c r="CH833" s="1"/>
      <c r="CI833" s="1"/>
    </row>
    <row r="834" spans="1:87"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c r="BP834" s="1"/>
      <c r="BQ834" s="1"/>
      <c r="BR834" s="1"/>
      <c r="BS834" s="1"/>
      <c r="BT834" s="1"/>
      <c r="BU834" s="1"/>
      <c r="BV834" s="1"/>
      <c r="BW834" s="1"/>
      <c r="BX834" s="1"/>
      <c r="BY834" s="1"/>
      <c r="BZ834" s="1"/>
      <c r="CA834" s="1"/>
      <c r="CB834" s="1"/>
      <c r="CC834" s="1"/>
      <c r="CD834" s="1"/>
      <c r="CE834" s="1"/>
      <c r="CF834" s="1"/>
      <c r="CG834" s="1"/>
      <c r="CH834" s="1"/>
      <c r="CI834" s="1"/>
    </row>
    <row r="835" spans="1:87"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c r="BP835" s="1"/>
      <c r="BQ835" s="1"/>
      <c r="BR835" s="1"/>
      <c r="BS835" s="1"/>
      <c r="BT835" s="1"/>
      <c r="BU835" s="1"/>
      <c r="BV835" s="1"/>
      <c r="BW835" s="1"/>
      <c r="BX835" s="1"/>
      <c r="BY835" s="1"/>
      <c r="BZ835" s="1"/>
      <c r="CA835" s="1"/>
      <c r="CB835" s="1"/>
      <c r="CC835" s="1"/>
      <c r="CD835" s="1"/>
      <c r="CE835" s="1"/>
      <c r="CF835" s="1"/>
      <c r="CG835" s="1"/>
      <c r="CH835" s="1"/>
      <c r="CI835" s="1"/>
    </row>
    <row r="836" spans="1:87"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c r="BP836" s="1"/>
      <c r="BQ836" s="1"/>
      <c r="BR836" s="1"/>
      <c r="BS836" s="1"/>
      <c r="BT836" s="1"/>
      <c r="BU836" s="1"/>
      <c r="BV836" s="1"/>
      <c r="BW836" s="1"/>
      <c r="BX836" s="1"/>
      <c r="BY836" s="1"/>
      <c r="BZ836" s="1"/>
      <c r="CA836" s="1"/>
      <c r="CB836" s="1"/>
      <c r="CC836" s="1"/>
      <c r="CD836" s="1"/>
      <c r="CE836" s="1"/>
      <c r="CF836" s="1"/>
      <c r="CG836" s="1"/>
      <c r="CH836" s="1"/>
      <c r="CI836" s="1"/>
    </row>
    <row r="837" spans="1:87"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c r="BP837" s="1"/>
      <c r="BQ837" s="1"/>
      <c r="BR837" s="1"/>
      <c r="BS837" s="1"/>
      <c r="BT837" s="1"/>
      <c r="BU837" s="1"/>
      <c r="BV837" s="1"/>
      <c r="BW837" s="1"/>
      <c r="BX837" s="1"/>
      <c r="BY837" s="1"/>
      <c r="BZ837" s="1"/>
      <c r="CA837" s="1"/>
      <c r="CB837" s="1"/>
      <c r="CC837" s="1"/>
      <c r="CD837" s="1"/>
      <c r="CE837" s="1"/>
      <c r="CF837" s="1"/>
      <c r="CG837" s="1"/>
      <c r="CH837" s="1"/>
      <c r="CI837" s="1"/>
    </row>
    <row r="838" spans="1:87"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c r="BP838" s="1"/>
      <c r="BQ838" s="1"/>
      <c r="BR838" s="1"/>
      <c r="BS838" s="1"/>
      <c r="BT838" s="1"/>
      <c r="BU838" s="1"/>
      <c r="BV838" s="1"/>
      <c r="BW838" s="1"/>
      <c r="BX838" s="1"/>
      <c r="BY838" s="1"/>
      <c r="BZ838" s="1"/>
      <c r="CA838" s="1"/>
      <c r="CB838" s="1"/>
      <c r="CC838" s="1"/>
      <c r="CD838" s="1"/>
      <c r="CE838" s="1"/>
      <c r="CF838" s="1"/>
      <c r="CG838" s="1"/>
      <c r="CH838" s="1"/>
      <c r="CI838" s="1"/>
    </row>
    <row r="839" spans="1:87"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c r="BP839" s="1"/>
      <c r="BQ839" s="1"/>
      <c r="BR839" s="1"/>
      <c r="BS839" s="1"/>
      <c r="BT839" s="1"/>
      <c r="BU839" s="1"/>
      <c r="BV839" s="1"/>
      <c r="BW839" s="1"/>
      <c r="BX839" s="1"/>
      <c r="BY839" s="1"/>
      <c r="BZ839" s="1"/>
      <c r="CA839" s="1"/>
      <c r="CB839" s="1"/>
      <c r="CC839" s="1"/>
      <c r="CD839" s="1"/>
      <c r="CE839" s="1"/>
      <c r="CF839" s="1"/>
      <c r="CG839" s="1"/>
      <c r="CH839" s="1"/>
      <c r="CI839" s="1"/>
    </row>
    <row r="840" spans="1:87"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c r="BP840" s="1"/>
      <c r="BQ840" s="1"/>
      <c r="BR840" s="1"/>
      <c r="BS840" s="1"/>
      <c r="BT840" s="1"/>
      <c r="BU840" s="1"/>
      <c r="BV840" s="1"/>
      <c r="BW840" s="1"/>
      <c r="BX840" s="1"/>
      <c r="BY840" s="1"/>
      <c r="BZ840" s="1"/>
      <c r="CA840" s="1"/>
      <c r="CB840" s="1"/>
      <c r="CC840" s="1"/>
      <c r="CD840" s="1"/>
      <c r="CE840" s="1"/>
      <c r="CF840" s="1"/>
      <c r="CG840" s="1"/>
      <c r="CH840" s="1"/>
      <c r="CI840" s="1"/>
    </row>
    <row r="841" spans="1:87"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c r="BP841" s="1"/>
      <c r="BQ841" s="1"/>
      <c r="BR841" s="1"/>
      <c r="BS841" s="1"/>
      <c r="BT841" s="1"/>
      <c r="BU841" s="1"/>
      <c r="BV841" s="1"/>
      <c r="BW841" s="1"/>
      <c r="BX841" s="1"/>
      <c r="BY841" s="1"/>
      <c r="BZ841" s="1"/>
      <c r="CA841" s="1"/>
      <c r="CB841" s="1"/>
      <c r="CC841" s="1"/>
      <c r="CD841" s="1"/>
      <c r="CE841" s="1"/>
      <c r="CF841" s="1"/>
      <c r="CG841" s="1"/>
      <c r="CH841" s="1"/>
      <c r="CI841" s="1"/>
    </row>
    <row r="842" spans="1:87"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c r="BP842" s="1"/>
      <c r="BQ842" s="1"/>
      <c r="BR842" s="1"/>
      <c r="BS842" s="1"/>
      <c r="BT842" s="1"/>
      <c r="BU842" s="1"/>
      <c r="BV842" s="1"/>
      <c r="BW842" s="1"/>
      <c r="BX842" s="1"/>
      <c r="BY842" s="1"/>
      <c r="BZ842" s="1"/>
      <c r="CA842" s="1"/>
      <c r="CB842" s="1"/>
      <c r="CC842" s="1"/>
      <c r="CD842" s="1"/>
      <c r="CE842" s="1"/>
      <c r="CF842" s="1"/>
      <c r="CG842" s="1"/>
      <c r="CH842" s="1"/>
      <c r="CI842" s="1"/>
    </row>
    <row r="843" spans="1:87"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c r="BP843" s="1"/>
      <c r="BQ843" s="1"/>
      <c r="BR843" s="1"/>
      <c r="BS843" s="1"/>
      <c r="BT843" s="1"/>
      <c r="BU843" s="1"/>
      <c r="BV843" s="1"/>
      <c r="BW843" s="1"/>
      <c r="BX843" s="1"/>
      <c r="BY843" s="1"/>
      <c r="BZ843" s="1"/>
      <c r="CA843" s="1"/>
      <c r="CB843" s="1"/>
      <c r="CC843" s="1"/>
      <c r="CD843" s="1"/>
      <c r="CE843" s="1"/>
      <c r="CF843" s="1"/>
      <c r="CG843" s="1"/>
      <c r="CH843" s="1"/>
      <c r="CI843" s="1"/>
    </row>
    <row r="844" spans="1:87"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c r="BP844" s="1"/>
      <c r="BQ844" s="1"/>
      <c r="BR844" s="1"/>
      <c r="BS844" s="1"/>
      <c r="BT844" s="1"/>
      <c r="BU844" s="1"/>
      <c r="BV844" s="1"/>
      <c r="BW844" s="1"/>
      <c r="BX844" s="1"/>
      <c r="BY844" s="1"/>
      <c r="BZ844" s="1"/>
      <c r="CA844" s="1"/>
      <c r="CB844" s="1"/>
      <c r="CC844" s="1"/>
      <c r="CD844" s="1"/>
      <c r="CE844" s="1"/>
      <c r="CF844" s="1"/>
      <c r="CG844" s="1"/>
      <c r="CH844" s="1"/>
      <c r="CI844" s="1"/>
    </row>
    <row r="845" spans="1:87"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c r="BP845" s="1"/>
      <c r="BQ845" s="1"/>
      <c r="BR845" s="1"/>
      <c r="BS845" s="1"/>
      <c r="BT845" s="1"/>
      <c r="BU845" s="1"/>
      <c r="BV845" s="1"/>
      <c r="BW845" s="1"/>
      <c r="BX845" s="1"/>
      <c r="BY845" s="1"/>
      <c r="BZ845" s="1"/>
      <c r="CA845" s="1"/>
      <c r="CB845" s="1"/>
      <c r="CC845" s="1"/>
      <c r="CD845" s="1"/>
      <c r="CE845" s="1"/>
      <c r="CF845" s="1"/>
      <c r="CG845" s="1"/>
      <c r="CH845" s="1"/>
      <c r="CI845" s="1"/>
    </row>
    <row r="846" spans="1:87"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c r="BP846" s="1"/>
      <c r="BQ846" s="1"/>
      <c r="BR846" s="1"/>
      <c r="BS846" s="1"/>
      <c r="BT846" s="1"/>
      <c r="BU846" s="1"/>
      <c r="BV846" s="1"/>
      <c r="BW846" s="1"/>
      <c r="BX846" s="1"/>
      <c r="BY846" s="1"/>
      <c r="BZ846" s="1"/>
      <c r="CA846" s="1"/>
      <c r="CB846" s="1"/>
      <c r="CC846" s="1"/>
      <c r="CD846" s="1"/>
      <c r="CE846" s="1"/>
      <c r="CF846" s="1"/>
      <c r="CG846" s="1"/>
      <c r="CH846" s="1"/>
      <c r="CI846" s="1"/>
    </row>
    <row r="847" spans="1:87"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c r="BP847" s="1"/>
      <c r="BQ847" s="1"/>
      <c r="BR847" s="1"/>
      <c r="BS847" s="1"/>
      <c r="BT847" s="1"/>
      <c r="BU847" s="1"/>
      <c r="BV847" s="1"/>
      <c r="BW847" s="1"/>
      <c r="BX847" s="1"/>
      <c r="BY847" s="1"/>
      <c r="BZ847" s="1"/>
      <c r="CA847" s="1"/>
      <c r="CB847" s="1"/>
      <c r="CC847" s="1"/>
      <c r="CD847" s="1"/>
      <c r="CE847" s="1"/>
      <c r="CF847" s="1"/>
      <c r="CG847" s="1"/>
      <c r="CH847" s="1"/>
      <c r="CI847" s="1"/>
    </row>
    <row r="848" spans="1:87"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c r="BP848" s="1"/>
      <c r="BQ848" s="1"/>
      <c r="BR848" s="1"/>
      <c r="BS848" s="1"/>
      <c r="BT848" s="1"/>
      <c r="BU848" s="1"/>
      <c r="BV848" s="1"/>
      <c r="BW848" s="1"/>
      <c r="BX848" s="1"/>
      <c r="BY848" s="1"/>
      <c r="BZ848" s="1"/>
      <c r="CA848" s="1"/>
      <c r="CB848" s="1"/>
      <c r="CC848" s="1"/>
      <c r="CD848" s="1"/>
      <c r="CE848" s="1"/>
      <c r="CF848" s="1"/>
      <c r="CG848" s="1"/>
      <c r="CH848" s="1"/>
      <c r="CI848" s="1"/>
    </row>
    <row r="849" spans="1:87"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c r="BP849" s="1"/>
      <c r="BQ849" s="1"/>
      <c r="BR849" s="1"/>
      <c r="BS849" s="1"/>
      <c r="BT849" s="1"/>
      <c r="BU849" s="1"/>
      <c r="BV849" s="1"/>
      <c r="BW849" s="1"/>
      <c r="BX849" s="1"/>
      <c r="BY849" s="1"/>
      <c r="BZ849" s="1"/>
      <c r="CA849" s="1"/>
      <c r="CB849" s="1"/>
      <c r="CC849" s="1"/>
      <c r="CD849" s="1"/>
      <c r="CE849" s="1"/>
      <c r="CF849" s="1"/>
      <c r="CG849" s="1"/>
      <c r="CH849" s="1"/>
      <c r="CI849" s="1"/>
    </row>
    <row r="850" spans="1:87"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c r="BP850" s="1"/>
      <c r="BQ850" s="1"/>
      <c r="BR850" s="1"/>
      <c r="BS850" s="1"/>
      <c r="BT850" s="1"/>
      <c r="BU850" s="1"/>
      <c r="BV850" s="1"/>
      <c r="BW850" s="1"/>
      <c r="BX850" s="1"/>
      <c r="BY850" s="1"/>
      <c r="BZ850" s="1"/>
      <c r="CA850" s="1"/>
      <c r="CB850" s="1"/>
      <c r="CC850" s="1"/>
      <c r="CD850" s="1"/>
      <c r="CE850" s="1"/>
      <c r="CF850" s="1"/>
      <c r="CG850" s="1"/>
      <c r="CH850" s="1"/>
      <c r="CI850" s="1"/>
    </row>
    <row r="851" spans="1:87"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c r="BP851" s="1"/>
      <c r="BQ851" s="1"/>
      <c r="BR851" s="1"/>
      <c r="BS851" s="1"/>
      <c r="BT851" s="1"/>
      <c r="BU851" s="1"/>
      <c r="BV851" s="1"/>
      <c r="BW851" s="1"/>
      <c r="BX851" s="1"/>
      <c r="BY851" s="1"/>
      <c r="BZ851" s="1"/>
      <c r="CA851" s="1"/>
      <c r="CB851" s="1"/>
      <c r="CC851" s="1"/>
      <c r="CD851" s="1"/>
      <c r="CE851" s="1"/>
      <c r="CF851" s="1"/>
      <c r="CG851" s="1"/>
      <c r="CH851" s="1"/>
      <c r="CI851" s="1"/>
    </row>
    <row r="852" spans="1:87"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c r="BP852" s="1"/>
      <c r="BQ852" s="1"/>
      <c r="BR852" s="1"/>
      <c r="BS852" s="1"/>
      <c r="BT852" s="1"/>
      <c r="BU852" s="1"/>
      <c r="BV852" s="1"/>
      <c r="BW852" s="1"/>
      <c r="BX852" s="1"/>
      <c r="BY852" s="1"/>
      <c r="BZ852" s="1"/>
      <c r="CA852" s="1"/>
      <c r="CB852" s="1"/>
      <c r="CC852" s="1"/>
      <c r="CD852" s="1"/>
      <c r="CE852" s="1"/>
      <c r="CF852" s="1"/>
      <c r="CG852" s="1"/>
      <c r="CH852" s="1"/>
      <c r="CI852" s="1"/>
    </row>
    <row r="853" spans="1:87"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c r="BP853" s="1"/>
      <c r="BQ853" s="1"/>
      <c r="BR853" s="1"/>
      <c r="BS853" s="1"/>
      <c r="BT853" s="1"/>
      <c r="BU853" s="1"/>
      <c r="BV853" s="1"/>
      <c r="BW853" s="1"/>
      <c r="BX853" s="1"/>
      <c r="BY853" s="1"/>
      <c r="BZ853" s="1"/>
      <c r="CA853" s="1"/>
      <c r="CB853" s="1"/>
      <c r="CC853" s="1"/>
      <c r="CD853" s="1"/>
      <c r="CE853" s="1"/>
      <c r="CF853" s="1"/>
      <c r="CG853" s="1"/>
      <c r="CH853" s="1"/>
      <c r="CI853" s="1"/>
    </row>
    <row r="854" spans="1:87"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c r="BP854" s="1"/>
      <c r="BQ854" s="1"/>
      <c r="BR854" s="1"/>
      <c r="BS854" s="1"/>
      <c r="BT854" s="1"/>
      <c r="BU854" s="1"/>
      <c r="BV854" s="1"/>
      <c r="BW854" s="1"/>
      <c r="BX854" s="1"/>
      <c r="BY854" s="1"/>
      <c r="BZ854" s="1"/>
      <c r="CA854" s="1"/>
      <c r="CB854" s="1"/>
      <c r="CC854" s="1"/>
      <c r="CD854" s="1"/>
      <c r="CE854" s="1"/>
      <c r="CF854" s="1"/>
      <c r="CG854" s="1"/>
      <c r="CH854" s="1"/>
      <c r="CI854" s="1"/>
    </row>
    <row r="855" spans="1:87"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c r="BP855" s="1"/>
      <c r="BQ855" s="1"/>
      <c r="BR855" s="1"/>
      <c r="BS855" s="1"/>
      <c r="BT855" s="1"/>
      <c r="BU855" s="1"/>
      <c r="BV855" s="1"/>
      <c r="BW855" s="1"/>
      <c r="BX855" s="1"/>
      <c r="BY855" s="1"/>
      <c r="BZ855" s="1"/>
      <c r="CA855" s="1"/>
      <c r="CB855" s="1"/>
      <c r="CC855" s="1"/>
      <c r="CD855" s="1"/>
      <c r="CE855" s="1"/>
      <c r="CF855" s="1"/>
      <c r="CG855" s="1"/>
      <c r="CH855" s="1"/>
      <c r="CI855" s="1"/>
    </row>
    <row r="856" spans="1:87"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c r="BP856" s="1"/>
      <c r="BQ856" s="1"/>
      <c r="BR856" s="1"/>
      <c r="BS856" s="1"/>
      <c r="BT856" s="1"/>
      <c r="BU856" s="1"/>
      <c r="BV856" s="1"/>
      <c r="BW856" s="1"/>
      <c r="BX856" s="1"/>
      <c r="BY856" s="1"/>
      <c r="BZ856" s="1"/>
      <c r="CA856" s="1"/>
      <c r="CB856" s="1"/>
      <c r="CC856" s="1"/>
      <c r="CD856" s="1"/>
      <c r="CE856" s="1"/>
      <c r="CF856" s="1"/>
      <c r="CG856" s="1"/>
      <c r="CH856" s="1"/>
      <c r="CI856" s="1"/>
    </row>
    <row r="857" spans="1:87"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c r="BP857" s="1"/>
      <c r="BQ857" s="1"/>
      <c r="BR857" s="1"/>
      <c r="BS857" s="1"/>
      <c r="BT857" s="1"/>
      <c r="BU857" s="1"/>
      <c r="BV857" s="1"/>
      <c r="BW857" s="1"/>
      <c r="BX857" s="1"/>
      <c r="BY857" s="1"/>
      <c r="BZ857" s="1"/>
      <c r="CA857" s="1"/>
      <c r="CB857" s="1"/>
      <c r="CC857" s="1"/>
      <c r="CD857" s="1"/>
      <c r="CE857" s="1"/>
      <c r="CF857" s="1"/>
      <c r="CG857" s="1"/>
      <c r="CH857" s="1"/>
      <c r="CI857" s="1"/>
    </row>
    <row r="858" spans="1:87"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c r="BP858" s="1"/>
      <c r="BQ858" s="1"/>
      <c r="BR858" s="1"/>
      <c r="BS858" s="1"/>
      <c r="BT858" s="1"/>
      <c r="BU858" s="1"/>
      <c r="BV858" s="1"/>
      <c r="BW858" s="1"/>
      <c r="BX858" s="1"/>
      <c r="BY858" s="1"/>
      <c r="BZ858" s="1"/>
      <c r="CA858" s="1"/>
      <c r="CB858" s="1"/>
      <c r="CC858" s="1"/>
      <c r="CD858" s="1"/>
      <c r="CE858" s="1"/>
      <c r="CF858" s="1"/>
      <c r="CG858" s="1"/>
      <c r="CH858" s="1"/>
      <c r="CI858" s="1"/>
    </row>
    <row r="859" spans="1:87"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c r="BP859" s="1"/>
      <c r="BQ859" s="1"/>
      <c r="BR859" s="1"/>
      <c r="BS859" s="1"/>
      <c r="BT859" s="1"/>
      <c r="BU859" s="1"/>
      <c r="BV859" s="1"/>
      <c r="BW859" s="1"/>
      <c r="BX859" s="1"/>
      <c r="BY859" s="1"/>
      <c r="BZ859" s="1"/>
      <c r="CA859" s="1"/>
      <c r="CB859" s="1"/>
      <c r="CC859" s="1"/>
      <c r="CD859" s="1"/>
      <c r="CE859" s="1"/>
      <c r="CF859" s="1"/>
      <c r="CG859" s="1"/>
      <c r="CH859" s="1"/>
      <c r="CI859" s="1"/>
    </row>
    <row r="860" spans="1:87"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c r="BP860" s="1"/>
      <c r="BQ860" s="1"/>
      <c r="BR860" s="1"/>
      <c r="BS860" s="1"/>
      <c r="BT860" s="1"/>
      <c r="BU860" s="1"/>
      <c r="BV860" s="1"/>
      <c r="BW860" s="1"/>
      <c r="BX860" s="1"/>
      <c r="BY860" s="1"/>
      <c r="BZ860" s="1"/>
      <c r="CA860" s="1"/>
      <c r="CB860" s="1"/>
      <c r="CC860" s="1"/>
      <c r="CD860" s="1"/>
      <c r="CE860" s="1"/>
      <c r="CF860" s="1"/>
      <c r="CG860" s="1"/>
      <c r="CH860" s="1"/>
      <c r="CI860" s="1"/>
    </row>
    <row r="861" spans="1:87"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c r="BP861" s="1"/>
      <c r="BQ861" s="1"/>
      <c r="BR861" s="1"/>
      <c r="BS861" s="1"/>
      <c r="BT861" s="1"/>
      <c r="BU861" s="1"/>
      <c r="BV861" s="1"/>
      <c r="BW861" s="1"/>
      <c r="BX861" s="1"/>
      <c r="BY861" s="1"/>
      <c r="BZ861" s="1"/>
      <c r="CA861" s="1"/>
      <c r="CB861" s="1"/>
      <c r="CC861" s="1"/>
      <c r="CD861" s="1"/>
      <c r="CE861" s="1"/>
      <c r="CF861" s="1"/>
      <c r="CG861" s="1"/>
      <c r="CH861" s="1"/>
      <c r="CI861" s="1"/>
    </row>
    <row r="862" spans="1:87"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c r="BP862" s="1"/>
      <c r="BQ862" s="1"/>
      <c r="BR862" s="1"/>
      <c r="BS862" s="1"/>
      <c r="BT862" s="1"/>
      <c r="BU862" s="1"/>
      <c r="BV862" s="1"/>
      <c r="BW862" s="1"/>
      <c r="BX862" s="1"/>
      <c r="BY862" s="1"/>
      <c r="BZ862" s="1"/>
      <c r="CA862" s="1"/>
      <c r="CB862" s="1"/>
      <c r="CC862" s="1"/>
      <c r="CD862" s="1"/>
      <c r="CE862" s="1"/>
      <c r="CF862" s="1"/>
      <c r="CG862" s="1"/>
      <c r="CH862" s="1"/>
      <c r="CI862" s="1"/>
    </row>
    <row r="863" spans="1:87"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c r="BP863" s="1"/>
      <c r="BQ863" s="1"/>
      <c r="BR863" s="1"/>
      <c r="BS863" s="1"/>
      <c r="BT863" s="1"/>
      <c r="BU863" s="1"/>
      <c r="BV863" s="1"/>
      <c r="BW863" s="1"/>
      <c r="BX863" s="1"/>
      <c r="BY863" s="1"/>
      <c r="BZ863" s="1"/>
      <c r="CA863" s="1"/>
      <c r="CB863" s="1"/>
      <c r="CC863" s="1"/>
      <c r="CD863" s="1"/>
      <c r="CE863" s="1"/>
      <c r="CF863" s="1"/>
      <c r="CG863" s="1"/>
      <c r="CH863" s="1"/>
      <c r="CI863" s="1"/>
    </row>
    <row r="864" spans="1:87"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c r="BP864" s="1"/>
      <c r="BQ864" s="1"/>
      <c r="BR864" s="1"/>
      <c r="BS864" s="1"/>
      <c r="BT864" s="1"/>
      <c r="BU864" s="1"/>
      <c r="BV864" s="1"/>
      <c r="BW864" s="1"/>
      <c r="BX864" s="1"/>
      <c r="BY864" s="1"/>
      <c r="BZ864" s="1"/>
      <c r="CA864" s="1"/>
      <c r="CB864" s="1"/>
      <c r="CC864" s="1"/>
      <c r="CD864" s="1"/>
      <c r="CE864" s="1"/>
      <c r="CF864" s="1"/>
      <c r="CG864" s="1"/>
      <c r="CH864" s="1"/>
      <c r="CI864" s="1"/>
    </row>
    <row r="865" spans="1:87"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c r="BP865" s="1"/>
      <c r="BQ865" s="1"/>
      <c r="BR865" s="1"/>
      <c r="BS865" s="1"/>
      <c r="BT865" s="1"/>
      <c r="BU865" s="1"/>
      <c r="BV865" s="1"/>
      <c r="BW865" s="1"/>
      <c r="BX865" s="1"/>
      <c r="BY865" s="1"/>
      <c r="BZ865" s="1"/>
      <c r="CA865" s="1"/>
      <c r="CB865" s="1"/>
      <c r="CC865" s="1"/>
      <c r="CD865" s="1"/>
      <c r="CE865" s="1"/>
      <c r="CF865" s="1"/>
      <c r="CG865" s="1"/>
      <c r="CH865" s="1"/>
      <c r="CI865" s="1"/>
    </row>
    <row r="866" spans="1:87"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c r="BP866" s="1"/>
      <c r="BQ866" s="1"/>
      <c r="BR866" s="1"/>
      <c r="BS866" s="1"/>
      <c r="BT866" s="1"/>
      <c r="BU866" s="1"/>
      <c r="BV866" s="1"/>
      <c r="BW866" s="1"/>
      <c r="BX866" s="1"/>
      <c r="BY866" s="1"/>
      <c r="BZ866" s="1"/>
      <c r="CA866" s="1"/>
      <c r="CB866" s="1"/>
      <c r="CC866" s="1"/>
      <c r="CD866" s="1"/>
      <c r="CE866" s="1"/>
      <c r="CF866" s="1"/>
      <c r="CG866" s="1"/>
      <c r="CH866" s="1"/>
      <c r="CI866" s="1"/>
    </row>
    <row r="867" spans="1:87"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c r="BP867" s="1"/>
      <c r="BQ867" s="1"/>
      <c r="BR867" s="1"/>
      <c r="BS867" s="1"/>
      <c r="BT867" s="1"/>
      <c r="BU867" s="1"/>
      <c r="BV867" s="1"/>
      <c r="BW867" s="1"/>
      <c r="BX867" s="1"/>
      <c r="BY867" s="1"/>
      <c r="BZ867" s="1"/>
      <c r="CA867" s="1"/>
      <c r="CB867" s="1"/>
      <c r="CC867" s="1"/>
      <c r="CD867" s="1"/>
      <c r="CE867" s="1"/>
      <c r="CF867" s="1"/>
      <c r="CG867" s="1"/>
      <c r="CH867" s="1"/>
      <c r="CI867" s="1"/>
    </row>
    <row r="868" spans="1:87"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c r="BP868" s="1"/>
      <c r="BQ868" s="1"/>
      <c r="BR868" s="1"/>
      <c r="BS868" s="1"/>
      <c r="BT868" s="1"/>
      <c r="BU868" s="1"/>
      <c r="BV868" s="1"/>
      <c r="BW868" s="1"/>
      <c r="BX868" s="1"/>
      <c r="BY868" s="1"/>
      <c r="BZ868" s="1"/>
      <c r="CA868" s="1"/>
      <c r="CB868" s="1"/>
      <c r="CC868" s="1"/>
      <c r="CD868" s="1"/>
      <c r="CE868" s="1"/>
      <c r="CF868" s="1"/>
      <c r="CG868" s="1"/>
      <c r="CH868" s="1"/>
      <c r="CI868" s="1"/>
    </row>
    <row r="869" spans="1:87"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c r="BP869" s="1"/>
      <c r="BQ869" s="1"/>
      <c r="BR869" s="1"/>
      <c r="BS869" s="1"/>
      <c r="BT869" s="1"/>
      <c r="BU869" s="1"/>
      <c r="BV869" s="1"/>
      <c r="BW869" s="1"/>
      <c r="BX869" s="1"/>
      <c r="BY869" s="1"/>
      <c r="BZ869" s="1"/>
      <c r="CA869" s="1"/>
      <c r="CB869" s="1"/>
      <c r="CC869" s="1"/>
      <c r="CD869" s="1"/>
      <c r="CE869" s="1"/>
      <c r="CF869" s="1"/>
      <c r="CG869" s="1"/>
      <c r="CH869" s="1"/>
      <c r="CI869" s="1"/>
    </row>
    <row r="870" spans="1:87"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c r="BP870" s="1"/>
      <c r="BQ870" s="1"/>
      <c r="BR870" s="1"/>
      <c r="BS870" s="1"/>
      <c r="BT870" s="1"/>
      <c r="BU870" s="1"/>
      <c r="BV870" s="1"/>
      <c r="BW870" s="1"/>
      <c r="BX870" s="1"/>
      <c r="BY870" s="1"/>
      <c r="BZ870" s="1"/>
      <c r="CA870" s="1"/>
      <c r="CB870" s="1"/>
      <c r="CC870" s="1"/>
      <c r="CD870" s="1"/>
      <c r="CE870" s="1"/>
      <c r="CF870" s="1"/>
      <c r="CG870" s="1"/>
      <c r="CH870" s="1"/>
      <c r="CI870" s="1"/>
    </row>
    <row r="871" spans="1:87"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c r="BP871" s="1"/>
      <c r="BQ871" s="1"/>
      <c r="BR871" s="1"/>
      <c r="BS871" s="1"/>
      <c r="BT871" s="1"/>
      <c r="BU871" s="1"/>
      <c r="BV871" s="1"/>
      <c r="BW871" s="1"/>
      <c r="BX871" s="1"/>
      <c r="BY871" s="1"/>
      <c r="BZ871" s="1"/>
      <c r="CA871" s="1"/>
      <c r="CB871" s="1"/>
      <c r="CC871" s="1"/>
      <c r="CD871" s="1"/>
      <c r="CE871" s="1"/>
      <c r="CF871" s="1"/>
      <c r="CG871" s="1"/>
      <c r="CH871" s="1"/>
      <c r="CI871" s="1"/>
    </row>
    <row r="872" spans="1:87"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c r="BP872" s="1"/>
      <c r="BQ872" s="1"/>
      <c r="BR872" s="1"/>
      <c r="BS872" s="1"/>
      <c r="BT872" s="1"/>
      <c r="BU872" s="1"/>
      <c r="BV872" s="1"/>
      <c r="BW872" s="1"/>
      <c r="BX872" s="1"/>
      <c r="BY872" s="1"/>
      <c r="BZ872" s="1"/>
      <c r="CA872" s="1"/>
      <c r="CB872" s="1"/>
      <c r="CC872" s="1"/>
      <c r="CD872" s="1"/>
      <c r="CE872" s="1"/>
      <c r="CF872" s="1"/>
      <c r="CG872" s="1"/>
      <c r="CH872" s="1"/>
      <c r="CI872" s="1"/>
    </row>
    <row r="873" spans="1:87"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c r="BP873" s="1"/>
      <c r="BQ873" s="1"/>
      <c r="BR873" s="1"/>
      <c r="BS873" s="1"/>
      <c r="BT873" s="1"/>
      <c r="BU873" s="1"/>
      <c r="BV873" s="1"/>
      <c r="BW873" s="1"/>
      <c r="BX873" s="1"/>
      <c r="BY873" s="1"/>
      <c r="BZ873" s="1"/>
      <c r="CA873" s="1"/>
      <c r="CB873" s="1"/>
      <c r="CC873" s="1"/>
      <c r="CD873" s="1"/>
      <c r="CE873" s="1"/>
      <c r="CF873" s="1"/>
      <c r="CG873" s="1"/>
      <c r="CH873" s="1"/>
      <c r="CI873" s="1"/>
    </row>
    <row r="874" spans="1:87"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c r="BP874" s="1"/>
      <c r="BQ874" s="1"/>
      <c r="BR874" s="1"/>
      <c r="BS874" s="1"/>
      <c r="BT874" s="1"/>
      <c r="BU874" s="1"/>
      <c r="BV874" s="1"/>
      <c r="BW874" s="1"/>
      <c r="BX874" s="1"/>
      <c r="BY874" s="1"/>
      <c r="BZ874" s="1"/>
      <c r="CA874" s="1"/>
      <c r="CB874" s="1"/>
      <c r="CC874" s="1"/>
      <c r="CD874" s="1"/>
      <c r="CE874" s="1"/>
      <c r="CF874" s="1"/>
      <c r="CG874" s="1"/>
      <c r="CH874" s="1"/>
      <c r="CI874" s="1"/>
    </row>
    <row r="875" spans="1:87"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c r="BP875" s="1"/>
      <c r="BQ875" s="1"/>
      <c r="BR875" s="1"/>
      <c r="BS875" s="1"/>
      <c r="BT875" s="1"/>
      <c r="BU875" s="1"/>
      <c r="BV875" s="1"/>
      <c r="BW875" s="1"/>
      <c r="BX875" s="1"/>
      <c r="BY875" s="1"/>
      <c r="BZ875" s="1"/>
      <c r="CA875" s="1"/>
      <c r="CB875" s="1"/>
      <c r="CC875" s="1"/>
      <c r="CD875" s="1"/>
      <c r="CE875" s="1"/>
      <c r="CF875" s="1"/>
      <c r="CG875" s="1"/>
      <c r="CH875" s="1"/>
      <c r="CI875" s="1"/>
    </row>
    <row r="876" spans="1:87"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c r="BP876" s="1"/>
      <c r="BQ876" s="1"/>
      <c r="BR876" s="1"/>
      <c r="BS876" s="1"/>
      <c r="BT876" s="1"/>
      <c r="BU876" s="1"/>
      <c r="BV876" s="1"/>
      <c r="BW876" s="1"/>
      <c r="BX876" s="1"/>
      <c r="BY876" s="1"/>
      <c r="BZ876" s="1"/>
      <c r="CA876" s="1"/>
      <c r="CB876" s="1"/>
      <c r="CC876" s="1"/>
      <c r="CD876" s="1"/>
      <c r="CE876" s="1"/>
      <c r="CF876" s="1"/>
      <c r="CG876" s="1"/>
      <c r="CH876" s="1"/>
      <c r="CI876" s="1"/>
    </row>
    <row r="877" spans="1:87"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c r="BP877" s="1"/>
      <c r="BQ877" s="1"/>
      <c r="BR877" s="1"/>
      <c r="BS877" s="1"/>
      <c r="BT877" s="1"/>
      <c r="BU877" s="1"/>
      <c r="BV877" s="1"/>
      <c r="BW877" s="1"/>
      <c r="BX877" s="1"/>
      <c r="BY877" s="1"/>
      <c r="BZ877" s="1"/>
      <c r="CA877" s="1"/>
      <c r="CB877" s="1"/>
      <c r="CC877" s="1"/>
      <c r="CD877" s="1"/>
      <c r="CE877" s="1"/>
      <c r="CF877" s="1"/>
      <c r="CG877" s="1"/>
      <c r="CH877" s="1"/>
      <c r="CI877" s="1"/>
    </row>
    <row r="878" spans="1:87"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c r="BP878" s="1"/>
      <c r="BQ878" s="1"/>
      <c r="BR878" s="1"/>
      <c r="BS878" s="1"/>
      <c r="BT878" s="1"/>
      <c r="BU878" s="1"/>
      <c r="BV878" s="1"/>
      <c r="BW878" s="1"/>
      <c r="BX878" s="1"/>
      <c r="BY878" s="1"/>
      <c r="BZ878" s="1"/>
      <c r="CA878" s="1"/>
      <c r="CB878" s="1"/>
      <c r="CC878" s="1"/>
      <c r="CD878" s="1"/>
      <c r="CE878" s="1"/>
      <c r="CF878" s="1"/>
      <c r="CG878" s="1"/>
      <c r="CH878" s="1"/>
      <c r="CI878" s="1"/>
    </row>
    <row r="879" spans="1:87"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c r="BP879" s="1"/>
      <c r="BQ879" s="1"/>
      <c r="BR879" s="1"/>
      <c r="BS879" s="1"/>
      <c r="BT879" s="1"/>
      <c r="BU879" s="1"/>
      <c r="BV879" s="1"/>
      <c r="BW879" s="1"/>
      <c r="BX879" s="1"/>
      <c r="BY879" s="1"/>
      <c r="BZ879" s="1"/>
      <c r="CA879" s="1"/>
      <c r="CB879" s="1"/>
      <c r="CC879" s="1"/>
      <c r="CD879" s="1"/>
      <c r="CE879" s="1"/>
      <c r="CF879" s="1"/>
      <c r="CG879" s="1"/>
      <c r="CH879" s="1"/>
      <c r="CI879" s="1"/>
    </row>
    <row r="880" spans="1:87"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c r="BP880" s="1"/>
      <c r="BQ880" s="1"/>
      <c r="BR880" s="1"/>
      <c r="BS880" s="1"/>
      <c r="BT880" s="1"/>
      <c r="BU880" s="1"/>
      <c r="BV880" s="1"/>
      <c r="BW880" s="1"/>
      <c r="BX880" s="1"/>
      <c r="BY880" s="1"/>
      <c r="BZ880" s="1"/>
      <c r="CA880" s="1"/>
      <c r="CB880" s="1"/>
      <c r="CC880" s="1"/>
      <c r="CD880" s="1"/>
      <c r="CE880" s="1"/>
      <c r="CF880" s="1"/>
      <c r="CG880" s="1"/>
      <c r="CH880" s="1"/>
      <c r="CI880" s="1"/>
    </row>
    <row r="881" spans="1:87"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c r="BP881" s="1"/>
      <c r="BQ881" s="1"/>
      <c r="BR881" s="1"/>
      <c r="BS881" s="1"/>
      <c r="BT881" s="1"/>
      <c r="BU881" s="1"/>
      <c r="BV881" s="1"/>
      <c r="BW881" s="1"/>
      <c r="BX881" s="1"/>
      <c r="BY881" s="1"/>
      <c r="BZ881" s="1"/>
      <c r="CA881" s="1"/>
      <c r="CB881" s="1"/>
      <c r="CC881" s="1"/>
      <c r="CD881" s="1"/>
      <c r="CE881" s="1"/>
      <c r="CF881" s="1"/>
      <c r="CG881" s="1"/>
      <c r="CH881" s="1"/>
      <c r="CI881" s="1"/>
    </row>
    <row r="882" spans="1:87"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c r="BP882" s="1"/>
      <c r="BQ882" s="1"/>
      <c r="BR882" s="1"/>
      <c r="BS882" s="1"/>
      <c r="BT882" s="1"/>
      <c r="BU882" s="1"/>
      <c r="BV882" s="1"/>
      <c r="BW882" s="1"/>
      <c r="BX882" s="1"/>
      <c r="BY882" s="1"/>
      <c r="BZ882" s="1"/>
      <c r="CA882" s="1"/>
      <c r="CB882" s="1"/>
      <c r="CC882" s="1"/>
      <c r="CD882" s="1"/>
      <c r="CE882" s="1"/>
      <c r="CF882" s="1"/>
      <c r="CG882" s="1"/>
      <c r="CH882" s="1"/>
      <c r="CI882" s="1"/>
    </row>
    <row r="883" spans="1:87"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c r="BP883" s="1"/>
      <c r="BQ883" s="1"/>
      <c r="BR883" s="1"/>
      <c r="BS883" s="1"/>
      <c r="BT883" s="1"/>
      <c r="BU883" s="1"/>
      <c r="BV883" s="1"/>
      <c r="BW883" s="1"/>
      <c r="BX883" s="1"/>
      <c r="BY883" s="1"/>
      <c r="BZ883" s="1"/>
      <c r="CA883" s="1"/>
      <c r="CB883" s="1"/>
      <c r="CC883" s="1"/>
      <c r="CD883" s="1"/>
      <c r="CE883" s="1"/>
      <c r="CF883" s="1"/>
      <c r="CG883" s="1"/>
      <c r="CH883" s="1"/>
      <c r="CI883" s="1"/>
    </row>
    <row r="884" spans="1:87"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c r="BP884" s="1"/>
      <c r="BQ884" s="1"/>
      <c r="BR884" s="1"/>
      <c r="BS884" s="1"/>
      <c r="BT884" s="1"/>
      <c r="BU884" s="1"/>
      <c r="BV884" s="1"/>
      <c r="BW884" s="1"/>
      <c r="BX884" s="1"/>
      <c r="BY884" s="1"/>
      <c r="BZ884" s="1"/>
      <c r="CA884" s="1"/>
      <c r="CB884" s="1"/>
      <c r="CC884" s="1"/>
      <c r="CD884" s="1"/>
      <c r="CE884" s="1"/>
      <c r="CF884" s="1"/>
      <c r="CG884" s="1"/>
      <c r="CH884" s="1"/>
      <c r="CI884" s="1"/>
    </row>
    <row r="885" spans="1:87"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c r="BP885" s="1"/>
      <c r="BQ885" s="1"/>
      <c r="BR885" s="1"/>
      <c r="BS885" s="1"/>
      <c r="BT885" s="1"/>
      <c r="BU885" s="1"/>
      <c r="BV885" s="1"/>
      <c r="BW885" s="1"/>
      <c r="BX885" s="1"/>
      <c r="BY885" s="1"/>
      <c r="BZ885" s="1"/>
      <c r="CA885" s="1"/>
      <c r="CB885" s="1"/>
      <c r="CC885" s="1"/>
      <c r="CD885" s="1"/>
      <c r="CE885" s="1"/>
      <c r="CF885" s="1"/>
      <c r="CG885" s="1"/>
      <c r="CH885" s="1"/>
      <c r="CI885" s="1"/>
    </row>
    <row r="886" spans="1:87"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c r="BP886" s="1"/>
      <c r="BQ886" s="1"/>
      <c r="BR886" s="1"/>
      <c r="BS886" s="1"/>
      <c r="BT886" s="1"/>
      <c r="BU886" s="1"/>
      <c r="BV886" s="1"/>
      <c r="BW886" s="1"/>
      <c r="BX886" s="1"/>
      <c r="BY886" s="1"/>
      <c r="BZ886" s="1"/>
      <c r="CA886" s="1"/>
      <c r="CB886" s="1"/>
      <c r="CC886" s="1"/>
      <c r="CD886" s="1"/>
      <c r="CE886" s="1"/>
      <c r="CF886" s="1"/>
      <c r="CG886" s="1"/>
      <c r="CH886" s="1"/>
      <c r="CI886" s="1"/>
    </row>
    <row r="887" spans="1:87"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c r="BP887" s="1"/>
      <c r="BQ887" s="1"/>
      <c r="BR887" s="1"/>
      <c r="BS887" s="1"/>
      <c r="BT887" s="1"/>
      <c r="BU887" s="1"/>
      <c r="BV887" s="1"/>
      <c r="BW887" s="1"/>
      <c r="BX887" s="1"/>
      <c r="BY887" s="1"/>
      <c r="BZ887" s="1"/>
      <c r="CA887" s="1"/>
      <c r="CB887" s="1"/>
      <c r="CC887" s="1"/>
      <c r="CD887" s="1"/>
      <c r="CE887" s="1"/>
      <c r="CF887" s="1"/>
      <c r="CG887" s="1"/>
      <c r="CH887" s="1"/>
      <c r="CI887" s="1"/>
    </row>
    <row r="888" spans="1:87"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c r="BP888" s="1"/>
      <c r="BQ888" s="1"/>
      <c r="BR888" s="1"/>
      <c r="BS888" s="1"/>
      <c r="BT888" s="1"/>
      <c r="BU888" s="1"/>
      <c r="BV888" s="1"/>
      <c r="BW888" s="1"/>
      <c r="BX888" s="1"/>
      <c r="BY888" s="1"/>
      <c r="BZ888" s="1"/>
      <c r="CA888" s="1"/>
      <c r="CB888" s="1"/>
      <c r="CC888" s="1"/>
      <c r="CD888" s="1"/>
      <c r="CE888" s="1"/>
      <c r="CF888" s="1"/>
      <c r="CG888" s="1"/>
      <c r="CH888" s="1"/>
      <c r="CI888" s="1"/>
    </row>
    <row r="889" spans="1:87"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c r="BP889" s="1"/>
      <c r="BQ889" s="1"/>
      <c r="BR889" s="1"/>
      <c r="BS889" s="1"/>
      <c r="BT889" s="1"/>
      <c r="BU889" s="1"/>
      <c r="BV889" s="1"/>
      <c r="BW889" s="1"/>
      <c r="BX889" s="1"/>
      <c r="BY889" s="1"/>
      <c r="BZ889" s="1"/>
      <c r="CA889" s="1"/>
      <c r="CB889" s="1"/>
      <c r="CC889" s="1"/>
      <c r="CD889" s="1"/>
      <c r="CE889" s="1"/>
      <c r="CF889" s="1"/>
      <c r="CG889" s="1"/>
      <c r="CH889" s="1"/>
      <c r="CI889" s="1"/>
    </row>
    <row r="890" spans="1:87"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c r="BP890" s="1"/>
      <c r="BQ890" s="1"/>
      <c r="BR890" s="1"/>
      <c r="BS890" s="1"/>
      <c r="BT890" s="1"/>
      <c r="BU890" s="1"/>
      <c r="BV890" s="1"/>
      <c r="BW890" s="1"/>
      <c r="BX890" s="1"/>
      <c r="BY890" s="1"/>
      <c r="BZ890" s="1"/>
      <c r="CA890" s="1"/>
      <c r="CB890" s="1"/>
      <c r="CC890" s="1"/>
      <c r="CD890" s="1"/>
      <c r="CE890" s="1"/>
      <c r="CF890" s="1"/>
      <c r="CG890" s="1"/>
      <c r="CH890" s="1"/>
      <c r="CI890" s="1"/>
    </row>
    <row r="891" spans="1:87"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c r="BP891" s="1"/>
      <c r="BQ891" s="1"/>
      <c r="BR891" s="1"/>
      <c r="BS891" s="1"/>
      <c r="BT891" s="1"/>
      <c r="BU891" s="1"/>
      <c r="BV891" s="1"/>
      <c r="BW891" s="1"/>
      <c r="BX891" s="1"/>
      <c r="BY891" s="1"/>
      <c r="BZ891" s="1"/>
      <c r="CA891" s="1"/>
      <c r="CB891" s="1"/>
      <c r="CC891" s="1"/>
      <c r="CD891" s="1"/>
      <c r="CE891" s="1"/>
      <c r="CF891" s="1"/>
      <c r="CG891" s="1"/>
      <c r="CH891" s="1"/>
      <c r="CI891" s="1"/>
    </row>
    <row r="892" spans="1:87"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c r="BP892" s="1"/>
      <c r="BQ892" s="1"/>
      <c r="BR892" s="1"/>
      <c r="BS892" s="1"/>
      <c r="BT892" s="1"/>
      <c r="BU892" s="1"/>
      <c r="BV892" s="1"/>
      <c r="BW892" s="1"/>
      <c r="BX892" s="1"/>
      <c r="BY892" s="1"/>
      <c r="BZ892" s="1"/>
      <c r="CA892" s="1"/>
      <c r="CB892" s="1"/>
      <c r="CC892" s="1"/>
      <c r="CD892" s="1"/>
      <c r="CE892" s="1"/>
      <c r="CF892" s="1"/>
      <c r="CG892" s="1"/>
      <c r="CH892" s="1"/>
      <c r="CI892" s="1"/>
    </row>
    <row r="893" spans="1:87"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c r="BP893" s="1"/>
      <c r="BQ893" s="1"/>
      <c r="BR893" s="1"/>
      <c r="BS893" s="1"/>
      <c r="BT893" s="1"/>
      <c r="BU893" s="1"/>
      <c r="BV893" s="1"/>
      <c r="BW893" s="1"/>
      <c r="BX893" s="1"/>
      <c r="BY893" s="1"/>
      <c r="BZ893" s="1"/>
      <c r="CA893" s="1"/>
      <c r="CB893" s="1"/>
      <c r="CC893" s="1"/>
      <c r="CD893" s="1"/>
      <c r="CE893" s="1"/>
      <c r="CF893" s="1"/>
      <c r="CG893" s="1"/>
      <c r="CH893" s="1"/>
      <c r="CI893" s="1"/>
    </row>
    <row r="894" spans="1:87"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c r="BP894" s="1"/>
      <c r="BQ894" s="1"/>
      <c r="BR894" s="1"/>
      <c r="BS894" s="1"/>
      <c r="BT894" s="1"/>
      <c r="BU894" s="1"/>
      <c r="BV894" s="1"/>
      <c r="BW894" s="1"/>
      <c r="BX894" s="1"/>
      <c r="BY894" s="1"/>
      <c r="BZ894" s="1"/>
      <c r="CA894" s="1"/>
      <c r="CB894" s="1"/>
      <c r="CC894" s="1"/>
      <c r="CD894" s="1"/>
      <c r="CE894" s="1"/>
      <c r="CF894" s="1"/>
      <c r="CG894" s="1"/>
      <c r="CH894" s="1"/>
      <c r="CI894" s="1"/>
    </row>
    <row r="895" spans="1:87"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c r="BP895" s="1"/>
      <c r="BQ895" s="1"/>
      <c r="BR895" s="1"/>
      <c r="BS895" s="1"/>
      <c r="BT895" s="1"/>
      <c r="BU895" s="1"/>
      <c r="BV895" s="1"/>
      <c r="BW895" s="1"/>
      <c r="BX895" s="1"/>
      <c r="BY895" s="1"/>
      <c r="BZ895" s="1"/>
      <c r="CA895" s="1"/>
      <c r="CB895" s="1"/>
      <c r="CC895" s="1"/>
      <c r="CD895" s="1"/>
      <c r="CE895" s="1"/>
      <c r="CF895" s="1"/>
      <c r="CG895" s="1"/>
      <c r="CH895" s="1"/>
      <c r="CI895" s="1"/>
    </row>
    <row r="896" spans="1:87"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c r="BP896" s="1"/>
      <c r="BQ896" s="1"/>
      <c r="BR896" s="1"/>
      <c r="BS896" s="1"/>
      <c r="BT896" s="1"/>
      <c r="BU896" s="1"/>
      <c r="BV896" s="1"/>
      <c r="BW896" s="1"/>
      <c r="BX896" s="1"/>
      <c r="BY896" s="1"/>
      <c r="BZ896" s="1"/>
      <c r="CA896" s="1"/>
      <c r="CB896" s="1"/>
      <c r="CC896" s="1"/>
      <c r="CD896" s="1"/>
      <c r="CE896" s="1"/>
      <c r="CF896" s="1"/>
      <c r="CG896" s="1"/>
      <c r="CH896" s="1"/>
      <c r="CI896" s="1"/>
    </row>
    <row r="897" spans="1:87"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c r="BP897" s="1"/>
      <c r="BQ897" s="1"/>
      <c r="BR897" s="1"/>
      <c r="BS897" s="1"/>
      <c r="BT897" s="1"/>
      <c r="BU897" s="1"/>
      <c r="BV897" s="1"/>
      <c r="BW897" s="1"/>
      <c r="BX897" s="1"/>
      <c r="BY897" s="1"/>
      <c r="BZ897" s="1"/>
      <c r="CA897" s="1"/>
      <c r="CB897" s="1"/>
      <c r="CC897" s="1"/>
      <c r="CD897" s="1"/>
      <c r="CE897" s="1"/>
      <c r="CF897" s="1"/>
      <c r="CG897" s="1"/>
      <c r="CH897" s="1"/>
      <c r="CI897" s="1"/>
    </row>
    <row r="898" spans="1:87"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c r="BP898" s="1"/>
      <c r="BQ898" s="1"/>
      <c r="BR898" s="1"/>
      <c r="BS898" s="1"/>
      <c r="BT898" s="1"/>
      <c r="BU898" s="1"/>
      <c r="BV898" s="1"/>
      <c r="BW898" s="1"/>
      <c r="BX898" s="1"/>
      <c r="BY898" s="1"/>
      <c r="BZ898" s="1"/>
      <c r="CA898" s="1"/>
      <c r="CB898" s="1"/>
      <c r="CC898" s="1"/>
      <c r="CD898" s="1"/>
      <c r="CE898" s="1"/>
      <c r="CF898" s="1"/>
      <c r="CG898" s="1"/>
      <c r="CH898" s="1"/>
      <c r="CI898" s="1"/>
    </row>
    <row r="899" spans="1:87"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c r="BP899" s="1"/>
      <c r="BQ899" s="1"/>
      <c r="BR899" s="1"/>
      <c r="BS899" s="1"/>
      <c r="BT899" s="1"/>
      <c r="BU899" s="1"/>
      <c r="BV899" s="1"/>
      <c r="BW899" s="1"/>
      <c r="BX899" s="1"/>
      <c r="BY899" s="1"/>
      <c r="BZ899" s="1"/>
      <c r="CA899" s="1"/>
      <c r="CB899" s="1"/>
      <c r="CC899" s="1"/>
      <c r="CD899" s="1"/>
      <c r="CE899" s="1"/>
      <c r="CF899" s="1"/>
      <c r="CG899" s="1"/>
      <c r="CH899" s="1"/>
      <c r="CI899" s="1"/>
    </row>
    <row r="900" spans="1:87"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c r="BP900" s="1"/>
      <c r="BQ900" s="1"/>
      <c r="BR900" s="1"/>
      <c r="BS900" s="1"/>
      <c r="BT900" s="1"/>
      <c r="BU900" s="1"/>
      <c r="BV900" s="1"/>
      <c r="BW900" s="1"/>
      <c r="BX900" s="1"/>
      <c r="BY900" s="1"/>
      <c r="BZ900" s="1"/>
      <c r="CA900" s="1"/>
      <c r="CB900" s="1"/>
      <c r="CC900" s="1"/>
      <c r="CD900" s="1"/>
      <c r="CE900" s="1"/>
      <c r="CF900" s="1"/>
      <c r="CG900" s="1"/>
      <c r="CH900" s="1"/>
      <c r="CI900" s="1"/>
    </row>
    <row r="901" spans="1:87"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c r="BP901" s="1"/>
      <c r="BQ901" s="1"/>
      <c r="BR901" s="1"/>
      <c r="BS901" s="1"/>
      <c r="BT901" s="1"/>
      <c r="BU901" s="1"/>
      <c r="BV901" s="1"/>
      <c r="BW901" s="1"/>
      <c r="BX901" s="1"/>
      <c r="BY901" s="1"/>
      <c r="BZ901" s="1"/>
      <c r="CA901" s="1"/>
      <c r="CB901" s="1"/>
      <c r="CC901" s="1"/>
      <c r="CD901" s="1"/>
      <c r="CE901" s="1"/>
      <c r="CF901" s="1"/>
      <c r="CG901" s="1"/>
      <c r="CH901" s="1"/>
      <c r="CI901" s="1"/>
    </row>
    <row r="902" spans="1:87"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c r="BP902" s="1"/>
      <c r="BQ902" s="1"/>
      <c r="BR902" s="1"/>
      <c r="BS902" s="1"/>
      <c r="BT902" s="1"/>
      <c r="BU902" s="1"/>
      <c r="BV902" s="1"/>
      <c r="BW902" s="1"/>
      <c r="BX902" s="1"/>
      <c r="BY902" s="1"/>
      <c r="BZ902" s="1"/>
      <c r="CA902" s="1"/>
      <c r="CB902" s="1"/>
      <c r="CC902" s="1"/>
      <c r="CD902" s="1"/>
      <c r="CE902" s="1"/>
      <c r="CF902" s="1"/>
      <c r="CG902" s="1"/>
      <c r="CH902" s="1"/>
      <c r="CI902" s="1"/>
    </row>
    <row r="903" spans="1:87"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c r="BP903" s="1"/>
      <c r="BQ903" s="1"/>
      <c r="BR903" s="1"/>
      <c r="BS903" s="1"/>
      <c r="BT903" s="1"/>
      <c r="BU903" s="1"/>
      <c r="BV903" s="1"/>
      <c r="BW903" s="1"/>
      <c r="BX903" s="1"/>
      <c r="BY903" s="1"/>
      <c r="BZ903" s="1"/>
      <c r="CA903" s="1"/>
      <c r="CB903" s="1"/>
      <c r="CC903" s="1"/>
      <c r="CD903" s="1"/>
      <c r="CE903" s="1"/>
      <c r="CF903" s="1"/>
      <c r="CG903" s="1"/>
      <c r="CH903" s="1"/>
      <c r="CI903" s="1"/>
    </row>
    <row r="904" spans="1:87"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c r="BP904" s="1"/>
      <c r="BQ904" s="1"/>
      <c r="BR904" s="1"/>
      <c r="BS904" s="1"/>
      <c r="BT904" s="1"/>
      <c r="BU904" s="1"/>
      <c r="BV904" s="1"/>
      <c r="BW904" s="1"/>
      <c r="BX904" s="1"/>
      <c r="BY904" s="1"/>
      <c r="BZ904" s="1"/>
      <c r="CA904" s="1"/>
      <c r="CB904" s="1"/>
      <c r="CC904" s="1"/>
      <c r="CD904" s="1"/>
      <c r="CE904" s="1"/>
      <c r="CF904" s="1"/>
      <c r="CG904" s="1"/>
      <c r="CH904" s="1"/>
      <c r="CI904" s="1"/>
    </row>
    <row r="905" spans="1:87"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c r="BP905" s="1"/>
      <c r="BQ905" s="1"/>
      <c r="BR905" s="1"/>
      <c r="BS905" s="1"/>
      <c r="BT905" s="1"/>
      <c r="BU905" s="1"/>
      <c r="BV905" s="1"/>
      <c r="BW905" s="1"/>
      <c r="BX905" s="1"/>
      <c r="BY905" s="1"/>
      <c r="BZ905" s="1"/>
      <c r="CA905" s="1"/>
      <c r="CB905" s="1"/>
      <c r="CC905" s="1"/>
      <c r="CD905" s="1"/>
      <c r="CE905" s="1"/>
      <c r="CF905" s="1"/>
      <c r="CG905" s="1"/>
      <c r="CH905" s="1"/>
      <c r="CI905" s="1"/>
    </row>
    <row r="906" spans="1:87"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c r="BP906" s="1"/>
      <c r="BQ906" s="1"/>
      <c r="BR906" s="1"/>
      <c r="BS906" s="1"/>
      <c r="BT906" s="1"/>
      <c r="BU906" s="1"/>
      <c r="BV906" s="1"/>
      <c r="BW906" s="1"/>
      <c r="BX906" s="1"/>
      <c r="BY906" s="1"/>
      <c r="BZ906" s="1"/>
      <c r="CA906" s="1"/>
      <c r="CB906" s="1"/>
      <c r="CC906" s="1"/>
      <c r="CD906" s="1"/>
      <c r="CE906" s="1"/>
      <c r="CF906" s="1"/>
      <c r="CG906" s="1"/>
      <c r="CH906" s="1"/>
      <c r="CI906" s="1"/>
    </row>
    <row r="907" spans="1:87"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c r="BP907" s="1"/>
      <c r="BQ907" s="1"/>
      <c r="BR907" s="1"/>
      <c r="BS907" s="1"/>
      <c r="BT907" s="1"/>
      <c r="BU907" s="1"/>
      <c r="BV907" s="1"/>
      <c r="BW907" s="1"/>
      <c r="BX907" s="1"/>
      <c r="BY907" s="1"/>
      <c r="BZ907" s="1"/>
      <c r="CA907" s="1"/>
      <c r="CB907" s="1"/>
      <c r="CC907" s="1"/>
      <c r="CD907" s="1"/>
      <c r="CE907" s="1"/>
      <c r="CF907" s="1"/>
      <c r="CG907" s="1"/>
      <c r="CH907" s="1"/>
      <c r="CI907" s="1"/>
    </row>
    <row r="908" spans="1:87"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c r="BP908" s="1"/>
      <c r="BQ908" s="1"/>
      <c r="BR908" s="1"/>
      <c r="BS908" s="1"/>
      <c r="BT908" s="1"/>
      <c r="BU908" s="1"/>
      <c r="BV908" s="1"/>
      <c r="BW908" s="1"/>
      <c r="BX908" s="1"/>
      <c r="BY908" s="1"/>
      <c r="BZ908" s="1"/>
      <c r="CA908" s="1"/>
      <c r="CB908" s="1"/>
      <c r="CC908" s="1"/>
      <c r="CD908" s="1"/>
      <c r="CE908" s="1"/>
      <c r="CF908" s="1"/>
      <c r="CG908" s="1"/>
      <c r="CH908" s="1"/>
      <c r="CI908" s="1"/>
    </row>
    <row r="909" spans="1:87"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c r="BP909" s="1"/>
      <c r="BQ909" s="1"/>
      <c r="BR909" s="1"/>
      <c r="BS909" s="1"/>
      <c r="BT909" s="1"/>
      <c r="BU909" s="1"/>
      <c r="BV909" s="1"/>
      <c r="BW909" s="1"/>
      <c r="BX909" s="1"/>
      <c r="BY909" s="1"/>
      <c r="BZ909" s="1"/>
      <c r="CA909" s="1"/>
      <c r="CB909" s="1"/>
      <c r="CC909" s="1"/>
      <c r="CD909" s="1"/>
      <c r="CE909" s="1"/>
      <c r="CF909" s="1"/>
      <c r="CG909" s="1"/>
      <c r="CH909" s="1"/>
      <c r="CI909" s="1"/>
    </row>
    <row r="910" spans="1:87"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c r="BP910" s="1"/>
      <c r="BQ910" s="1"/>
      <c r="BR910" s="1"/>
      <c r="BS910" s="1"/>
      <c r="BT910" s="1"/>
      <c r="BU910" s="1"/>
      <c r="BV910" s="1"/>
      <c r="BW910" s="1"/>
      <c r="BX910" s="1"/>
      <c r="BY910" s="1"/>
      <c r="BZ910" s="1"/>
      <c r="CA910" s="1"/>
      <c r="CB910" s="1"/>
      <c r="CC910" s="1"/>
      <c r="CD910" s="1"/>
      <c r="CE910" s="1"/>
      <c r="CF910" s="1"/>
      <c r="CG910" s="1"/>
      <c r="CH910" s="1"/>
      <c r="CI910" s="1"/>
    </row>
    <row r="911" spans="1:87"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c r="BP911" s="1"/>
      <c r="BQ911" s="1"/>
      <c r="BR911" s="1"/>
      <c r="BS911" s="1"/>
      <c r="BT911" s="1"/>
      <c r="BU911" s="1"/>
      <c r="BV911" s="1"/>
      <c r="BW911" s="1"/>
      <c r="BX911" s="1"/>
      <c r="BY911" s="1"/>
      <c r="BZ911" s="1"/>
      <c r="CA911" s="1"/>
      <c r="CB911" s="1"/>
      <c r="CC911" s="1"/>
      <c r="CD911" s="1"/>
      <c r="CE911" s="1"/>
      <c r="CF911" s="1"/>
      <c r="CG911" s="1"/>
      <c r="CH911" s="1"/>
      <c r="CI911" s="1"/>
    </row>
    <row r="912" spans="1:87"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c r="BP912" s="1"/>
      <c r="BQ912" s="1"/>
      <c r="BR912" s="1"/>
      <c r="BS912" s="1"/>
      <c r="BT912" s="1"/>
      <c r="BU912" s="1"/>
      <c r="BV912" s="1"/>
      <c r="BW912" s="1"/>
      <c r="BX912" s="1"/>
      <c r="BY912" s="1"/>
      <c r="BZ912" s="1"/>
      <c r="CA912" s="1"/>
      <c r="CB912" s="1"/>
      <c r="CC912" s="1"/>
      <c r="CD912" s="1"/>
      <c r="CE912" s="1"/>
      <c r="CF912" s="1"/>
      <c r="CG912" s="1"/>
      <c r="CH912" s="1"/>
      <c r="CI912" s="1"/>
    </row>
    <row r="913" spans="1:87"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c r="BP913" s="1"/>
      <c r="BQ913" s="1"/>
      <c r="BR913" s="1"/>
      <c r="BS913" s="1"/>
      <c r="BT913" s="1"/>
      <c r="BU913" s="1"/>
      <c r="BV913" s="1"/>
      <c r="BW913" s="1"/>
      <c r="BX913" s="1"/>
      <c r="BY913" s="1"/>
      <c r="BZ913" s="1"/>
      <c r="CA913" s="1"/>
      <c r="CB913" s="1"/>
      <c r="CC913" s="1"/>
      <c r="CD913" s="1"/>
      <c r="CE913" s="1"/>
      <c r="CF913" s="1"/>
      <c r="CG913" s="1"/>
      <c r="CH913" s="1"/>
      <c r="CI913" s="1"/>
    </row>
    <row r="914" spans="1:87"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c r="BP914" s="1"/>
      <c r="BQ914" s="1"/>
      <c r="BR914" s="1"/>
      <c r="BS914" s="1"/>
      <c r="BT914" s="1"/>
      <c r="BU914" s="1"/>
      <c r="BV914" s="1"/>
      <c r="BW914" s="1"/>
      <c r="BX914" s="1"/>
      <c r="BY914" s="1"/>
      <c r="BZ914" s="1"/>
      <c r="CA914" s="1"/>
      <c r="CB914" s="1"/>
      <c r="CC914" s="1"/>
      <c r="CD914" s="1"/>
      <c r="CE914" s="1"/>
      <c r="CF914" s="1"/>
      <c r="CG914" s="1"/>
      <c r="CH914" s="1"/>
      <c r="CI914" s="1"/>
    </row>
    <row r="915" spans="1:87"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c r="BP915" s="1"/>
      <c r="BQ915" s="1"/>
      <c r="BR915" s="1"/>
      <c r="BS915" s="1"/>
      <c r="BT915" s="1"/>
      <c r="BU915" s="1"/>
      <c r="BV915" s="1"/>
      <c r="BW915" s="1"/>
      <c r="BX915" s="1"/>
      <c r="BY915" s="1"/>
      <c r="BZ915" s="1"/>
      <c r="CA915" s="1"/>
      <c r="CB915" s="1"/>
      <c r="CC915" s="1"/>
      <c r="CD915" s="1"/>
      <c r="CE915" s="1"/>
      <c r="CF915" s="1"/>
      <c r="CG915" s="1"/>
      <c r="CH915" s="1"/>
      <c r="CI915" s="1"/>
    </row>
    <row r="916" spans="1:87"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c r="BP916" s="1"/>
      <c r="BQ916" s="1"/>
      <c r="BR916" s="1"/>
      <c r="BS916" s="1"/>
      <c r="BT916" s="1"/>
      <c r="BU916" s="1"/>
      <c r="BV916" s="1"/>
      <c r="BW916" s="1"/>
      <c r="BX916" s="1"/>
      <c r="BY916" s="1"/>
      <c r="BZ916" s="1"/>
      <c r="CA916" s="1"/>
      <c r="CB916" s="1"/>
      <c r="CC916" s="1"/>
      <c r="CD916" s="1"/>
      <c r="CE916" s="1"/>
      <c r="CF916" s="1"/>
      <c r="CG916" s="1"/>
      <c r="CH916" s="1"/>
      <c r="CI916" s="1"/>
    </row>
    <row r="917" spans="1:87"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c r="BP917" s="1"/>
      <c r="BQ917" s="1"/>
      <c r="BR917" s="1"/>
      <c r="BS917" s="1"/>
      <c r="BT917" s="1"/>
      <c r="BU917" s="1"/>
      <c r="BV917" s="1"/>
      <c r="BW917" s="1"/>
      <c r="BX917" s="1"/>
      <c r="BY917" s="1"/>
      <c r="BZ917" s="1"/>
      <c r="CA917" s="1"/>
      <c r="CB917" s="1"/>
      <c r="CC917" s="1"/>
      <c r="CD917" s="1"/>
      <c r="CE917" s="1"/>
      <c r="CF917" s="1"/>
      <c r="CG917" s="1"/>
      <c r="CH917" s="1"/>
      <c r="CI917" s="1"/>
    </row>
    <row r="918" spans="1:87"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c r="BP918" s="1"/>
      <c r="BQ918" s="1"/>
      <c r="BR918" s="1"/>
      <c r="BS918" s="1"/>
      <c r="BT918" s="1"/>
      <c r="BU918" s="1"/>
      <c r="BV918" s="1"/>
      <c r="BW918" s="1"/>
      <c r="BX918" s="1"/>
      <c r="BY918" s="1"/>
      <c r="BZ918" s="1"/>
      <c r="CA918" s="1"/>
      <c r="CB918" s="1"/>
      <c r="CC918" s="1"/>
      <c r="CD918" s="1"/>
      <c r="CE918" s="1"/>
      <c r="CF918" s="1"/>
      <c r="CG918" s="1"/>
      <c r="CH918" s="1"/>
      <c r="CI918" s="1"/>
    </row>
    <row r="919" spans="1:87"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c r="BP919" s="1"/>
      <c r="BQ919" s="1"/>
      <c r="BR919" s="1"/>
      <c r="BS919" s="1"/>
      <c r="BT919" s="1"/>
      <c r="BU919" s="1"/>
      <c r="BV919" s="1"/>
      <c r="BW919" s="1"/>
      <c r="BX919" s="1"/>
      <c r="BY919" s="1"/>
      <c r="BZ919" s="1"/>
      <c r="CA919" s="1"/>
      <c r="CB919" s="1"/>
      <c r="CC919" s="1"/>
      <c r="CD919" s="1"/>
      <c r="CE919" s="1"/>
      <c r="CF919" s="1"/>
      <c r="CG919" s="1"/>
      <c r="CH919" s="1"/>
      <c r="CI919" s="1"/>
    </row>
    <row r="920" spans="1:87"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c r="BP920" s="1"/>
      <c r="BQ920" s="1"/>
      <c r="BR920" s="1"/>
      <c r="BS920" s="1"/>
      <c r="BT920" s="1"/>
      <c r="BU920" s="1"/>
      <c r="BV920" s="1"/>
      <c r="BW920" s="1"/>
      <c r="BX920" s="1"/>
      <c r="BY920" s="1"/>
      <c r="BZ920" s="1"/>
      <c r="CA920" s="1"/>
      <c r="CB920" s="1"/>
      <c r="CC920" s="1"/>
      <c r="CD920" s="1"/>
      <c r="CE920" s="1"/>
      <c r="CF920" s="1"/>
      <c r="CG920" s="1"/>
      <c r="CH920" s="1"/>
      <c r="CI920" s="1"/>
    </row>
    <row r="921" spans="1:87"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c r="BP921" s="1"/>
      <c r="BQ921" s="1"/>
      <c r="BR921" s="1"/>
      <c r="BS921" s="1"/>
      <c r="BT921" s="1"/>
      <c r="BU921" s="1"/>
      <c r="BV921" s="1"/>
      <c r="BW921" s="1"/>
      <c r="BX921" s="1"/>
      <c r="BY921" s="1"/>
      <c r="BZ921" s="1"/>
      <c r="CA921" s="1"/>
      <c r="CB921" s="1"/>
      <c r="CC921" s="1"/>
      <c r="CD921" s="1"/>
      <c r="CE921" s="1"/>
      <c r="CF921" s="1"/>
      <c r="CG921" s="1"/>
      <c r="CH921" s="1"/>
      <c r="CI921" s="1"/>
    </row>
    <row r="922" spans="1:87"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c r="BP922" s="1"/>
      <c r="BQ922" s="1"/>
      <c r="BR922" s="1"/>
      <c r="BS922" s="1"/>
      <c r="BT922" s="1"/>
      <c r="BU922" s="1"/>
      <c r="BV922" s="1"/>
      <c r="BW922" s="1"/>
      <c r="BX922" s="1"/>
      <c r="BY922" s="1"/>
      <c r="BZ922" s="1"/>
      <c r="CA922" s="1"/>
      <c r="CB922" s="1"/>
      <c r="CC922" s="1"/>
      <c r="CD922" s="1"/>
      <c r="CE922" s="1"/>
      <c r="CF922" s="1"/>
      <c r="CG922" s="1"/>
      <c r="CH922" s="1"/>
      <c r="CI922" s="1"/>
    </row>
    <row r="923" spans="1:87"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c r="BP923" s="1"/>
      <c r="BQ923" s="1"/>
      <c r="BR923" s="1"/>
      <c r="BS923" s="1"/>
      <c r="BT923" s="1"/>
      <c r="BU923" s="1"/>
      <c r="BV923" s="1"/>
      <c r="BW923" s="1"/>
      <c r="BX923" s="1"/>
      <c r="BY923" s="1"/>
      <c r="BZ923" s="1"/>
      <c r="CA923" s="1"/>
      <c r="CB923" s="1"/>
      <c r="CC923" s="1"/>
      <c r="CD923" s="1"/>
      <c r="CE923" s="1"/>
      <c r="CF923" s="1"/>
      <c r="CG923" s="1"/>
      <c r="CH923" s="1"/>
      <c r="CI923" s="1"/>
    </row>
    <row r="924" spans="1:87"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c r="BP924" s="1"/>
      <c r="BQ924" s="1"/>
      <c r="BR924" s="1"/>
      <c r="BS924" s="1"/>
      <c r="BT924" s="1"/>
      <c r="BU924" s="1"/>
      <c r="BV924" s="1"/>
      <c r="BW924" s="1"/>
      <c r="BX924" s="1"/>
      <c r="BY924" s="1"/>
      <c r="BZ924" s="1"/>
      <c r="CA924" s="1"/>
      <c r="CB924" s="1"/>
      <c r="CC924" s="1"/>
      <c r="CD924" s="1"/>
      <c r="CE924" s="1"/>
      <c r="CF924" s="1"/>
      <c r="CG924" s="1"/>
      <c r="CH924" s="1"/>
      <c r="CI924" s="1"/>
    </row>
    <row r="925" spans="1:87"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c r="BP925" s="1"/>
      <c r="BQ925" s="1"/>
      <c r="BR925" s="1"/>
      <c r="BS925" s="1"/>
      <c r="BT925" s="1"/>
      <c r="BU925" s="1"/>
      <c r="BV925" s="1"/>
      <c r="BW925" s="1"/>
      <c r="BX925" s="1"/>
      <c r="BY925" s="1"/>
      <c r="BZ925" s="1"/>
      <c r="CA925" s="1"/>
      <c r="CB925" s="1"/>
      <c r="CC925" s="1"/>
      <c r="CD925" s="1"/>
      <c r="CE925" s="1"/>
      <c r="CF925" s="1"/>
      <c r="CG925" s="1"/>
      <c r="CH925" s="1"/>
      <c r="CI925" s="1"/>
    </row>
    <row r="926" spans="1:87"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c r="BP926" s="1"/>
      <c r="BQ926" s="1"/>
      <c r="BR926" s="1"/>
      <c r="BS926" s="1"/>
      <c r="BT926" s="1"/>
      <c r="BU926" s="1"/>
      <c r="BV926" s="1"/>
      <c r="BW926" s="1"/>
      <c r="BX926" s="1"/>
      <c r="BY926" s="1"/>
      <c r="BZ926" s="1"/>
      <c r="CA926" s="1"/>
      <c r="CB926" s="1"/>
      <c r="CC926" s="1"/>
      <c r="CD926" s="1"/>
      <c r="CE926" s="1"/>
      <c r="CF926" s="1"/>
      <c r="CG926" s="1"/>
      <c r="CH926" s="1"/>
      <c r="CI926" s="1"/>
    </row>
    <row r="927" spans="1:87"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c r="BP927" s="1"/>
      <c r="BQ927" s="1"/>
      <c r="BR927" s="1"/>
      <c r="BS927" s="1"/>
      <c r="BT927" s="1"/>
      <c r="BU927" s="1"/>
      <c r="BV927" s="1"/>
      <c r="BW927" s="1"/>
      <c r="BX927" s="1"/>
      <c r="BY927" s="1"/>
      <c r="BZ927" s="1"/>
      <c r="CA927" s="1"/>
      <c r="CB927" s="1"/>
      <c r="CC927" s="1"/>
      <c r="CD927" s="1"/>
      <c r="CE927" s="1"/>
      <c r="CF927" s="1"/>
      <c r="CG927" s="1"/>
      <c r="CH927" s="1"/>
      <c r="CI927" s="1"/>
    </row>
    <row r="928" spans="1:87"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c r="BP928" s="1"/>
      <c r="BQ928" s="1"/>
      <c r="BR928" s="1"/>
      <c r="BS928" s="1"/>
      <c r="BT928" s="1"/>
      <c r="BU928" s="1"/>
      <c r="BV928" s="1"/>
      <c r="BW928" s="1"/>
      <c r="BX928" s="1"/>
      <c r="BY928" s="1"/>
      <c r="BZ928" s="1"/>
      <c r="CA928" s="1"/>
      <c r="CB928" s="1"/>
      <c r="CC928" s="1"/>
      <c r="CD928" s="1"/>
      <c r="CE928" s="1"/>
      <c r="CF928" s="1"/>
      <c r="CG928" s="1"/>
      <c r="CH928" s="1"/>
      <c r="CI928" s="1"/>
    </row>
    <row r="929" spans="1:87"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c r="BP929" s="1"/>
      <c r="BQ929" s="1"/>
      <c r="BR929" s="1"/>
      <c r="BS929" s="1"/>
      <c r="BT929" s="1"/>
      <c r="BU929" s="1"/>
      <c r="BV929" s="1"/>
      <c r="BW929" s="1"/>
      <c r="BX929" s="1"/>
      <c r="BY929" s="1"/>
      <c r="BZ929" s="1"/>
      <c r="CA929" s="1"/>
      <c r="CB929" s="1"/>
      <c r="CC929" s="1"/>
      <c r="CD929" s="1"/>
      <c r="CE929" s="1"/>
      <c r="CF929" s="1"/>
      <c r="CG929" s="1"/>
      <c r="CH929" s="1"/>
      <c r="CI929" s="1"/>
    </row>
    <row r="930" spans="1:87"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c r="BP930" s="1"/>
      <c r="BQ930" s="1"/>
      <c r="BR930" s="1"/>
      <c r="BS930" s="1"/>
      <c r="BT930" s="1"/>
      <c r="BU930" s="1"/>
      <c r="BV930" s="1"/>
      <c r="BW930" s="1"/>
      <c r="BX930" s="1"/>
      <c r="BY930" s="1"/>
      <c r="BZ930" s="1"/>
      <c r="CA930" s="1"/>
      <c r="CB930" s="1"/>
      <c r="CC930" s="1"/>
      <c r="CD930" s="1"/>
      <c r="CE930" s="1"/>
      <c r="CF930" s="1"/>
      <c r="CG930" s="1"/>
      <c r="CH930" s="1"/>
      <c r="CI930" s="1"/>
    </row>
    <row r="931" spans="1:87"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c r="BP931" s="1"/>
      <c r="BQ931" s="1"/>
      <c r="BR931" s="1"/>
      <c r="BS931" s="1"/>
      <c r="BT931" s="1"/>
      <c r="BU931" s="1"/>
      <c r="BV931" s="1"/>
      <c r="BW931" s="1"/>
      <c r="BX931" s="1"/>
      <c r="BY931" s="1"/>
      <c r="BZ931" s="1"/>
      <c r="CA931" s="1"/>
      <c r="CB931" s="1"/>
      <c r="CC931" s="1"/>
      <c r="CD931" s="1"/>
      <c r="CE931" s="1"/>
      <c r="CF931" s="1"/>
      <c r="CG931" s="1"/>
      <c r="CH931" s="1"/>
      <c r="CI931" s="1"/>
    </row>
    <row r="932" spans="1:87"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c r="BP932" s="1"/>
      <c r="BQ932" s="1"/>
      <c r="BR932" s="1"/>
      <c r="BS932" s="1"/>
      <c r="BT932" s="1"/>
      <c r="BU932" s="1"/>
      <c r="BV932" s="1"/>
      <c r="BW932" s="1"/>
      <c r="BX932" s="1"/>
      <c r="BY932" s="1"/>
      <c r="BZ932" s="1"/>
      <c r="CA932" s="1"/>
      <c r="CB932" s="1"/>
      <c r="CC932" s="1"/>
      <c r="CD932" s="1"/>
      <c r="CE932" s="1"/>
      <c r="CF932" s="1"/>
      <c r="CG932" s="1"/>
      <c r="CH932" s="1"/>
      <c r="CI932" s="1"/>
    </row>
    <row r="933" spans="1:87"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c r="BP933" s="1"/>
      <c r="BQ933" s="1"/>
      <c r="BR933" s="1"/>
      <c r="BS933" s="1"/>
      <c r="BT933" s="1"/>
      <c r="BU933" s="1"/>
      <c r="BV933" s="1"/>
      <c r="BW933" s="1"/>
      <c r="BX933" s="1"/>
      <c r="BY933" s="1"/>
      <c r="BZ933" s="1"/>
      <c r="CA933" s="1"/>
      <c r="CB933" s="1"/>
      <c r="CC933" s="1"/>
      <c r="CD933" s="1"/>
      <c r="CE933" s="1"/>
      <c r="CF933" s="1"/>
      <c r="CG933" s="1"/>
      <c r="CH933" s="1"/>
      <c r="CI933" s="1"/>
    </row>
    <row r="934" spans="1:87"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c r="BP934" s="1"/>
      <c r="BQ934" s="1"/>
      <c r="BR934" s="1"/>
      <c r="BS934" s="1"/>
      <c r="BT934" s="1"/>
      <c r="BU934" s="1"/>
      <c r="BV934" s="1"/>
      <c r="BW934" s="1"/>
      <c r="BX934" s="1"/>
      <c r="BY934" s="1"/>
      <c r="BZ934" s="1"/>
      <c r="CA934" s="1"/>
      <c r="CB934" s="1"/>
      <c r="CC934" s="1"/>
      <c r="CD934" s="1"/>
      <c r="CE934" s="1"/>
      <c r="CF934" s="1"/>
      <c r="CG934" s="1"/>
      <c r="CH934" s="1"/>
      <c r="CI934" s="1"/>
    </row>
    <row r="935" spans="1:87"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c r="BP935" s="1"/>
      <c r="BQ935" s="1"/>
      <c r="BR935" s="1"/>
      <c r="BS935" s="1"/>
      <c r="BT935" s="1"/>
      <c r="BU935" s="1"/>
      <c r="BV935" s="1"/>
      <c r="BW935" s="1"/>
      <c r="BX935" s="1"/>
      <c r="BY935" s="1"/>
      <c r="BZ935" s="1"/>
      <c r="CA935" s="1"/>
      <c r="CB935" s="1"/>
      <c r="CC935" s="1"/>
      <c r="CD935" s="1"/>
      <c r="CE935" s="1"/>
      <c r="CF935" s="1"/>
      <c r="CG935" s="1"/>
      <c r="CH935" s="1"/>
      <c r="CI935" s="1"/>
    </row>
    <row r="936" spans="1:87"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c r="BP936" s="1"/>
      <c r="BQ936" s="1"/>
      <c r="BR936" s="1"/>
      <c r="BS936" s="1"/>
      <c r="BT936" s="1"/>
      <c r="BU936" s="1"/>
      <c r="BV936" s="1"/>
      <c r="BW936" s="1"/>
      <c r="BX936" s="1"/>
      <c r="BY936" s="1"/>
      <c r="BZ936" s="1"/>
      <c r="CA936" s="1"/>
      <c r="CB936" s="1"/>
      <c r="CC936" s="1"/>
      <c r="CD936" s="1"/>
      <c r="CE936" s="1"/>
      <c r="CF936" s="1"/>
      <c r="CG936" s="1"/>
      <c r="CH936" s="1"/>
      <c r="CI936" s="1"/>
    </row>
    <row r="937" spans="1:87"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c r="BP937" s="1"/>
      <c r="BQ937" s="1"/>
      <c r="BR937" s="1"/>
      <c r="BS937" s="1"/>
      <c r="BT937" s="1"/>
      <c r="BU937" s="1"/>
      <c r="BV937" s="1"/>
      <c r="BW937" s="1"/>
      <c r="BX937" s="1"/>
      <c r="BY937" s="1"/>
      <c r="BZ937" s="1"/>
      <c r="CA937" s="1"/>
      <c r="CB937" s="1"/>
      <c r="CC937" s="1"/>
      <c r="CD937" s="1"/>
      <c r="CE937" s="1"/>
      <c r="CF937" s="1"/>
      <c r="CG937" s="1"/>
      <c r="CH937" s="1"/>
      <c r="CI937" s="1"/>
    </row>
    <row r="938" spans="1:87"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c r="BP938" s="1"/>
      <c r="BQ938" s="1"/>
      <c r="BR938" s="1"/>
      <c r="BS938" s="1"/>
      <c r="BT938" s="1"/>
      <c r="BU938" s="1"/>
      <c r="BV938" s="1"/>
      <c r="BW938" s="1"/>
      <c r="BX938" s="1"/>
      <c r="BY938" s="1"/>
      <c r="BZ938" s="1"/>
      <c r="CA938" s="1"/>
      <c r="CB938" s="1"/>
      <c r="CC938" s="1"/>
      <c r="CD938" s="1"/>
      <c r="CE938" s="1"/>
      <c r="CF938" s="1"/>
      <c r="CG938" s="1"/>
      <c r="CH938" s="1"/>
      <c r="CI938" s="1"/>
    </row>
    <row r="939" spans="1:87"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c r="BP939" s="1"/>
      <c r="BQ939" s="1"/>
      <c r="BR939" s="1"/>
      <c r="BS939" s="1"/>
      <c r="BT939" s="1"/>
      <c r="BU939" s="1"/>
      <c r="BV939" s="1"/>
      <c r="BW939" s="1"/>
      <c r="BX939" s="1"/>
      <c r="BY939" s="1"/>
      <c r="BZ939" s="1"/>
      <c r="CA939" s="1"/>
      <c r="CB939" s="1"/>
      <c r="CC939" s="1"/>
      <c r="CD939" s="1"/>
      <c r="CE939" s="1"/>
      <c r="CF939" s="1"/>
      <c r="CG939" s="1"/>
      <c r="CH939" s="1"/>
      <c r="CI939" s="1"/>
    </row>
    <row r="940" spans="1:87"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c r="BP940" s="1"/>
      <c r="BQ940" s="1"/>
      <c r="BR940" s="1"/>
      <c r="BS940" s="1"/>
      <c r="BT940" s="1"/>
      <c r="BU940" s="1"/>
      <c r="BV940" s="1"/>
      <c r="BW940" s="1"/>
      <c r="BX940" s="1"/>
      <c r="BY940" s="1"/>
      <c r="BZ940" s="1"/>
      <c r="CA940" s="1"/>
      <c r="CB940" s="1"/>
      <c r="CC940" s="1"/>
      <c r="CD940" s="1"/>
      <c r="CE940" s="1"/>
      <c r="CF940" s="1"/>
      <c r="CG940" s="1"/>
      <c r="CH940" s="1"/>
      <c r="CI940" s="1"/>
    </row>
    <row r="941" spans="1:87"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c r="BP941" s="1"/>
      <c r="BQ941" s="1"/>
      <c r="BR941" s="1"/>
      <c r="BS941" s="1"/>
      <c r="BT941" s="1"/>
      <c r="BU941" s="1"/>
      <c r="BV941" s="1"/>
      <c r="BW941" s="1"/>
      <c r="BX941" s="1"/>
      <c r="BY941" s="1"/>
      <c r="BZ941" s="1"/>
      <c r="CA941" s="1"/>
      <c r="CB941" s="1"/>
      <c r="CC941" s="1"/>
      <c r="CD941" s="1"/>
      <c r="CE941" s="1"/>
      <c r="CF941" s="1"/>
      <c r="CG941" s="1"/>
      <c r="CH941" s="1"/>
      <c r="CI941" s="1"/>
    </row>
    <row r="942" spans="1:87"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c r="BP942" s="1"/>
      <c r="BQ942" s="1"/>
      <c r="BR942" s="1"/>
      <c r="BS942" s="1"/>
      <c r="BT942" s="1"/>
      <c r="BU942" s="1"/>
      <c r="BV942" s="1"/>
      <c r="BW942" s="1"/>
      <c r="BX942" s="1"/>
      <c r="BY942" s="1"/>
      <c r="BZ942" s="1"/>
      <c r="CA942" s="1"/>
      <c r="CB942" s="1"/>
      <c r="CC942" s="1"/>
      <c r="CD942" s="1"/>
      <c r="CE942" s="1"/>
      <c r="CF942" s="1"/>
      <c r="CG942" s="1"/>
      <c r="CH942" s="1"/>
      <c r="CI942" s="1"/>
    </row>
    <row r="943" spans="1:87"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c r="BP943" s="1"/>
      <c r="BQ943" s="1"/>
      <c r="BR943" s="1"/>
      <c r="BS943" s="1"/>
      <c r="BT943" s="1"/>
      <c r="BU943" s="1"/>
      <c r="BV943" s="1"/>
      <c r="BW943" s="1"/>
      <c r="BX943" s="1"/>
      <c r="BY943" s="1"/>
      <c r="BZ943" s="1"/>
      <c r="CA943" s="1"/>
      <c r="CB943" s="1"/>
      <c r="CC943" s="1"/>
      <c r="CD943" s="1"/>
      <c r="CE943" s="1"/>
      <c r="CF943" s="1"/>
      <c r="CG943" s="1"/>
      <c r="CH943" s="1"/>
      <c r="CI943" s="1"/>
    </row>
    <row r="944" spans="1:87"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c r="BP944" s="1"/>
      <c r="BQ944" s="1"/>
      <c r="BR944" s="1"/>
      <c r="BS944" s="1"/>
      <c r="BT944" s="1"/>
      <c r="BU944" s="1"/>
      <c r="BV944" s="1"/>
      <c r="BW944" s="1"/>
      <c r="BX944" s="1"/>
      <c r="BY944" s="1"/>
      <c r="BZ944" s="1"/>
      <c r="CA944" s="1"/>
      <c r="CB944" s="1"/>
      <c r="CC944" s="1"/>
      <c r="CD944" s="1"/>
      <c r="CE944" s="1"/>
      <c r="CF944" s="1"/>
      <c r="CG944" s="1"/>
      <c r="CH944" s="1"/>
      <c r="CI944" s="1"/>
    </row>
    <row r="945" spans="1:87"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c r="BP945" s="1"/>
      <c r="BQ945" s="1"/>
      <c r="BR945" s="1"/>
      <c r="BS945" s="1"/>
      <c r="BT945" s="1"/>
      <c r="BU945" s="1"/>
      <c r="BV945" s="1"/>
      <c r="BW945" s="1"/>
      <c r="BX945" s="1"/>
      <c r="BY945" s="1"/>
      <c r="BZ945" s="1"/>
      <c r="CA945" s="1"/>
      <c r="CB945" s="1"/>
      <c r="CC945" s="1"/>
      <c r="CD945" s="1"/>
      <c r="CE945" s="1"/>
      <c r="CF945" s="1"/>
      <c r="CG945" s="1"/>
      <c r="CH945" s="1"/>
      <c r="CI945" s="1"/>
    </row>
    <row r="946" spans="1:87"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c r="BP946" s="1"/>
      <c r="BQ946" s="1"/>
      <c r="BR946" s="1"/>
      <c r="BS946" s="1"/>
      <c r="BT946" s="1"/>
      <c r="BU946" s="1"/>
      <c r="BV946" s="1"/>
      <c r="BW946" s="1"/>
      <c r="BX946" s="1"/>
      <c r="BY946" s="1"/>
      <c r="BZ946" s="1"/>
      <c r="CA946" s="1"/>
      <c r="CB946" s="1"/>
      <c r="CC946" s="1"/>
      <c r="CD946" s="1"/>
      <c r="CE946" s="1"/>
      <c r="CF946" s="1"/>
      <c r="CG946" s="1"/>
      <c r="CH946" s="1"/>
      <c r="CI946" s="1"/>
    </row>
    <row r="947" spans="1:87"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c r="BP947" s="1"/>
      <c r="BQ947" s="1"/>
      <c r="BR947" s="1"/>
      <c r="BS947" s="1"/>
      <c r="BT947" s="1"/>
      <c r="BU947" s="1"/>
      <c r="BV947" s="1"/>
      <c r="BW947" s="1"/>
      <c r="BX947" s="1"/>
      <c r="BY947" s="1"/>
      <c r="BZ947" s="1"/>
      <c r="CA947" s="1"/>
      <c r="CB947" s="1"/>
      <c r="CC947" s="1"/>
      <c r="CD947" s="1"/>
      <c r="CE947" s="1"/>
      <c r="CF947" s="1"/>
      <c r="CG947" s="1"/>
      <c r="CH947" s="1"/>
      <c r="CI947" s="1"/>
    </row>
    <row r="948" spans="1:87"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c r="BP948" s="1"/>
      <c r="BQ948" s="1"/>
      <c r="BR948" s="1"/>
      <c r="BS948" s="1"/>
      <c r="BT948" s="1"/>
      <c r="BU948" s="1"/>
      <c r="BV948" s="1"/>
      <c r="BW948" s="1"/>
      <c r="BX948" s="1"/>
      <c r="BY948" s="1"/>
      <c r="BZ948" s="1"/>
      <c r="CA948" s="1"/>
      <c r="CB948" s="1"/>
      <c r="CC948" s="1"/>
      <c r="CD948" s="1"/>
      <c r="CE948" s="1"/>
      <c r="CF948" s="1"/>
      <c r="CG948" s="1"/>
      <c r="CH948" s="1"/>
      <c r="CI948" s="1"/>
    </row>
    <row r="949" spans="1:87"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c r="BP949" s="1"/>
      <c r="BQ949" s="1"/>
      <c r="BR949" s="1"/>
      <c r="BS949" s="1"/>
      <c r="BT949" s="1"/>
      <c r="BU949" s="1"/>
      <c r="BV949" s="1"/>
      <c r="BW949" s="1"/>
      <c r="BX949" s="1"/>
      <c r="BY949" s="1"/>
      <c r="BZ949" s="1"/>
      <c r="CA949" s="1"/>
      <c r="CB949" s="1"/>
      <c r="CC949" s="1"/>
      <c r="CD949" s="1"/>
      <c r="CE949" s="1"/>
      <c r="CF949" s="1"/>
      <c r="CG949" s="1"/>
      <c r="CH949" s="1"/>
      <c r="CI949" s="1"/>
    </row>
    <row r="950" spans="1:87"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c r="BP950" s="1"/>
      <c r="BQ950" s="1"/>
      <c r="BR950" s="1"/>
      <c r="BS950" s="1"/>
      <c r="BT950" s="1"/>
      <c r="BU950" s="1"/>
      <c r="BV950" s="1"/>
      <c r="BW950" s="1"/>
      <c r="BX950" s="1"/>
      <c r="BY950" s="1"/>
      <c r="BZ950" s="1"/>
      <c r="CA950" s="1"/>
      <c r="CB950" s="1"/>
      <c r="CC950" s="1"/>
      <c r="CD950" s="1"/>
      <c r="CE950" s="1"/>
      <c r="CF950" s="1"/>
      <c r="CG950" s="1"/>
      <c r="CH950" s="1"/>
      <c r="CI950" s="1"/>
    </row>
    <row r="951" spans="1:87"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c r="BP951" s="1"/>
      <c r="BQ951" s="1"/>
      <c r="BR951" s="1"/>
      <c r="BS951" s="1"/>
      <c r="BT951" s="1"/>
      <c r="BU951" s="1"/>
      <c r="BV951" s="1"/>
      <c r="BW951" s="1"/>
      <c r="BX951" s="1"/>
      <c r="BY951" s="1"/>
      <c r="BZ951" s="1"/>
      <c r="CA951" s="1"/>
      <c r="CB951" s="1"/>
      <c r="CC951" s="1"/>
      <c r="CD951" s="1"/>
      <c r="CE951" s="1"/>
      <c r="CF951" s="1"/>
      <c r="CG951" s="1"/>
      <c r="CH951" s="1"/>
      <c r="CI951" s="1"/>
    </row>
    <row r="952" spans="1:87"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c r="BP952" s="1"/>
      <c r="BQ952" s="1"/>
      <c r="BR952" s="1"/>
      <c r="BS952" s="1"/>
      <c r="BT952" s="1"/>
      <c r="BU952" s="1"/>
      <c r="BV952" s="1"/>
      <c r="BW952" s="1"/>
      <c r="BX952" s="1"/>
      <c r="BY952" s="1"/>
      <c r="BZ952" s="1"/>
      <c r="CA952" s="1"/>
      <c r="CB952" s="1"/>
      <c r="CC952" s="1"/>
      <c r="CD952" s="1"/>
      <c r="CE952" s="1"/>
      <c r="CF952" s="1"/>
      <c r="CG952" s="1"/>
      <c r="CH952" s="1"/>
      <c r="CI952" s="1"/>
    </row>
    <row r="953" spans="1:87"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c r="BP953" s="1"/>
      <c r="BQ953" s="1"/>
      <c r="BR953" s="1"/>
      <c r="BS953" s="1"/>
      <c r="BT953" s="1"/>
      <c r="BU953" s="1"/>
      <c r="BV953" s="1"/>
      <c r="BW953" s="1"/>
      <c r="BX953" s="1"/>
      <c r="BY953" s="1"/>
      <c r="BZ953" s="1"/>
      <c r="CA953" s="1"/>
      <c r="CB953" s="1"/>
      <c r="CC953" s="1"/>
      <c r="CD953" s="1"/>
      <c r="CE953" s="1"/>
      <c r="CF953" s="1"/>
      <c r="CG953" s="1"/>
      <c r="CH953" s="1"/>
      <c r="CI953" s="1"/>
    </row>
    <row r="954" spans="1:87"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c r="BP954" s="1"/>
      <c r="BQ954" s="1"/>
      <c r="BR954" s="1"/>
      <c r="BS954" s="1"/>
      <c r="BT954" s="1"/>
      <c r="BU954" s="1"/>
      <c r="BV954" s="1"/>
      <c r="BW954" s="1"/>
      <c r="BX954" s="1"/>
      <c r="BY954" s="1"/>
      <c r="BZ954" s="1"/>
      <c r="CA954" s="1"/>
      <c r="CB954" s="1"/>
      <c r="CC954" s="1"/>
      <c r="CD954" s="1"/>
      <c r="CE954" s="1"/>
      <c r="CF954" s="1"/>
      <c r="CG954" s="1"/>
      <c r="CH954" s="1"/>
      <c r="CI954" s="1"/>
    </row>
    <row r="955" spans="1:87"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c r="BP955" s="1"/>
      <c r="BQ955" s="1"/>
      <c r="BR955" s="1"/>
      <c r="BS955" s="1"/>
      <c r="BT955" s="1"/>
      <c r="BU955" s="1"/>
      <c r="BV955" s="1"/>
      <c r="BW955" s="1"/>
      <c r="BX955" s="1"/>
      <c r="BY955" s="1"/>
      <c r="BZ955" s="1"/>
      <c r="CA955" s="1"/>
      <c r="CB955" s="1"/>
      <c r="CC955" s="1"/>
      <c r="CD955" s="1"/>
      <c r="CE955" s="1"/>
      <c r="CF955" s="1"/>
      <c r="CG955" s="1"/>
      <c r="CH955" s="1"/>
      <c r="CI955" s="1"/>
    </row>
    <row r="956" spans="1:87"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c r="BP956" s="1"/>
      <c r="BQ956" s="1"/>
      <c r="BR956" s="1"/>
      <c r="BS956" s="1"/>
      <c r="BT956" s="1"/>
      <c r="BU956" s="1"/>
      <c r="BV956" s="1"/>
      <c r="BW956" s="1"/>
      <c r="BX956" s="1"/>
      <c r="BY956" s="1"/>
      <c r="BZ956" s="1"/>
      <c r="CA956" s="1"/>
      <c r="CB956" s="1"/>
      <c r="CC956" s="1"/>
      <c r="CD956" s="1"/>
      <c r="CE956" s="1"/>
      <c r="CF956" s="1"/>
      <c r="CG956" s="1"/>
      <c r="CH956" s="1"/>
      <c r="CI956" s="1"/>
    </row>
    <row r="957" spans="1:87"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row>
    <row r="958" spans="1:87"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c r="BP958" s="1"/>
      <c r="BQ958" s="1"/>
      <c r="BR958" s="1"/>
      <c r="BS958" s="1"/>
      <c r="BT958" s="1"/>
      <c r="BU958" s="1"/>
      <c r="BV958" s="1"/>
      <c r="BW958" s="1"/>
      <c r="BX958" s="1"/>
      <c r="BY958" s="1"/>
      <c r="BZ958" s="1"/>
      <c r="CA958" s="1"/>
      <c r="CB958" s="1"/>
      <c r="CC958" s="1"/>
      <c r="CD958" s="1"/>
      <c r="CE958" s="1"/>
      <c r="CF958" s="1"/>
      <c r="CG958" s="1"/>
      <c r="CH958" s="1"/>
      <c r="CI958" s="1"/>
    </row>
    <row r="959" spans="1:87"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c r="BP959" s="1"/>
      <c r="BQ959" s="1"/>
      <c r="BR959" s="1"/>
      <c r="BS959" s="1"/>
      <c r="BT959" s="1"/>
      <c r="BU959" s="1"/>
      <c r="BV959" s="1"/>
      <c r="BW959" s="1"/>
      <c r="BX959" s="1"/>
      <c r="BY959" s="1"/>
      <c r="BZ959" s="1"/>
      <c r="CA959" s="1"/>
      <c r="CB959" s="1"/>
      <c r="CC959" s="1"/>
      <c r="CD959" s="1"/>
      <c r="CE959" s="1"/>
      <c r="CF959" s="1"/>
      <c r="CG959" s="1"/>
      <c r="CH959" s="1"/>
      <c r="CI959" s="1"/>
    </row>
    <row r="960" spans="1:87"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c r="BP960" s="1"/>
      <c r="BQ960" s="1"/>
      <c r="BR960" s="1"/>
      <c r="BS960" s="1"/>
      <c r="BT960" s="1"/>
      <c r="BU960" s="1"/>
      <c r="BV960" s="1"/>
      <c r="BW960" s="1"/>
      <c r="BX960" s="1"/>
      <c r="BY960" s="1"/>
      <c r="BZ960" s="1"/>
      <c r="CA960" s="1"/>
      <c r="CB960" s="1"/>
      <c r="CC960" s="1"/>
      <c r="CD960" s="1"/>
      <c r="CE960" s="1"/>
      <c r="CF960" s="1"/>
      <c r="CG960" s="1"/>
      <c r="CH960" s="1"/>
      <c r="CI960" s="1"/>
    </row>
    <row r="961" spans="1:87"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c r="BP961" s="1"/>
      <c r="BQ961" s="1"/>
      <c r="BR961" s="1"/>
      <c r="BS961" s="1"/>
      <c r="BT961" s="1"/>
      <c r="BU961" s="1"/>
      <c r="BV961" s="1"/>
      <c r="BW961" s="1"/>
      <c r="BX961" s="1"/>
      <c r="BY961" s="1"/>
      <c r="BZ961" s="1"/>
      <c r="CA961" s="1"/>
      <c r="CB961" s="1"/>
      <c r="CC961" s="1"/>
      <c r="CD961" s="1"/>
      <c r="CE961" s="1"/>
      <c r="CF961" s="1"/>
      <c r="CG961" s="1"/>
      <c r="CH961" s="1"/>
      <c r="CI961" s="1"/>
    </row>
    <row r="962" spans="1:87"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c r="BP962" s="1"/>
      <c r="BQ962" s="1"/>
      <c r="BR962" s="1"/>
      <c r="BS962" s="1"/>
      <c r="BT962" s="1"/>
      <c r="BU962" s="1"/>
      <c r="BV962" s="1"/>
      <c r="BW962" s="1"/>
      <c r="BX962" s="1"/>
      <c r="BY962" s="1"/>
      <c r="BZ962" s="1"/>
      <c r="CA962" s="1"/>
      <c r="CB962" s="1"/>
      <c r="CC962" s="1"/>
      <c r="CD962" s="1"/>
      <c r="CE962" s="1"/>
      <c r="CF962" s="1"/>
      <c r="CG962" s="1"/>
      <c r="CH962" s="1"/>
      <c r="CI962" s="1"/>
    </row>
    <row r="963" spans="1:87"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c r="BP963" s="1"/>
      <c r="BQ963" s="1"/>
      <c r="BR963" s="1"/>
      <c r="BS963" s="1"/>
      <c r="BT963" s="1"/>
      <c r="BU963" s="1"/>
      <c r="BV963" s="1"/>
      <c r="BW963" s="1"/>
      <c r="BX963" s="1"/>
      <c r="BY963" s="1"/>
      <c r="BZ963" s="1"/>
      <c r="CA963" s="1"/>
      <c r="CB963" s="1"/>
      <c r="CC963" s="1"/>
      <c r="CD963" s="1"/>
      <c r="CE963" s="1"/>
      <c r="CF963" s="1"/>
      <c r="CG963" s="1"/>
      <c r="CH963" s="1"/>
      <c r="CI963" s="1"/>
    </row>
    <row r="964" spans="1:87"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c r="BP964" s="1"/>
      <c r="BQ964" s="1"/>
      <c r="BR964" s="1"/>
      <c r="BS964" s="1"/>
      <c r="BT964" s="1"/>
      <c r="BU964" s="1"/>
      <c r="BV964" s="1"/>
      <c r="BW964" s="1"/>
      <c r="BX964" s="1"/>
      <c r="BY964" s="1"/>
      <c r="BZ964" s="1"/>
      <c r="CA964" s="1"/>
      <c r="CB964" s="1"/>
      <c r="CC964" s="1"/>
      <c r="CD964" s="1"/>
      <c r="CE964" s="1"/>
      <c r="CF964" s="1"/>
      <c r="CG964" s="1"/>
      <c r="CH964" s="1"/>
      <c r="CI964" s="1"/>
    </row>
    <row r="965" spans="1:87"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c r="BP965" s="1"/>
      <c r="BQ965" s="1"/>
      <c r="BR965" s="1"/>
      <c r="BS965" s="1"/>
      <c r="BT965" s="1"/>
      <c r="BU965" s="1"/>
      <c r="BV965" s="1"/>
      <c r="BW965" s="1"/>
      <c r="BX965" s="1"/>
      <c r="BY965" s="1"/>
      <c r="BZ965" s="1"/>
      <c r="CA965" s="1"/>
      <c r="CB965" s="1"/>
      <c r="CC965" s="1"/>
      <c r="CD965" s="1"/>
      <c r="CE965" s="1"/>
      <c r="CF965" s="1"/>
      <c r="CG965" s="1"/>
      <c r="CH965" s="1"/>
      <c r="CI965" s="1"/>
    </row>
    <row r="966" spans="1:87"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c r="BP966" s="1"/>
      <c r="BQ966" s="1"/>
      <c r="BR966" s="1"/>
      <c r="BS966" s="1"/>
      <c r="BT966" s="1"/>
      <c r="BU966" s="1"/>
      <c r="BV966" s="1"/>
      <c r="BW966" s="1"/>
      <c r="BX966" s="1"/>
      <c r="BY966" s="1"/>
      <c r="BZ966" s="1"/>
      <c r="CA966" s="1"/>
      <c r="CB966" s="1"/>
      <c r="CC966" s="1"/>
      <c r="CD966" s="1"/>
      <c r="CE966" s="1"/>
      <c r="CF966" s="1"/>
      <c r="CG966" s="1"/>
      <c r="CH966" s="1"/>
      <c r="CI966" s="1"/>
    </row>
    <row r="967" spans="1:87"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c r="BP967" s="1"/>
      <c r="BQ967" s="1"/>
      <c r="BR967" s="1"/>
      <c r="BS967" s="1"/>
      <c r="BT967" s="1"/>
      <c r="BU967" s="1"/>
      <c r="BV967" s="1"/>
      <c r="BW967" s="1"/>
      <c r="BX967" s="1"/>
      <c r="BY967" s="1"/>
      <c r="BZ967" s="1"/>
      <c r="CA967" s="1"/>
      <c r="CB967" s="1"/>
      <c r="CC967" s="1"/>
      <c r="CD967" s="1"/>
      <c r="CE967" s="1"/>
      <c r="CF967" s="1"/>
      <c r="CG967" s="1"/>
      <c r="CH967" s="1"/>
      <c r="CI967" s="1"/>
    </row>
    <row r="968" spans="1:87"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c r="BP968" s="1"/>
      <c r="BQ968" s="1"/>
      <c r="BR968" s="1"/>
      <c r="BS968" s="1"/>
      <c r="BT968" s="1"/>
      <c r="BU968" s="1"/>
      <c r="BV968" s="1"/>
      <c r="BW968" s="1"/>
      <c r="BX968" s="1"/>
      <c r="BY968" s="1"/>
      <c r="BZ968" s="1"/>
      <c r="CA968" s="1"/>
      <c r="CB968" s="1"/>
      <c r="CC968" s="1"/>
      <c r="CD968" s="1"/>
      <c r="CE968" s="1"/>
      <c r="CF968" s="1"/>
      <c r="CG968" s="1"/>
      <c r="CH968" s="1"/>
      <c r="CI968" s="1"/>
    </row>
    <row r="969" spans="1:87"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c r="BP969" s="1"/>
      <c r="BQ969" s="1"/>
      <c r="BR969" s="1"/>
      <c r="BS969" s="1"/>
      <c r="BT969" s="1"/>
      <c r="BU969" s="1"/>
      <c r="BV969" s="1"/>
      <c r="BW969" s="1"/>
      <c r="BX969" s="1"/>
      <c r="BY969" s="1"/>
      <c r="BZ969" s="1"/>
      <c r="CA969" s="1"/>
      <c r="CB969" s="1"/>
      <c r="CC969" s="1"/>
      <c r="CD969" s="1"/>
      <c r="CE969" s="1"/>
      <c r="CF969" s="1"/>
      <c r="CG969" s="1"/>
      <c r="CH969" s="1"/>
      <c r="CI969" s="1"/>
    </row>
    <row r="970" spans="1:87"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c r="BP970" s="1"/>
      <c r="BQ970" s="1"/>
      <c r="BR970" s="1"/>
      <c r="BS970" s="1"/>
      <c r="BT970" s="1"/>
      <c r="BU970" s="1"/>
      <c r="BV970" s="1"/>
      <c r="BW970" s="1"/>
      <c r="BX970" s="1"/>
      <c r="BY970" s="1"/>
      <c r="BZ970" s="1"/>
      <c r="CA970" s="1"/>
      <c r="CB970" s="1"/>
      <c r="CC970" s="1"/>
      <c r="CD970" s="1"/>
      <c r="CE970" s="1"/>
      <c r="CF970" s="1"/>
      <c r="CG970" s="1"/>
      <c r="CH970" s="1"/>
      <c r="CI970" s="1"/>
    </row>
    <row r="971" spans="1:87"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c r="BP971" s="1"/>
      <c r="BQ971" s="1"/>
      <c r="BR971" s="1"/>
      <c r="BS971" s="1"/>
      <c r="BT971" s="1"/>
      <c r="BU971" s="1"/>
      <c r="BV971" s="1"/>
      <c r="BW971" s="1"/>
      <c r="BX971" s="1"/>
      <c r="BY971" s="1"/>
      <c r="BZ971" s="1"/>
      <c r="CA971" s="1"/>
      <c r="CB971" s="1"/>
      <c r="CC971" s="1"/>
      <c r="CD971" s="1"/>
      <c r="CE971" s="1"/>
      <c r="CF971" s="1"/>
      <c r="CG971" s="1"/>
      <c r="CH971" s="1"/>
      <c r="CI971" s="1"/>
    </row>
    <row r="972" spans="1:87"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c r="BP972" s="1"/>
      <c r="BQ972" s="1"/>
      <c r="BR972" s="1"/>
      <c r="BS972" s="1"/>
      <c r="BT972" s="1"/>
      <c r="BU972" s="1"/>
      <c r="BV972" s="1"/>
      <c r="BW972" s="1"/>
      <c r="BX972" s="1"/>
      <c r="BY972" s="1"/>
      <c r="BZ972" s="1"/>
      <c r="CA972" s="1"/>
      <c r="CB972" s="1"/>
      <c r="CC972" s="1"/>
      <c r="CD972" s="1"/>
      <c r="CE972" s="1"/>
      <c r="CF972" s="1"/>
      <c r="CG972" s="1"/>
      <c r="CH972" s="1"/>
      <c r="CI972" s="1"/>
    </row>
    <row r="973" spans="1:87"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c r="BP973" s="1"/>
      <c r="BQ973" s="1"/>
      <c r="BR973" s="1"/>
      <c r="BS973" s="1"/>
      <c r="BT973" s="1"/>
      <c r="BU973" s="1"/>
      <c r="BV973" s="1"/>
      <c r="BW973" s="1"/>
      <c r="BX973" s="1"/>
      <c r="BY973" s="1"/>
      <c r="BZ973" s="1"/>
      <c r="CA973" s="1"/>
      <c r="CB973" s="1"/>
      <c r="CC973" s="1"/>
      <c r="CD973" s="1"/>
      <c r="CE973" s="1"/>
      <c r="CF973" s="1"/>
      <c r="CG973" s="1"/>
      <c r="CH973" s="1"/>
      <c r="CI973" s="1"/>
    </row>
    <row r="974" spans="1:87"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c r="BP974" s="1"/>
      <c r="BQ974" s="1"/>
      <c r="BR974" s="1"/>
      <c r="BS974" s="1"/>
      <c r="BT974" s="1"/>
      <c r="BU974" s="1"/>
      <c r="BV974" s="1"/>
      <c r="BW974" s="1"/>
      <c r="BX974" s="1"/>
      <c r="BY974" s="1"/>
      <c r="BZ974" s="1"/>
      <c r="CA974" s="1"/>
      <c r="CB974" s="1"/>
      <c r="CC974" s="1"/>
      <c r="CD974" s="1"/>
      <c r="CE974" s="1"/>
      <c r="CF974" s="1"/>
      <c r="CG974" s="1"/>
      <c r="CH974" s="1"/>
      <c r="CI974" s="1"/>
    </row>
    <row r="975" spans="1:87"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c r="BP975" s="1"/>
      <c r="BQ975" s="1"/>
      <c r="BR975" s="1"/>
      <c r="BS975" s="1"/>
      <c r="BT975" s="1"/>
      <c r="BU975" s="1"/>
      <c r="BV975" s="1"/>
      <c r="BW975" s="1"/>
      <c r="BX975" s="1"/>
      <c r="BY975" s="1"/>
      <c r="BZ975" s="1"/>
      <c r="CA975" s="1"/>
      <c r="CB975" s="1"/>
      <c r="CC975" s="1"/>
      <c r="CD975" s="1"/>
      <c r="CE975" s="1"/>
      <c r="CF975" s="1"/>
      <c r="CG975" s="1"/>
      <c r="CH975" s="1"/>
      <c r="CI975" s="1"/>
    </row>
    <row r="976" spans="1:87"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c r="BP976" s="1"/>
      <c r="BQ976" s="1"/>
      <c r="BR976" s="1"/>
      <c r="BS976" s="1"/>
      <c r="BT976" s="1"/>
      <c r="BU976" s="1"/>
      <c r="BV976" s="1"/>
      <c r="BW976" s="1"/>
      <c r="BX976" s="1"/>
      <c r="BY976" s="1"/>
      <c r="BZ976" s="1"/>
      <c r="CA976" s="1"/>
      <c r="CB976" s="1"/>
      <c r="CC976" s="1"/>
      <c r="CD976" s="1"/>
      <c r="CE976" s="1"/>
      <c r="CF976" s="1"/>
      <c r="CG976" s="1"/>
      <c r="CH976" s="1"/>
      <c r="CI976" s="1"/>
    </row>
    <row r="977" spans="1:87"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c r="BP977" s="1"/>
      <c r="BQ977" s="1"/>
      <c r="BR977" s="1"/>
      <c r="BS977" s="1"/>
      <c r="BT977" s="1"/>
      <c r="BU977" s="1"/>
      <c r="BV977" s="1"/>
      <c r="BW977" s="1"/>
      <c r="BX977" s="1"/>
      <c r="BY977" s="1"/>
      <c r="BZ977" s="1"/>
      <c r="CA977" s="1"/>
      <c r="CB977" s="1"/>
      <c r="CC977" s="1"/>
      <c r="CD977" s="1"/>
      <c r="CE977" s="1"/>
      <c r="CF977" s="1"/>
      <c r="CG977" s="1"/>
      <c r="CH977" s="1"/>
      <c r="CI977" s="1"/>
    </row>
    <row r="978" spans="1:87"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c r="BP978" s="1"/>
      <c r="BQ978" s="1"/>
      <c r="BR978" s="1"/>
      <c r="BS978" s="1"/>
      <c r="BT978" s="1"/>
      <c r="BU978" s="1"/>
      <c r="BV978" s="1"/>
      <c r="BW978" s="1"/>
      <c r="BX978" s="1"/>
      <c r="BY978" s="1"/>
      <c r="BZ978" s="1"/>
      <c r="CA978" s="1"/>
      <c r="CB978" s="1"/>
      <c r="CC978" s="1"/>
      <c r="CD978" s="1"/>
      <c r="CE978" s="1"/>
      <c r="CF978" s="1"/>
      <c r="CG978" s="1"/>
      <c r="CH978" s="1"/>
      <c r="CI978" s="1"/>
    </row>
    <row r="979" spans="1:87"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c r="BP979" s="1"/>
      <c r="BQ979" s="1"/>
      <c r="BR979" s="1"/>
      <c r="BS979" s="1"/>
      <c r="BT979" s="1"/>
      <c r="BU979" s="1"/>
      <c r="BV979" s="1"/>
      <c r="BW979" s="1"/>
      <c r="BX979" s="1"/>
      <c r="BY979" s="1"/>
      <c r="BZ979" s="1"/>
      <c r="CA979" s="1"/>
      <c r="CB979" s="1"/>
      <c r="CC979" s="1"/>
      <c r="CD979" s="1"/>
      <c r="CE979" s="1"/>
      <c r="CF979" s="1"/>
      <c r="CG979" s="1"/>
      <c r="CH979" s="1"/>
      <c r="CI979" s="1"/>
    </row>
    <row r="980" spans="1:87"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c r="BP980" s="1"/>
      <c r="BQ980" s="1"/>
      <c r="BR980" s="1"/>
      <c r="BS980" s="1"/>
      <c r="BT980" s="1"/>
      <c r="BU980" s="1"/>
      <c r="BV980" s="1"/>
      <c r="BW980" s="1"/>
      <c r="BX980" s="1"/>
      <c r="BY980" s="1"/>
      <c r="BZ980" s="1"/>
      <c r="CA980" s="1"/>
      <c r="CB980" s="1"/>
      <c r="CC980" s="1"/>
      <c r="CD980" s="1"/>
      <c r="CE980" s="1"/>
      <c r="CF980" s="1"/>
      <c r="CG980" s="1"/>
      <c r="CH980" s="1"/>
      <c r="CI980" s="1"/>
    </row>
    <row r="981" spans="1:87"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c r="BP981" s="1"/>
      <c r="BQ981" s="1"/>
      <c r="BR981" s="1"/>
      <c r="BS981" s="1"/>
      <c r="BT981" s="1"/>
      <c r="BU981" s="1"/>
      <c r="BV981" s="1"/>
      <c r="BW981" s="1"/>
      <c r="BX981" s="1"/>
      <c r="BY981" s="1"/>
      <c r="BZ981" s="1"/>
      <c r="CA981" s="1"/>
      <c r="CB981" s="1"/>
      <c r="CC981" s="1"/>
      <c r="CD981" s="1"/>
      <c r="CE981" s="1"/>
      <c r="CF981" s="1"/>
      <c r="CG981" s="1"/>
      <c r="CH981" s="1"/>
      <c r="CI981" s="1"/>
    </row>
    <row r="982" spans="1:87"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c r="BP982" s="1"/>
      <c r="BQ982" s="1"/>
      <c r="BR982" s="1"/>
      <c r="BS982" s="1"/>
      <c r="BT982" s="1"/>
      <c r="BU982" s="1"/>
      <c r="BV982" s="1"/>
      <c r="BW982" s="1"/>
      <c r="BX982" s="1"/>
      <c r="BY982" s="1"/>
      <c r="BZ982" s="1"/>
      <c r="CA982" s="1"/>
      <c r="CB982" s="1"/>
      <c r="CC982" s="1"/>
      <c r="CD982" s="1"/>
      <c r="CE982" s="1"/>
      <c r="CF982" s="1"/>
      <c r="CG982" s="1"/>
      <c r="CH982" s="1"/>
      <c r="CI982" s="1"/>
    </row>
    <row r="983" spans="1:87"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c r="BP983" s="1"/>
      <c r="BQ983" s="1"/>
      <c r="BR983" s="1"/>
      <c r="BS983" s="1"/>
      <c r="BT983" s="1"/>
      <c r="BU983" s="1"/>
      <c r="BV983" s="1"/>
      <c r="BW983" s="1"/>
      <c r="BX983" s="1"/>
      <c r="BY983" s="1"/>
      <c r="BZ983" s="1"/>
      <c r="CA983" s="1"/>
      <c r="CB983" s="1"/>
      <c r="CC983" s="1"/>
      <c r="CD983" s="1"/>
      <c r="CE983" s="1"/>
      <c r="CF983" s="1"/>
      <c r="CG983" s="1"/>
      <c r="CH983" s="1"/>
      <c r="CI983" s="1"/>
    </row>
    <row r="984" spans="1:87"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c r="BP984" s="1"/>
      <c r="BQ984" s="1"/>
      <c r="BR984" s="1"/>
      <c r="BS984" s="1"/>
      <c r="BT984" s="1"/>
      <c r="BU984" s="1"/>
      <c r="BV984" s="1"/>
      <c r="BW984" s="1"/>
      <c r="BX984" s="1"/>
      <c r="BY984" s="1"/>
      <c r="BZ984" s="1"/>
      <c r="CA984" s="1"/>
      <c r="CB984" s="1"/>
      <c r="CC984" s="1"/>
      <c r="CD984" s="1"/>
      <c r="CE984" s="1"/>
      <c r="CF984" s="1"/>
      <c r="CG984" s="1"/>
      <c r="CH984" s="1"/>
      <c r="CI984" s="1"/>
    </row>
    <row r="985" spans="1:87"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c r="BP985" s="1"/>
      <c r="BQ985" s="1"/>
      <c r="BR985" s="1"/>
      <c r="BS985" s="1"/>
      <c r="BT985" s="1"/>
      <c r="BU985" s="1"/>
      <c r="BV985" s="1"/>
      <c r="BW985" s="1"/>
      <c r="BX985" s="1"/>
      <c r="BY985" s="1"/>
      <c r="BZ985" s="1"/>
      <c r="CA985" s="1"/>
      <c r="CB985" s="1"/>
      <c r="CC985" s="1"/>
      <c r="CD985" s="1"/>
      <c r="CE985" s="1"/>
      <c r="CF985" s="1"/>
      <c r="CG985" s="1"/>
      <c r="CH985" s="1"/>
      <c r="CI985" s="1"/>
    </row>
    <row r="986" spans="1:87" ht="15.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c r="BP986" s="1"/>
      <c r="BQ986" s="1"/>
      <c r="BR986" s="1"/>
      <c r="BS986" s="1"/>
      <c r="BT986" s="1"/>
      <c r="BU986" s="1"/>
      <c r="BV986" s="1"/>
      <c r="BW986" s="1"/>
      <c r="BX986" s="1"/>
      <c r="BY986" s="1"/>
      <c r="BZ986" s="1"/>
      <c r="CA986" s="1"/>
      <c r="CB986" s="1"/>
      <c r="CC986" s="1"/>
      <c r="CD986" s="1"/>
      <c r="CE986" s="1"/>
      <c r="CF986" s="1"/>
      <c r="CG986" s="1"/>
      <c r="CH986" s="1"/>
      <c r="CI986" s="1"/>
    </row>
    <row r="987" spans="1:87" ht="15.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c r="BP987" s="1"/>
      <c r="BQ987" s="1"/>
      <c r="BR987" s="1"/>
      <c r="BS987" s="1"/>
      <c r="BT987" s="1"/>
      <c r="BU987" s="1"/>
      <c r="BV987" s="1"/>
      <c r="BW987" s="1"/>
      <c r="BX987" s="1"/>
      <c r="BY987" s="1"/>
      <c r="BZ987" s="1"/>
      <c r="CA987" s="1"/>
      <c r="CB987" s="1"/>
      <c r="CC987" s="1"/>
      <c r="CD987" s="1"/>
      <c r="CE987" s="1"/>
      <c r="CF987" s="1"/>
      <c r="CG987" s="1"/>
      <c r="CH987" s="1"/>
      <c r="CI987" s="1"/>
    </row>
    <row r="988" spans="1:87" ht="15.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c r="BP988" s="1"/>
      <c r="BQ988" s="1"/>
      <c r="BR988" s="1"/>
      <c r="BS988" s="1"/>
      <c r="BT988" s="1"/>
      <c r="BU988" s="1"/>
      <c r="BV988" s="1"/>
      <c r="BW988" s="1"/>
      <c r="BX988" s="1"/>
      <c r="BY988" s="1"/>
      <c r="BZ988" s="1"/>
      <c r="CA988" s="1"/>
      <c r="CB988" s="1"/>
      <c r="CC988" s="1"/>
      <c r="CD988" s="1"/>
      <c r="CE988" s="1"/>
      <c r="CF988" s="1"/>
      <c r="CG988" s="1"/>
      <c r="CH988" s="1"/>
      <c r="CI988" s="1"/>
    </row>
    <row r="989" spans="1:87" ht="15.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c r="BP989" s="1"/>
      <c r="BQ989" s="1"/>
      <c r="BR989" s="1"/>
      <c r="BS989" s="1"/>
      <c r="BT989" s="1"/>
      <c r="BU989" s="1"/>
      <c r="BV989" s="1"/>
      <c r="BW989" s="1"/>
      <c r="BX989" s="1"/>
      <c r="BY989" s="1"/>
      <c r="BZ989" s="1"/>
      <c r="CA989" s="1"/>
      <c r="CB989" s="1"/>
      <c r="CC989" s="1"/>
      <c r="CD989" s="1"/>
      <c r="CE989" s="1"/>
      <c r="CF989" s="1"/>
      <c r="CG989" s="1"/>
      <c r="CH989" s="1"/>
      <c r="CI989" s="1"/>
    </row>
    <row r="990" spans="1:87" ht="15.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c r="BP990" s="1"/>
      <c r="BQ990" s="1"/>
      <c r="BR990" s="1"/>
      <c r="BS990" s="1"/>
      <c r="BT990" s="1"/>
      <c r="BU990" s="1"/>
      <c r="BV990" s="1"/>
      <c r="BW990" s="1"/>
      <c r="BX990" s="1"/>
      <c r="BY990" s="1"/>
      <c r="BZ990" s="1"/>
      <c r="CA990" s="1"/>
      <c r="CB990" s="1"/>
      <c r="CC990" s="1"/>
      <c r="CD990" s="1"/>
      <c r="CE990" s="1"/>
      <c r="CF990" s="1"/>
      <c r="CG990" s="1"/>
      <c r="CH990" s="1"/>
      <c r="CI990" s="1"/>
    </row>
    <row r="991" spans="1:87" ht="15.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c r="BP991" s="1"/>
      <c r="BQ991" s="1"/>
      <c r="BR991" s="1"/>
      <c r="BS991" s="1"/>
      <c r="BT991" s="1"/>
      <c r="BU991" s="1"/>
      <c r="BV991" s="1"/>
      <c r="BW991" s="1"/>
      <c r="BX991" s="1"/>
      <c r="BY991" s="1"/>
      <c r="BZ991" s="1"/>
      <c r="CA991" s="1"/>
      <c r="CB991" s="1"/>
      <c r="CC991" s="1"/>
      <c r="CD991" s="1"/>
      <c r="CE991" s="1"/>
      <c r="CF991" s="1"/>
      <c r="CG991" s="1"/>
      <c r="CH991" s="1"/>
      <c r="CI991" s="1"/>
    </row>
    <row r="992" spans="1:87" ht="15.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c r="BP992" s="1"/>
      <c r="BQ992" s="1"/>
      <c r="BR992" s="1"/>
      <c r="BS992" s="1"/>
      <c r="BT992" s="1"/>
      <c r="BU992" s="1"/>
      <c r="BV992" s="1"/>
      <c r="BW992" s="1"/>
      <c r="BX992" s="1"/>
      <c r="BY992" s="1"/>
      <c r="BZ992" s="1"/>
      <c r="CA992" s="1"/>
      <c r="CB992" s="1"/>
      <c r="CC992" s="1"/>
      <c r="CD992" s="1"/>
      <c r="CE992" s="1"/>
      <c r="CF992" s="1"/>
      <c r="CG992" s="1"/>
      <c r="CH992" s="1"/>
      <c r="CI992" s="1"/>
    </row>
    <row r="993" spans="1:87" ht="15.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c r="BP993" s="1"/>
      <c r="BQ993" s="1"/>
      <c r="BR993" s="1"/>
      <c r="BS993" s="1"/>
      <c r="BT993" s="1"/>
      <c r="BU993" s="1"/>
      <c r="BV993" s="1"/>
      <c r="BW993" s="1"/>
      <c r="BX993" s="1"/>
      <c r="BY993" s="1"/>
      <c r="BZ993" s="1"/>
      <c r="CA993" s="1"/>
      <c r="CB993" s="1"/>
      <c r="CC993" s="1"/>
      <c r="CD993" s="1"/>
      <c r="CE993" s="1"/>
      <c r="CF993" s="1"/>
      <c r="CG993" s="1"/>
      <c r="CH993" s="1"/>
      <c r="CI993" s="1"/>
    </row>
    <row r="994" spans="1:87" ht="15.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c r="BP994" s="1"/>
      <c r="BQ994" s="1"/>
      <c r="BR994" s="1"/>
      <c r="BS994" s="1"/>
      <c r="BT994" s="1"/>
      <c r="BU994" s="1"/>
      <c r="BV994" s="1"/>
      <c r="BW994" s="1"/>
      <c r="BX994" s="1"/>
      <c r="BY994" s="1"/>
      <c r="BZ994" s="1"/>
      <c r="CA994" s="1"/>
      <c r="CB994" s="1"/>
      <c r="CC994" s="1"/>
      <c r="CD994" s="1"/>
      <c r="CE994" s="1"/>
      <c r="CF994" s="1"/>
      <c r="CG994" s="1"/>
      <c r="CH994" s="1"/>
      <c r="CI994" s="1"/>
    </row>
    <row r="995" spans="1:87" ht="15.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c r="BP995" s="1"/>
      <c r="BQ995" s="1"/>
      <c r="BR995" s="1"/>
      <c r="BS995" s="1"/>
      <c r="BT995" s="1"/>
      <c r="BU995" s="1"/>
      <c r="BV995" s="1"/>
      <c r="BW995" s="1"/>
      <c r="BX995" s="1"/>
      <c r="BY995" s="1"/>
      <c r="BZ995" s="1"/>
      <c r="CA995" s="1"/>
      <c r="CB995" s="1"/>
      <c r="CC995" s="1"/>
      <c r="CD995" s="1"/>
      <c r="CE995" s="1"/>
      <c r="CF995" s="1"/>
      <c r="CG995" s="1"/>
      <c r="CH995" s="1"/>
      <c r="CI995" s="1"/>
    </row>
    <row r="996" spans="1:87" ht="15.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c r="BP996" s="1"/>
      <c r="BQ996" s="1"/>
      <c r="BR996" s="1"/>
      <c r="BS996" s="1"/>
      <c r="BT996" s="1"/>
      <c r="BU996" s="1"/>
      <c r="BV996" s="1"/>
      <c r="BW996" s="1"/>
      <c r="BX996" s="1"/>
      <c r="BY996" s="1"/>
      <c r="BZ996" s="1"/>
      <c r="CA996" s="1"/>
      <c r="CB996" s="1"/>
      <c r="CC996" s="1"/>
      <c r="CD996" s="1"/>
      <c r="CE996" s="1"/>
      <c r="CF996" s="1"/>
      <c r="CG996" s="1"/>
      <c r="CH996" s="1"/>
      <c r="CI996" s="1"/>
    </row>
    <row r="997" spans="1:87" ht="15.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c r="BP997" s="1"/>
      <c r="BQ997" s="1"/>
      <c r="BR997" s="1"/>
      <c r="BS997" s="1"/>
      <c r="BT997" s="1"/>
      <c r="BU997" s="1"/>
      <c r="BV997" s="1"/>
      <c r="BW997" s="1"/>
      <c r="BX997" s="1"/>
      <c r="BY997" s="1"/>
      <c r="BZ997" s="1"/>
      <c r="CA997" s="1"/>
      <c r="CB997" s="1"/>
      <c r="CC997" s="1"/>
      <c r="CD997" s="1"/>
      <c r="CE997" s="1"/>
      <c r="CF997" s="1"/>
      <c r="CG997" s="1"/>
      <c r="CH997" s="1"/>
      <c r="CI997" s="1"/>
    </row>
    <row r="998" spans="1:87" ht="15.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c r="BP998" s="1"/>
      <c r="BQ998" s="1"/>
      <c r="BR998" s="1"/>
      <c r="BS998" s="1"/>
      <c r="BT998" s="1"/>
      <c r="BU998" s="1"/>
      <c r="BV998" s="1"/>
      <c r="BW998" s="1"/>
      <c r="BX998" s="1"/>
      <c r="BY998" s="1"/>
      <c r="BZ998" s="1"/>
      <c r="CA998" s="1"/>
      <c r="CB998" s="1"/>
      <c r="CC998" s="1"/>
      <c r="CD998" s="1"/>
      <c r="CE998" s="1"/>
      <c r="CF998" s="1"/>
      <c r="CG998" s="1"/>
      <c r="CH998" s="1"/>
      <c r="CI998" s="1"/>
    </row>
    <row r="999" spans="1:87" ht="15.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c r="BP999" s="1"/>
      <c r="BQ999" s="1"/>
      <c r="BR999" s="1"/>
      <c r="BS999" s="1"/>
      <c r="BT999" s="1"/>
      <c r="BU999" s="1"/>
      <c r="BV999" s="1"/>
      <c r="BW999" s="1"/>
      <c r="BX999" s="1"/>
      <c r="BY999" s="1"/>
      <c r="BZ999" s="1"/>
      <c r="CA999" s="1"/>
      <c r="CB999" s="1"/>
      <c r="CC999" s="1"/>
      <c r="CD999" s="1"/>
      <c r="CE999" s="1"/>
      <c r="CF999" s="1"/>
      <c r="CG999" s="1"/>
      <c r="CH999" s="1"/>
      <c r="CI999" s="1"/>
    </row>
    <row r="1000" spans="1:87" ht="15.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c r="BP1000" s="1"/>
      <c r="BQ1000" s="1"/>
      <c r="BR1000" s="1"/>
      <c r="BS1000" s="1"/>
      <c r="BT1000" s="1"/>
      <c r="BU1000" s="1"/>
      <c r="BV1000" s="1"/>
      <c r="BW1000" s="1"/>
      <c r="BX1000" s="1"/>
      <c r="BY1000" s="1"/>
      <c r="BZ1000" s="1"/>
      <c r="CA1000" s="1"/>
      <c r="CB1000" s="1"/>
      <c r="CC1000" s="1"/>
      <c r="CD1000" s="1"/>
      <c r="CE1000" s="1"/>
      <c r="CF1000" s="1"/>
      <c r="CG1000" s="1"/>
      <c r="CH1000" s="1"/>
      <c r="CI1000" s="1"/>
    </row>
  </sheetData>
  <mergeCells count="345">
    <mergeCell ref="L28:L29"/>
    <mergeCell ref="M28:M29"/>
    <mergeCell ref="O28:P28"/>
    <mergeCell ref="U28:U29"/>
    <mergeCell ref="V28:V29"/>
    <mergeCell ref="Y28:Z29"/>
    <mergeCell ref="Y30:Z30"/>
    <mergeCell ref="O30:P30"/>
    <mergeCell ref="AE35:AF36"/>
    <mergeCell ref="AE31:AF32"/>
    <mergeCell ref="W28:X29"/>
    <mergeCell ref="W30:X30"/>
    <mergeCell ref="U31:U32"/>
    <mergeCell ref="V31:V32"/>
    <mergeCell ref="W31:X32"/>
    <mergeCell ref="AE28:AF29"/>
    <mergeCell ref="AG28:AG29"/>
    <mergeCell ref="AA28:AB29"/>
    <mergeCell ref="AC28:AD29"/>
    <mergeCell ref="AA30:AB30"/>
    <mergeCell ref="AC30:AD30"/>
    <mergeCell ref="AE30:AF30"/>
    <mergeCell ref="AG35:AG36"/>
    <mergeCell ref="S35:S36"/>
    <mergeCell ref="U35:U36"/>
    <mergeCell ref="V35:V36"/>
    <mergeCell ref="W35:X36"/>
    <mergeCell ref="Y35:Z36"/>
    <mergeCell ref="AA35:AB36"/>
    <mergeCell ref="AC35:AD36"/>
    <mergeCell ref="AG31:AG32"/>
    <mergeCell ref="AE37:AF37"/>
    <mergeCell ref="W33:X33"/>
    <mergeCell ref="Y33:Z33"/>
    <mergeCell ref="AA33:AB33"/>
    <mergeCell ref="AC33:AD33"/>
    <mergeCell ref="AE33:AF33"/>
    <mergeCell ref="W34:X34"/>
    <mergeCell ref="Y34:Z34"/>
    <mergeCell ref="AE34:AF34"/>
    <mergeCell ref="H32:H33"/>
    <mergeCell ref="J33:K33"/>
    <mergeCell ref="J34:K34"/>
    <mergeCell ref="L31:L32"/>
    <mergeCell ref="M31:M32"/>
    <mergeCell ref="J36:M36"/>
    <mergeCell ref="AA34:AB34"/>
    <mergeCell ref="AC34:AD34"/>
    <mergeCell ref="W37:X37"/>
    <mergeCell ref="Y37:Z37"/>
    <mergeCell ref="AA37:AB37"/>
    <mergeCell ref="AC37:AD37"/>
    <mergeCell ref="AC31:AD32"/>
    <mergeCell ref="J37:K38"/>
    <mergeCell ref="L37:L38"/>
    <mergeCell ref="M37:M38"/>
    <mergeCell ref="O37:P37"/>
    <mergeCell ref="O38:P39"/>
    <mergeCell ref="Q38:Q39"/>
    <mergeCell ref="R38:R39"/>
    <mergeCell ref="S38:S39"/>
    <mergeCell ref="W39:Z39"/>
    <mergeCell ref="Y31:Z32"/>
    <mergeCell ref="AA31:AB32"/>
    <mergeCell ref="J73:K75"/>
    <mergeCell ref="B74:C74"/>
    <mergeCell ref="B75:C75"/>
    <mergeCell ref="B76:C76"/>
    <mergeCell ref="B77:C77"/>
    <mergeCell ref="B78:C78"/>
    <mergeCell ref="O31:P31"/>
    <mergeCell ref="O33:S33"/>
    <mergeCell ref="O34:P34"/>
    <mergeCell ref="O35:P36"/>
    <mergeCell ref="Q35:Q36"/>
    <mergeCell ref="R35:R36"/>
    <mergeCell ref="C63:H63"/>
    <mergeCell ref="B64:M64"/>
    <mergeCell ref="B65:M66"/>
    <mergeCell ref="B31:D31"/>
    <mergeCell ref="J31:K32"/>
    <mergeCell ref="B34:D34"/>
    <mergeCell ref="B36:D36"/>
    <mergeCell ref="B37:D37"/>
    <mergeCell ref="B32:D33"/>
    <mergeCell ref="E32:E33"/>
    <mergeCell ref="F32:F33"/>
    <mergeCell ref="G32:G33"/>
    <mergeCell ref="B100:B102"/>
    <mergeCell ref="C100:C102"/>
    <mergeCell ref="O86:R87"/>
    <mergeCell ref="S86:S87"/>
    <mergeCell ref="W87:W88"/>
    <mergeCell ref="W89:W90"/>
    <mergeCell ref="G91:I91"/>
    <mergeCell ref="O92:R92"/>
    <mergeCell ref="W92:W93"/>
    <mergeCell ref="O93:R93"/>
    <mergeCell ref="O94:R94"/>
    <mergeCell ref="B28:D28"/>
    <mergeCell ref="J28:K29"/>
    <mergeCell ref="B29:D30"/>
    <mergeCell ref="E29:E30"/>
    <mergeCell ref="F29:F30"/>
    <mergeCell ref="G29:G30"/>
    <mergeCell ref="H29:H30"/>
    <mergeCell ref="O95:R95"/>
    <mergeCell ref="W96:W97"/>
    <mergeCell ref="B82:C82"/>
    <mergeCell ref="D82:E82"/>
    <mergeCell ref="F82:K82"/>
    <mergeCell ref="O82:R83"/>
    <mergeCell ref="S82:S83"/>
    <mergeCell ref="O84:R85"/>
    <mergeCell ref="S84:S85"/>
    <mergeCell ref="A67:M67"/>
    <mergeCell ref="B69:C69"/>
    <mergeCell ref="B71:C71"/>
    <mergeCell ref="B72:C72"/>
    <mergeCell ref="J76:K77"/>
    <mergeCell ref="H79:J79"/>
    <mergeCell ref="H80:I80"/>
    <mergeCell ref="B73:C73"/>
    <mergeCell ref="J39:K39"/>
    <mergeCell ref="J40:K40"/>
    <mergeCell ref="J41:K41"/>
    <mergeCell ref="J42:K42"/>
    <mergeCell ref="J43:K44"/>
    <mergeCell ref="L43:L44"/>
    <mergeCell ref="M43:M44"/>
    <mergeCell ref="J46:L46"/>
    <mergeCell ref="J50:L50"/>
    <mergeCell ref="J51:L51"/>
    <mergeCell ref="J52:L52"/>
    <mergeCell ref="J54:L54"/>
    <mergeCell ref="J58:L58"/>
    <mergeCell ref="J59:L59"/>
    <mergeCell ref="C62:H62"/>
    <mergeCell ref="R1:AE1"/>
    <mergeCell ref="R2:AE4"/>
    <mergeCell ref="L2:M2"/>
    <mergeCell ref="L3:M3"/>
    <mergeCell ref="Q6:V6"/>
    <mergeCell ref="W6:AA6"/>
    <mergeCell ref="Q7:V7"/>
    <mergeCell ref="W7:AA7"/>
    <mergeCell ref="AB7:AF7"/>
    <mergeCell ref="B5:L5"/>
    <mergeCell ref="O5:AH5"/>
    <mergeCell ref="D6:H6"/>
    <mergeCell ref="I6:J6"/>
    <mergeCell ref="K6:M6"/>
    <mergeCell ref="O6:P6"/>
    <mergeCell ref="AB6:AF6"/>
    <mergeCell ref="B6:C6"/>
    <mergeCell ref="B7:C7"/>
    <mergeCell ref="AF2:AH2"/>
    <mergeCell ref="AF4:AH4"/>
    <mergeCell ref="B1:D4"/>
    <mergeCell ref="E1:K1"/>
    <mergeCell ref="L1:M1"/>
    <mergeCell ref="O1:Q4"/>
    <mergeCell ref="AF1:AH1"/>
    <mergeCell ref="E2:K4"/>
    <mergeCell ref="L4:M4"/>
    <mergeCell ref="O7:P7"/>
    <mergeCell ref="O8:P8"/>
    <mergeCell ref="Q8:V8"/>
    <mergeCell ref="W8:AA8"/>
    <mergeCell ref="D7:H7"/>
    <mergeCell ref="I7:J7"/>
    <mergeCell ref="K7:M7"/>
    <mergeCell ref="B8:C8"/>
    <mergeCell ref="K8:M8"/>
    <mergeCell ref="W9:AA9"/>
    <mergeCell ref="AB9:AF9"/>
    <mergeCell ref="D8:H8"/>
    <mergeCell ref="I8:J8"/>
    <mergeCell ref="AB8:AF8"/>
    <mergeCell ref="B9:C9"/>
    <mergeCell ref="D9:H9"/>
    <mergeCell ref="I9:J9"/>
    <mergeCell ref="O9:P9"/>
    <mergeCell ref="Q9:V9"/>
    <mergeCell ref="Y24:Z24"/>
    <mergeCell ref="AA24:AB24"/>
    <mergeCell ref="AC24:AD24"/>
    <mergeCell ref="W10:AA10"/>
    <mergeCell ref="AB10:AF10"/>
    <mergeCell ref="O11:AH11"/>
    <mergeCell ref="T12:U12"/>
    <mergeCell ref="W12:AB12"/>
    <mergeCell ref="AD12:AE12"/>
    <mergeCell ref="AA19:AD19"/>
    <mergeCell ref="AE19:AG19"/>
    <mergeCell ref="O20:P20"/>
    <mergeCell ref="AG26:AG27"/>
    <mergeCell ref="O23:P23"/>
    <mergeCell ref="O24:P24"/>
    <mergeCell ref="O25:P26"/>
    <mergeCell ref="Q25:Q26"/>
    <mergeCell ref="B13:C13"/>
    <mergeCell ref="D13:M13"/>
    <mergeCell ref="O13:P13"/>
    <mergeCell ref="Q13:AH13"/>
    <mergeCell ref="O16:P16"/>
    <mergeCell ref="R16:U16"/>
    <mergeCell ref="W16:Z16"/>
    <mergeCell ref="AA16:AC16"/>
    <mergeCell ref="AD16:AG16"/>
    <mergeCell ref="B22:D22"/>
    <mergeCell ref="B23:D23"/>
    <mergeCell ref="B24:D24"/>
    <mergeCell ref="B25:D25"/>
    <mergeCell ref="B27:H27"/>
    <mergeCell ref="AC25:AD25"/>
    <mergeCell ref="W24:X24"/>
    <mergeCell ref="W19:Z19"/>
    <mergeCell ref="W20:X20"/>
    <mergeCell ref="Y20:Z20"/>
    <mergeCell ref="W17:Z17"/>
    <mergeCell ref="AA17:AC17"/>
    <mergeCell ref="AD17:AG17"/>
    <mergeCell ref="J26:K27"/>
    <mergeCell ref="L26:L27"/>
    <mergeCell ref="M26:M27"/>
    <mergeCell ref="J19:L19"/>
    <mergeCell ref="J20:L20"/>
    <mergeCell ref="J21:L21"/>
    <mergeCell ref="O21:P21"/>
    <mergeCell ref="J22:L22"/>
    <mergeCell ref="O22:P22"/>
    <mergeCell ref="J23:M24"/>
    <mergeCell ref="V26:V27"/>
    <mergeCell ref="W26:X27"/>
    <mergeCell ref="Y26:Z27"/>
    <mergeCell ref="AA26:AB27"/>
    <mergeCell ref="AC26:AD27"/>
    <mergeCell ref="AE26:AF27"/>
    <mergeCell ref="O19:P19"/>
    <mergeCell ref="U19:V20"/>
    <mergeCell ref="O12:P12"/>
    <mergeCell ref="Q12:S12"/>
    <mergeCell ref="A15:M15"/>
    <mergeCell ref="O17:P17"/>
    <mergeCell ref="R17:U17"/>
    <mergeCell ref="B10:C10"/>
    <mergeCell ref="I10:J10"/>
    <mergeCell ref="K10:M10"/>
    <mergeCell ref="O10:P10"/>
    <mergeCell ref="Q10:V10"/>
    <mergeCell ref="B12:C12"/>
    <mergeCell ref="B16:C16"/>
    <mergeCell ref="E16:F16"/>
    <mergeCell ref="B17:C17"/>
    <mergeCell ref="B19:H19"/>
    <mergeCell ref="D10:H10"/>
    <mergeCell ref="B11:L11"/>
    <mergeCell ref="D12:E12"/>
    <mergeCell ref="I12:J12"/>
    <mergeCell ref="W21:X21"/>
    <mergeCell ref="Y21:Z21"/>
    <mergeCell ref="W22:X22"/>
    <mergeCell ref="Y22:Z22"/>
    <mergeCell ref="AE22:AF22"/>
    <mergeCell ref="AA20:AB20"/>
    <mergeCell ref="AC20:AD20"/>
    <mergeCell ref="AA21:AB21"/>
    <mergeCell ref="AC21:AD21"/>
    <mergeCell ref="AE21:AF21"/>
    <mergeCell ref="AA22:AB22"/>
    <mergeCell ref="AC22:AD22"/>
    <mergeCell ref="AE20:AF20"/>
    <mergeCell ref="AB51:AE51"/>
    <mergeCell ref="AG51:AH51"/>
    <mergeCell ref="AB52:AE52"/>
    <mergeCell ref="AG52:AH52"/>
    <mergeCell ref="AG53:AH53"/>
    <mergeCell ref="AB53:AE53"/>
    <mergeCell ref="AA54:AD55"/>
    <mergeCell ref="AF54:AH55"/>
    <mergeCell ref="B20:D20"/>
    <mergeCell ref="B21:D21"/>
    <mergeCell ref="W23:X23"/>
    <mergeCell ref="Y23:Z23"/>
    <mergeCell ref="AA23:AB23"/>
    <mergeCell ref="AC23:AD23"/>
    <mergeCell ref="AE23:AF23"/>
    <mergeCell ref="AE24:AF24"/>
    <mergeCell ref="W25:X25"/>
    <mergeCell ref="Y25:Z25"/>
    <mergeCell ref="AE25:AF25"/>
    <mergeCell ref="R25:R26"/>
    <mergeCell ref="S25:S26"/>
    <mergeCell ref="U26:U27"/>
    <mergeCell ref="O27:P27"/>
    <mergeCell ref="AA25:AB25"/>
    <mergeCell ref="AA60:AD60"/>
    <mergeCell ref="AF60:AH60"/>
    <mergeCell ref="AA61:AD62"/>
    <mergeCell ref="AF61:AH62"/>
    <mergeCell ref="AJ93:AL93"/>
    <mergeCell ref="AA39:AC39"/>
    <mergeCell ref="AD39:AG39"/>
    <mergeCell ref="AA40:AC40"/>
    <mergeCell ref="AD40:AG40"/>
    <mergeCell ref="AA41:AC41"/>
    <mergeCell ref="AD41:AG41"/>
    <mergeCell ref="AD42:AG42"/>
    <mergeCell ref="AA42:AC42"/>
    <mergeCell ref="AB44:AH44"/>
    <mergeCell ref="AJ44:AN44"/>
    <mergeCell ref="AB45:AE45"/>
    <mergeCell ref="AB46:AE46"/>
    <mergeCell ref="AB47:AE47"/>
    <mergeCell ref="AB48:AE48"/>
    <mergeCell ref="O64:AH64"/>
    <mergeCell ref="O65:AH66"/>
    <mergeCell ref="O67:AH67"/>
    <mergeCell ref="AB50:AF50"/>
    <mergeCell ref="AG50:AH50"/>
    <mergeCell ref="W40:Z40"/>
    <mergeCell ref="O40:P40"/>
    <mergeCell ref="O41:S41"/>
    <mergeCell ref="U39:V39"/>
    <mergeCell ref="U40:V40"/>
    <mergeCell ref="U41:V41"/>
    <mergeCell ref="W41:Z41"/>
    <mergeCell ref="O42:P42"/>
    <mergeCell ref="O43:P44"/>
    <mergeCell ref="Q43:Q44"/>
    <mergeCell ref="R43:R44"/>
    <mergeCell ref="S43:S44"/>
    <mergeCell ref="O47:P47"/>
    <mergeCell ref="O45:P45"/>
    <mergeCell ref="O46:P46"/>
    <mergeCell ref="X46:Z46"/>
    <mergeCell ref="X47:Z47"/>
    <mergeCell ref="U42:V42"/>
    <mergeCell ref="U45:V45"/>
    <mergeCell ref="U46:V46"/>
    <mergeCell ref="U47:V47"/>
    <mergeCell ref="W42:Z42"/>
    <mergeCell ref="U44:Z44"/>
    <mergeCell ref="X45:Z45"/>
  </mergeCells>
  <conditionalFormatting sqref="B6:B10 B12:B13 D6:D10 D12 D13:M13 F12:M12 I6:K6 I7:J10 K7:K8 L9:M9">
    <cfRule type="containsBlanks" dxfId="30" priority="1">
      <formula>LEN(TRIM(B6))=0</formula>
    </cfRule>
  </conditionalFormatting>
  <conditionalFormatting sqref="D6:H10 W22:W26 W28 W30:W31 W33:W35 W37">
    <cfRule type="containsBlanks" dxfId="29" priority="2">
      <formula>LEN(TRIM(D6))=0</formula>
    </cfRule>
  </conditionalFormatting>
  <conditionalFormatting sqref="M19">
    <cfRule type="containsBlanks" dxfId="28" priority="3">
      <formula>LEN(TRIM(M19))=0</formula>
    </cfRule>
  </conditionalFormatting>
  <conditionalFormatting sqref="M21">
    <cfRule type="containsBlanks" dxfId="27" priority="5">
      <formula>LEN(TRIM(M21))=0</formula>
    </cfRule>
  </conditionalFormatting>
  <conditionalFormatting sqref="K6:M6">
    <cfRule type="containsBlanks" dxfId="26" priority="6">
      <formula>LEN(TRIM(K6))=0</formula>
    </cfRule>
  </conditionalFormatting>
  <conditionalFormatting sqref="K7:M8">
    <cfRule type="containsBlanks" dxfId="25" priority="7">
      <formula>LEN(TRIM(K7))=0</formula>
    </cfRule>
  </conditionalFormatting>
  <conditionalFormatting sqref="D12:M13">
    <cfRule type="containsBlanks" dxfId="24" priority="8">
      <formula>LEN(TRIM(D12))=0</formula>
    </cfRule>
  </conditionalFormatting>
  <conditionalFormatting sqref="L9:M9">
    <cfRule type="containsBlanks" dxfId="23" priority="9">
      <formula>LEN(TRIM(L9))=0</formula>
    </cfRule>
  </conditionalFormatting>
  <conditionalFormatting sqref="L25">
    <cfRule type="containsBlanks" dxfId="22" priority="10">
      <formula>LEN(TRIM(L25))=0</formula>
    </cfRule>
  </conditionalFormatting>
  <conditionalFormatting sqref="Q20:S27">
    <cfRule type="containsBlanks" dxfId="21" priority="11">
      <formula>LEN(TRIM(Q20))=0</formula>
    </cfRule>
  </conditionalFormatting>
  <conditionalFormatting sqref="Q20:S27">
    <cfRule type="containsBlanks" dxfId="20" priority="12">
      <formula>LEN(TRIM(Q20))=0</formula>
    </cfRule>
  </conditionalFormatting>
  <conditionalFormatting sqref="U26:V27 AC26 AC33">
    <cfRule type="cellIs" dxfId="19" priority="13" operator="between">
      <formula>0</formula>
      <formula>500</formula>
    </cfRule>
  </conditionalFormatting>
  <conditionalFormatting sqref="U33:V33">
    <cfRule type="cellIs" dxfId="18" priority="14" operator="between">
      <formula>0</formula>
      <formula>500</formula>
    </cfRule>
  </conditionalFormatting>
  <conditionalFormatting sqref="AA22:AA26 AA28 AA30:AA31 AA33:AA35 AA37">
    <cfRule type="containsBlanks" dxfId="17" priority="15">
      <formula>LEN(TRIM(AA22))=0</formula>
    </cfRule>
  </conditionalFormatting>
  <conditionalFormatting sqref="AE22:AE26 AE28 AE30 AE34">
    <cfRule type="containsBlanks" dxfId="16" priority="16">
      <formula>LEN(TRIM(AE22))=0</formula>
    </cfRule>
  </conditionalFormatting>
  <conditionalFormatting sqref="AF45:AH46">
    <cfRule type="containsBlanks" dxfId="15" priority="17">
      <formula>LEN(TRIM(AF45))=0</formula>
    </cfRule>
  </conditionalFormatting>
  <conditionalFormatting sqref="AF51:AG53">
    <cfRule type="containsBlanks" dxfId="14" priority="18">
      <formula>LEN(TRIM(AF51))=0</formula>
    </cfRule>
  </conditionalFormatting>
  <conditionalFormatting sqref="E20:H24">
    <cfRule type="containsBlanks" dxfId="13" priority="19">
      <formula>LEN(TRIM(E20))=0</formula>
    </cfRule>
  </conditionalFormatting>
  <conditionalFormatting sqref="E28:H33">
    <cfRule type="containsBlanks" dxfId="12" priority="20">
      <formula>LEN(TRIM(E28))=0</formula>
    </cfRule>
  </conditionalFormatting>
  <conditionalFormatting sqref="Q42:S46">
    <cfRule type="containsBlanks" dxfId="11" priority="21">
      <formula>LEN(TRIM(Q42))=0</formula>
    </cfRule>
  </conditionalFormatting>
  <conditionalFormatting sqref="Q34:S39">
    <cfRule type="containsBlanks" dxfId="10" priority="22">
      <formula>LEN(TRIM(Q34))=0</formula>
    </cfRule>
  </conditionalFormatting>
  <conditionalFormatting sqref="W22:W26 W28 W30:W31 W33:W35 W37 AA22:AA26 AA28 AA30:AA31 AA33:AA35 AA37 AE22:AE26 AE28 AE30:AE31 AE33:AE35 AE37">
    <cfRule type="containsBlanks" dxfId="9" priority="23">
      <formula>LEN(TRIM(W22))=0</formula>
    </cfRule>
  </conditionalFormatting>
  <conditionalFormatting sqref="M25">
    <cfRule type="containsBlanks" dxfId="8" priority="24">
      <formula>LEN(TRIM(M25))=0</formula>
    </cfRule>
  </conditionalFormatting>
  <conditionalFormatting sqref="U26:AG27">
    <cfRule type="containsBlanks" dxfId="7" priority="25">
      <formula>LEN(TRIM(U26))=0</formula>
    </cfRule>
  </conditionalFormatting>
  <conditionalFormatting sqref="U26:AG27">
    <cfRule type="cellIs" dxfId="6" priority="26" operator="between">
      <formula>0</formula>
      <formula>1000</formula>
    </cfRule>
  </conditionalFormatting>
  <conditionalFormatting sqref="W87:W88">
    <cfRule type="cellIs" dxfId="5" priority="27" operator="between">
      <formula>0</formula>
      <formula>500</formula>
    </cfRule>
  </conditionalFormatting>
  <conditionalFormatting sqref="W94">
    <cfRule type="cellIs" dxfId="4" priority="28" operator="between">
      <formula>0</formula>
      <formula>500</formula>
    </cfRule>
  </conditionalFormatting>
  <conditionalFormatting sqref="W87:W88">
    <cfRule type="containsBlanks" dxfId="3" priority="29">
      <formula>LEN(TRIM(W87))=0</formula>
    </cfRule>
  </conditionalFormatting>
  <conditionalFormatting sqref="W87:W88">
    <cfRule type="cellIs" dxfId="2" priority="30" operator="between">
      <formula>0</formula>
      <formula>1000</formula>
    </cfRule>
  </conditionalFormatting>
  <conditionalFormatting sqref="U33:AG33">
    <cfRule type="cellIs" dxfId="1" priority="31" operator="between">
      <formula>0</formula>
      <formula>1000</formula>
    </cfRule>
  </conditionalFormatting>
  <conditionalFormatting sqref="W22:X37 AA22:AB37 AE22:AF37">
    <cfRule type="containsBlanks" dxfId="0" priority="32">
      <formula>LEN(TRIM(W22))=0</formula>
    </cfRule>
  </conditionalFormatting>
  <dataValidations disablePrompts="1" count="4">
    <dataValidation type="list" allowBlank="1" showErrorMessage="1" sqref="L25" xr:uid="{00000000-0002-0000-0000-000000000000}">
      <formula1>$D$101:$D$104</formula1>
    </dataValidation>
    <dataValidation type="list" allowBlank="1" showErrorMessage="1" sqref="D12" xr:uid="{00000000-0002-0000-0000-000001000000}">
      <formula1>$B$87:$B$94</formula1>
    </dataValidation>
    <dataValidation type="list" allowBlank="1" showErrorMessage="1" sqref="M21" xr:uid="{00000000-0002-0000-0000-000002000000}">
      <formula1>$AX$3:$AX$4</formula1>
    </dataValidation>
    <dataValidation type="list" allowBlank="1" showErrorMessage="1" sqref="M19" xr:uid="{00000000-0002-0000-0000-000003000000}">
      <formula1>$AX$3:$AX$5</formula1>
    </dataValidation>
  </dataValidations>
  <printOptions horizontalCentered="1" verticalCentered="1"/>
  <pageMargins left="0.23622047244094491" right="0.23622047244094491" top="0.74803149606299213" bottom="0.74803149606299213" header="0" footer="0"/>
  <pageSetup scale="38" fitToWidth="2" fitToHeight="2" orientation="landscape" r:id="rId1"/>
  <headerFooter>
    <oddFooter>&amp;CGEODELTA S.A.S. Calle 68 B bis No 70 C 95, Móvil: 318 7902368 Bogotá DC - Colombia e-mail: laboratoriogeodelta@gmail.com</oddFooter>
  </headerFooter>
  <colBreaks count="1" manualBreakCount="1">
    <brk id="13" max="66" man="1"/>
  </col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sheetPr>
  <dimension ref="C3:E9"/>
  <sheetViews>
    <sheetView workbookViewId="0"/>
  </sheetViews>
  <sheetFormatPr baseColWidth="10" defaultColWidth="14.42578125" defaultRowHeight="15" customHeight="1" x14ac:dyDescent="0.25"/>
  <cols>
    <col min="4" max="4" width="24.28515625" customWidth="1"/>
    <col min="5" max="5" width="83.28515625" customWidth="1"/>
  </cols>
  <sheetData>
    <row r="3" spans="3:5" x14ac:dyDescent="0.25">
      <c r="C3" s="122"/>
      <c r="D3" s="122"/>
      <c r="E3" s="122"/>
    </row>
    <row r="4" spans="3:5" x14ac:dyDescent="0.25">
      <c r="C4" s="426" t="s">
        <v>179</v>
      </c>
      <c r="D4" s="369"/>
      <c r="E4" s="369"/>
    </row>
    <row r="5" spans="3:5" x14ac:dyDescent="0.25">
      <c r="C5" s="123" t="s">
        <v>180</v>
      </c>
      <c r="D5" s="124" t="s">
        <v>181</v>
      </c>
      <c r="E5" s="124" t="s">
        <v>182</v>
      </c>
    </row>
    <row r="6" spans="3:5" x14ac:dyDescent="0.25">
      <c r="C6" s="125" t="s">
        <v>183</v>
      </c>
      <c r="D6" s="126" t="s">
        <v>184</v>
      </c>
      <c r="E6" s="127" t="s">
        <v>185</v>
      </c>
    </row>
    <row r="7" spans="3:5" x14ac:dyDescent="0.25">
      <c r="C7" s="125" t="s">
        <v>186</v>
      </c>
      <c r="D7" s="126" t="s">
        <v>187</v>
      </c>
      <c r="E7" s="128" t="s">
        <v>188</v>
      </c>
    </row>
    <row r="8" spans="3:5" x14ac:dyDescent="0.25">
      <c r="C8" s="125" t="s">
        <v>189</v>
      </c>
      <c r="D8" s="126" t="s">
        <v>190</v>
      </c>
      <c r="E8" s="127" t="s">
        <v>191</v>
      </c>
    </row>
    <row r="9" spans="3:5" x14ac:dyDescent="0.25">
      <c r="C9" s="125"/>
      <c r="D9" s="126"/>
      <c r="E9" s="127"/>
    </row>
  </sheetData>
  <mergeCells count="1">
    <mergeCell ref="C4:E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vt:i4>
      </vt:variant>
    </vt:vector>
  </HeadingPairs>
  <TitlesOfParts>
    <vt:vector size="3" baseType="lpstr">
      <vt:lpstr>Hoja1</vt:lpstr>
      <vt:lpstr>CONTROL DE CAMBIOS</vt:lpstr>
      <vt:lpstr>Hoja1!Área_de_impresión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DCM-03</dc:creator>
  <cp:lastModifiedBy>GeoDelta Líneas</cp:lastModifiedBy>
  <cp:lastPrinted>2026-01-27T18:45:39Z</cp:lastPrinted>
  <dcterms:created xsi:type="dcterms:W3CDTF">2019-08-12T12:19:38Z</dcterms:created>
  <dcterms:modified xsi:type="dcterms:W3CDTF">2026-01-27T18:46:09Z</dcterms:modified>
</cp:coreProperties>
</file>