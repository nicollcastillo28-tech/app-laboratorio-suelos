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F31F80DA-96A5-4F63-9EA7-1B81154FFB95}" xr6:coauthVersionLast="47" xr6:coauthVersionMax="47" xr10:uidLastSave="{00000000-0000-0000-0000-000000000000}"/>
  <bookViews>
    <workbookView xWindow="-120" yWindow="-120" windowWidth="29040" windowHeight="15720" xr2:uid="{00000000-000D-0000-FFFF-FFFF00000000}"/>
  </bookViews>
  <sheets>
    <sheet name="FORMATO" sheetId="1" r:id="rId1"/>
    <sheet name="CONTROL DE CAMBIOS" sheetId="2" r:id="rId2"/>
  </sheets>
  <externalReferences>
    <externalReference r:id="rId3"/>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0">FORMATO!$A$1:$K$42</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yEAvNHs0c7TNpC37FU+JI9LxSvJcWpJj+Pvkh0keVBQ="/>
    </ext>
  </extLst>
</workbook>
</file>

<file path=xl/calcChain.xml><?xml version="1.0" encoding="utf-8"?>
<calcChain xmlns="http://schemas.openxmlformats.org/spreadsheetml/2006/main">
  <c r="I10" i="1" l="1"/>
  <c r="G25" i="1"/>
  <c r="G27" i="1" s="1"/>
  <c r="G24" i="1"/>
  <c r="G26" i="1" s="1"/>
  <c r="M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00000000-0006-0000-0000-000001000000}">
      <text>
        <r>
          <rPr>
            <sz val="11"/>
            <color theme="1"/>
            <rFont val="Calibri"/>
            <scheme val="minor"/>
          </rPr>
          <t>======
ID#AAABhxwXNO8
user    (2025-04-14 21:18:33)
CONSECUTIVO DE INGRESO</t>
        </r>
      </text>
    </comment>
    <comment ref="K9" authorId="0" shapeId="0" xr:uid="{00000000-0006-0000-0000-000002000000}">
      <text>
        <r>
          <rPr>
            <sz val="11"/>
            <color theme="1"/>
            <rFont val="Calibri"/>
            <scheme val="minor"/>
          </rPr>
          <t>======
ID#AAABhxwXNO0
user    (2025-04-14 21:18:33)
DOS ÚLTIMOS DÍGITOS DEL AÑO DE INGRESO</t>
        </r>
      </text>
    </comment>
    <comment ref="D12" authorId="0" shapeId="0" xr:uid="{00000000-0006-0000-0000-000003000000}">
      <text>
        <r>
          <rPr>
            <sz val="11"/>
            <color theme="1"/>
            <rFont val="Calibri"/>
            <scheme val="minor"/>
          </rPr>
          <t>======
ID#AAABhxwXNO4
user    (2025-04-14 21:18:33)
# DE LA PERFORACIÓN</t>
        </r>
      </text>
    </comment>
  </commentList>
  <extLst>
    <ext xmlns:r="http://schemas.openxmlformats.org/officeDocument/2006/relationships" uri="GoogleSheetsCustomDataVersion2">
      <go:sheetsCustomData xmlns:go="http://customooxmlschemas.google.com/" r:id="rId1" roundtripDataSignature="AMtx7mjXZhJveK0x2sX7mljgIiALESjykA=="/>
    </ext>
  </extLst>
</comments>
</file>

<file path=xl/sharedStrings.xml><?xml version="1.0" encoding="utf-8"?>
<sst xmlns="http://schemas.openxmlformats.org/spreadsheetml/2006/main" count="74" uniqueCount="70">
  <si>
    <t xml:space="preserve"> mmn</t>
  </si>
  <si>
    <t>CONTROL DE CAMBIOS</t>
  </si>
  <si>
    <t>Versión No.</t>
  </si>
  <si>
    <t>Fecha del cambio</t>
  </si>
  <si>
    <t>Modificaciones</t>
  </si>
  <si>
    <t>00</t>
  </si>
  <si>
    <t>Creación del documento</t>
  </si>
  <si>
    <t>INFORME DE RESULTADOS</t>
  </si>
  <si>
    <t>01</t>
  </si>
  <si>
    <t>Se actualiza la versión por cambios en la estructura y nombre del formato</t>
  </si>
  <si>
    <t>02</t>
  </si>
  <si>
    <t>Se actualiza la verdsión por cambios en la estructura del formato</t>
  </si>
  <si>
    <t>CÓDIGO: GDA-FLC-004</t>
  </si>
  <si>
    <t>MÉTODOS DE PRUEBA ESTÁNDAR PARA DETERMINACIÓN DE LABORATORIO DE LA DENSIDAD (PESO UNITARIO) DE MUESTRAS DE SUELO D 7263 – 09</t>
  </si>
  <si>
    <t>PÁGINA 1 DE 1</t>
  </si>
  <si>
    <t xml:space="preserve">tipo de perforación </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</si>
  <si>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</si>
  <si>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</si>
  <si>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</si>
  <si>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</si>
  <si>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</si>
  <si>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</si>
  <si>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</si>
  <si>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</si>
  <si>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</si>
  <si>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</si>
  <si>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</si>
  <si>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</si>
  <si>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</si>
  <si>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</si>
  <si>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</si>
  <si>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</si>
  <si>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</si>
  <si>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</si>
  <si>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</si>
  <si>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</si>
  <si>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</si>
  <si>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 xml:space="preserve">PESO UNITARIO PARAFINADO </t>
  </si>
  <si>
    <t>A</t>
  </si>
  <si>
    <t>B</t>
  </si>
  <si>
    <t>C</t>
  </si>
  <si>
    <t>D</t>
  </si>
  <si>
    <t xml:space="preserve">RESULTADOS DEL ENSAYO </t>
  </si>
  <si>
    <t xml:space="preserve">DENSIDAD HÚMEDA </t>
  </si>
  <si>
    <t xml:space="preserve"> (g/cm³)</t>
  </si>
  <si>
    <t xml:space="preserve">DENSIDAD SECA  </t>
  </si>
  <si>
    <t xml:space="preserve"> (kN/m³)</t>
  </si>
  <si>
    <t xml:space="preserve">HUMEDAD </t>
  </si>
  <si>
    <t>%</t>
  </si>
  <si>
    <t xml:space="preserve">A= MASA DE LA CUERDA </t>
  </si>
  <si>
    <t xml:space="preserve">B= MASA EN EL AIRE </t>
  </si>
  <si>
    <t xml:space="preserve">C= MASA EN EL AIRE PARAFINADO </t>
  </si>
  <si>
    <t>D= MAS PARAFINADA SUMERGIDA</t>
  </si>
  <si>
    <t>APROBÓ</t>
  </si>
  <si>
    <t>REVISÓ</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</si>
  <si>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</si>
  <si>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</si>
  <si>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 xml:space="preserve"> </t>
  </si>
  <si>
    <t>Ing. SERGIO DURAN NÚÑEZ</t>
  </si>
  <si>
    <t>Director Técnico</t>
  </si>
  <si>
    <t>Jefe de laboratorio</t>
  </si>
  <si>
    <t xml:space="preserve">  --------------------FIN DEL INFORME--------------------</t>
  </si>
  <si>
    <t xml:space="preserve">PONER LA CANTIDAD DE LAS MUESTRAS QUE VIENEN DEL SONDEO </t>
  </si>
  <si>
    <t xml:space="preserve">CANTIDAD DE MODIFICACIONES </t>
  </si>
  <si>
    <t>OBSERVACIONES:</t>
  </si>
  <si>
    <t>DIGITAR CODIGO ENSAYO</t>
  </si>
  <si>
    <t>VERSIÓN :03</t>
  </si>
  <si>
    <t>FECHA: 09-10-2026</t>
  </si>
  <si>
    <t>03</t>
  </si>
  <si>
    <t>Se actualiza la verdsión por cambios en la estructura del formato - Se agrega el espacio para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</si>
</sst>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yy"/>
    <numFmt numFmtId="165" formatCode="dd/mm/yyyy"/>
    <numFmt numFmtId="166" formatCode="[$-200A]d&quot; de &quot;mmmm&quot; de &quot;yyyy"/>
    <numFmt numFmtId="167" formatCode="@\ &quot;-&quot;"/>
    <numFmt numFmtId="168" formatCode="0.00&quot; m&quot;"/>
    <numFmt numFmtId="169" formatCode="0.0"/>
  </numFmts>
  <fonts count="20" x14ac:knownFonts="1">
    <font>
      <sz val="11"/>
      <color theme="1"/>
      <name val="Calibri"/>
      <scheme val="minor"/>
    </font>
    <font>
      <sz val="11"/>
      <color theme="1"/>
      <name val="Calibri"/>
      <scheme val="minor"/>
    </font>
    <font>
      <sz val="11"/>
      <color theme="1"/>
      <name val="Calibri"/>
    </font>
    <font>
      <b/>
      <sz val="11"/>
      <color theme="1"/>
      <name val="Arial"/>
    </font>
    <font>
      <sz val="11"/>
      <name val="Calibri"/>
    </font>
    <font>
      <sz val="11"/>
      <color theme="1"/>
      <name val="Arial"/>
    </font>
    <font>
      <sz val="12"/>
      <color theme="1"/>
      <name val="Arial"/>
    </font>
    <font>
      <b/>
      <sz val="14"/>
      <color theme="1"/>
      <name val="Arial"/>
    </font>
    <font>
      <sz val="12"/>
      <color rgb="FFFF0000"/>
      <name val="Arial"/>
    </font>
    <font>
      <b/>
      <sz val="12"/>
      <color theme="1"/>
      <name val="Arial"/>
    </font>
    <font>
      <b/>
      <sz val="16"/>
      <color rgb="FF002060"/>
      <name val="Arial"/>
    </font>
    <font>
      <b/>
      <sz val="14"/>
      <color rgb="FF002060"/>
      <name val="Arial"/>
    </font>
    <font>
      <b/>
      <sz val="16"/>
      <color theme="1"/>
      <name val="Arial"/>
    </font>
    <font>
      <sz val="14"/>
      <color theme="1"/>
      <name val="Arial"/>
    </font>
    <font>
      <sz val="10"/>
      <color theme="1"/>
      <name val="Arial"/>
    </font>
    <font>
      <b/>
      <sz val="10"/>
      <color theme="1"/>
      <name val="Arial"/>
    </font>
    <font>
      <sz val="11"/>
      <color rgb="FFFF0000"/>
      <name val="Arial"/>
    </font>
    <font>
      <i/>
      <sz val="11"/>
      <color theme="1"/>
      <name val="Arial"/>
    </font>
    <font>
      <b/>
      <sz val="12"/>
      <color theme="1"/>
      <name val="Arial"/>
      <family val="2"/>
    </font>
    <font>
      <sz val="12"/>
      <color theme="1"/>
      <name val="Arial"/>
      <family val="2"/>
    </font>
  </fonts>
  <fills count="4">
    <fill>
      <patternFill patternType="none"/>
    </fill>
    <fill>
      <patternFill patternType="gray125"/>
    </fill>
    <fill>
      <patternFill patternType="solid">
        <fgColor theme="0"/>
        <bgColor theme="0"/>
      </patternFill>
    </fill>
    <fill>
      <patternFill patternType="solid">
        <fgColor rgb="FFD8D8D8"/>
        <bgColor rgb="FFD8D8D8"/>
      </patternFill>
    </fill>
  </fills>
  <borders count="78">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style="medium">
        <color rgb="FF999999"/>
      </left>
      <right/>
      <top/>
      <bottom/>
      <diagonal/>
    </border>
    <border>
      <left/>
      <right style="medium">
        <color rgb="FF999999"/>
      </right>
      <top/>
      <bottom/>
      <diagonal/>
    </border>
    <border>
      <left/>
      <right/>
      <top style="thin">
        <color rgb="FF7F7F7F"/>
      </top>
      <bottom style="thin">
        <color rgb="FF7F7F7F"/>
      </bottom>
      <diagonal/>
    </border>
    <border>
      <left/>
      <right style="medium">
        <color rgb="FF999999"/>
      </right>
      <top style="thin">
        <color rgb="FF7F7F7F"/>
      </top>
      <bottom style="thin">
        <color rgb="FF7F7F7F"/>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medium">
        <color rgb="FF7F7F7F"/>
      </left>
      <right/>
      <top/>
      <bottom/>
      <diagonal/>
    </border>
    <border>
      <left/>
      <right style="medium">
        <color rgb="FF7F7F7F"/>
      </right>
      <top/>
      <bottom style="medium">
        <color rgb="FF7F7F7F"/>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diagonal/>
    </border>
    <border>
      <left/>
      <right/>
      <top style="medium">
        <color rgb="FF7F7F7F"/>
      </top>
      <bottom/>
      <diagonal/>
    </border>
    <border>
      <left/>
      <right style="medium">
        <color rgb="FF7F7F7F"/>
      </right>
      <top style="medium">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medium">
        <color rgb="FF7F7F7F"/>
      </right>
      <top style="thin">
        <color rgb="FF7F7F7F"/>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bottom style="thin">
        <color rgb="FF7F7F7F"/>
      </bottom>
      <diagonal/>
    </border>
    <border>
      <left/>
      <right/>
      <top/>
      <bottom style="thin">
        <color rgb="FF7F7F7F"/>
      </bottom>
      <diagonal/>
    </border>
    <border>
      <left style="medium">
        <color rgb="FF7F7F7F"/>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right/>
      <top/>
      <bottom style="medium">
        <color rgb="FF7F7F7F"/>
      </bottom>
      <diagonal/>
    </border>
    <border>
      <left/>
      <right style="medium">
        <color rgb="FF7F7F7F"/>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style="medium">
        <color rgb="FF7F7F7F"/>
      </top>
      <bottom/>
      <diagonal/>
    </border>
    <border>
      <left style="medium">
        <color rgb="FF7F7F7F"/>
      </left>
      <right style="medium">
        <color rgb="FF7F7F7F"/>
      </right>
      <top/>
      <bottom style="medium">
        <color rgb="FF7F7F7F"/>
      </bottom>
      <diagonal/>
    </border>
    <border>
      <left style="medium">
        <color rgb="FF7F7F7F"/>
      </left>
      <right style="thin">
        <color rgb="FF7F7F7F"/>
      </right>
      <top style="medium">
        <color rgb="FF7F7F7F"/>
      </top>
      <bottom/>
      <diagonal/>
    </border>
    <border>
      <left style="thin">
        <color rgb="FF7F7F7F"/>
      </left>
      <right style="thin">
        <color rgb="FF7F7F7F"/>
      </right>
      <top style="medium">
        <color rgb="FF7F7F7F"/>
      </top>
      <bottom/>
      <diagonal/>
    </border>
    <border>
      <left style="thin">
        <color rgb="FF7F7F7F"/>
      </left>
      <right style="medium">
        <color rgb="FF7F7F7F"/>
      </right>
      <top style="medium">
        <color rgb="FF7F7F7F"/>
      </top>
      <bottom/>
      <diagonal/>
    </border>
    <border>
      <left style="medium">
        <color rgb="FF7F7F7F"/>
      </left>
      <right style="thin">
        <color rgb="FF7F7F7F"/>
      </right>
      <top/>
      <bottom style="medium">
        <color rgb="FF7F7F7F"/>
      </bottom>
      <diagonal/>
    </border>
    <border>
      <left style="thin">
        <color rgb="FF7F7F7F"/>
      </left>
      <right style="thin">
        <color rgb="FF7F7F7F"/>
      </right>
      <top/>
      <bottom style="medium">
        <color rgb="FF7F7F7F"/>
      </bottom>
      <diagonal/>
    </border>
    <border>
      <left style="thin">
        <color rgb="FF7F7F7F"/>
      </left>
      <right style="medium">
        <color rgb="FF7F7F7F"/>
      </right>
      <top/>
      <bottom style="medium">
        <color rgb="FF7F7F7F"/>
      </bottom>
      <diagonal/>
    </border>
    <border>
      <left style="medium">
        <color rgb="FF7F7F7F"/>
      </left>
      <right/>
      <top style="medium">
        <color rgb="FF7F7F7F"/>
      </top>
      <bottom/>
      <diagonal/>
    </border>
    <border>
      <left/>
      <right/>
      <top style="medium">
        <color rgb="FF7F7F7F"/>
      </top>
      <bottom/>
      <diagonal/>
    </border>
    <border>
      <left/>
      <right style="medium">
        <color rgb="FF7F7F7F"/>
      </right>
      <top style="medium">
        <color rgb="FF7F7F7F"/>
      </top>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right/>
      <top style="thin">
        <color rgb="FF000000"/>
      </top>
      <bottom/>
      <diagonal/>
    </border>
    <border>
      <left/>
      <right style="medium">
        <color rgb="FF7F7F7F"/>
      </right>
      <top style="thin">
        <color rgb="FF000000"/>
      </top>
      <bottom/>
      <diagonal/>
    </border>
    <border>
      <left/>
      <right/>
      <top/>
      <bottom style="medium">
        <color rgb="FF7F7F7F"/>
      </bottom>
      <diagonal/>
    </border>
    <border>
      <left style="medium">
        <color rgb="FF000000"/>
      </left>
      <right style="medium">
        <color rgb="FF000000"/>
      </right>
      <top style="medium">
        <color rgb="FF000000"/>
      </top>
      <bottom style="medium">
        <color rgb="FF000000"/>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57">
    <xf numFmtId="0" fontId="0" fillId="0" borderId="0" xfId="0"/>
    <xf numFmtId="0" fontId="1" fillId="0" borderId="0" xfId="0" applyFont="1"/>
    <xf numFmtId="0" fontId="2" fillId="0" borderId="0" xfId="0" applyFont="1"/>
    <xf numFmtId="0" fontId="3" fillId="0" borderId="2" xfId="0" applyFont="1" applyBorder="1" applyAlignment="1">
      <alignment horizontal="center"/>
    </xf>
    <xf numFmtId="0" fontId="3" fillId="0" borderId="3" xfId="0" applyFont="1" applyBorder="1" applyAlignment="1">
      <alignment horizontal="center"/>
    </xf>
    <xf numFmtId="49" fontId="5" fillId="0" borderId="2" xfId="0" applyNumberFormat="1" applyFont="1" applyBorder="1" applyAlignment="1">
      <alignment horizontal="center"/>
    </xf>
    <xf numFmtId="164" fontId="5" fillId="0" borderId="3" xfId="0" applyNumberFormat="1" applyFont="1" applyBorder="1" applyAlignment="1">
      <alignment horizontal="center"/>
    </xf>
    <xf numFmtId="0" fontId="5" fillId="0" borderId="3" xfId="0" applyFont="1" applyBorder="1"/>
    <xf numFmtId="0" fontId="5" fillId="0" borderId="3" xfId="0" applyFont="1" applyBorder="1" applyAlignment="1">
      <alignment horizontal="left"/>
    </xf>
    <xf numFmtId="165" fontId="5" fillId="0" borderId="3" xfId="0" applyNumberFormat="1" applyFont="1" applyBorder="1" applyAlignment="1">
      <alignment horizontal="center"/>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0" fillId="0" borderId="0" xfId="0" applyProtection="1">
      <protection locked="0"/>
    </xf>
    <xf numFmtId="0" fontId="8" fillId="0" borderId="0" xfId="0" applyFont="1" applyAlignment="1" applyProtection="1">
      <alignment horizontal="center" vertical="center"/>
      <protection locked="0"/>
    </xf>
    <xf numFmtId="0" fontId="6" fillId="0" borderId="26" xfId="0" applyFont="1" applyBorder="1" applyAlignment="1" applyProtection="1">
      <alignment vertical="center"/>
      <protection locked="0"/>
    </xf>
    <xf numFmtId="167" fontId="6" fillId="2" borderId="33" xfId="0" applyNumberFormat="1" applyFont="1" applyFill="1" applyBorder="1" applyAlignment="1" applyProtection="1">
      <alignment horizontal="center" vertical="center"/>
      <protection locked="0"/>
    </xf>
    <xf numFmtId="49" fontId="6" fillId="2" borderId="34" xfId="0" applyNumberFormat="1" applyFont="1" applyFill="1" applyBorder="1" applyAlignment="1" applyProtection="1">
      <alignment vertical="center"/>
      <protection locked="0"/>
    </xf>
    <xf numFmtId="49" fontId="6" fillId="2" borderId="42" xfId="0" applyNumberFormat="1" applyFont="1" applyFill="1" applyBorder="1" applyAlignment="1" applyProtection="1">
      <alignment horizontal="right" vertical="center"/>
      <protection locked="0"/>
    </xf>
    <xf numFmtId="0" fontId="6" fillId="2" borderId="42" xfId="0" applyFont="1" applyFill="1" applyBorder="1" applyAlignment="1" applyProtection="1">
      <alignment horizontal="left" vertical="center"/>
      <protection locked="0"/>
    </xf>
    <xf numFmtId="0" fontId="6" fillId="2" borderId="42" xfId="0" applyFont="1" applyFill="1" applyBorder="1" applyAlignment="1" applyProtection="1">
      <alignment horizontal="center" vertical="center"/>
      <protection locked="0"/>
    </xf>
    <xf numFmtId="168" fontId="6" fillId="2" borderId="42" xfId="0" applyNumberFormat="1" applyFont="1" applyFill="1" applyBorder="1" applyAlignment="1" applyProtection="1">
      <alignment horizontal="right" vertical="center"/>
      <protection locked="0"/>
    </xf>
    <xf numFmtId="168" fontId="6" fillId="2" borderId="43" xfId="0" applyNumberFormat="1" applyFont="1" applyFill="1" applyBorder="1" applyAlignment="1" applyProtection="1">
      <alignment horizontal="left" vertical="center"/>
      <protection locked="0"/>
    </xf>
    <xf numFmtId="0" fontId="6" fillId="0" borderId="0" xfId="0" applyFont="1" applyProtection="1">
      <protection locked="0"/>
    </xf>
    <xf numFmtId="2" fontId="12" fillId="0" borderId="70" xfId="0" applyNumberFormat="1" applyFont="1" applyBorder="1" applyAlignment="1" applyProtection="1">
      <alignment horizontal="center"/>
      <protection locked="0"/>
    </xf>
    <xf numFmtId="0" fontId="13" fillId="0" borderId="0" xfId="0" applyFont="1" applyProtection="1">
      <protection locked="0"/>
    </xf>
    <xf numFmtId="0" fontId="0" fillId="0" borderId="75" xfId="0" applyBorder="1" applyProtection="1">
      <protection locked="0"/>
    </xf>
    <xf numFmtId="0" fontId="6" fillId="0" borderId="75" xfId="0" applyFont="1" applyBorder="1" applyProtection="1">
      <protection locked="0"/>
    </xf>
    <xf numFmtId="0" fontId="6" fillId="0" borderId="76" xfId="0" applyFont="1" applyBorder="1" applyProtection="1">
      <protection locked="0"/>
    </xf>
    <xf numFmtId="0" fontId="5" fillId="0" borderId="0" xfId="0" applyFont="1" applyAlignment="1" applyProtection="1">
      <alignment vertical="center"/>
      <protection locked="0"/>
    </xf>
    <xf numFmtId="0" fontId="3" fillId="0" borderId="0" xfId="0" applyFont="1" applyAlignment="1" applyProtection="1">
      <alignment vertical="center"/>
      <protection locked="0"/>
    </xf>
    <xf numFmtId="2" fontId="5" fillId="3" borderId="27" xfId="0" applyNumberFormat="1" applyFont="1" applyFill="1" applyBorder="1" applyAlignment="1" applyProtection="1">
      <alignment horizontal="center" vertical="center"/>
      <protection locked="0"/>
    </xf>
    <xf numFmtId="0" fontId="5" fillId="3" borderId="27" xfId="0" applyFont="1" applyFill="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3" fillId="3" borderId="27" xfId="0" applyFont="1" applyFill="1" applyBorder="1" applyAlignment="1" applyProtection="1">
      <alignment horizontal="center" vertical="center"/>
      <protection locked="0"/>
    </xf>
    <xf numFmtId="0" fontId="5" fillId="0" borderId="74" xfId="0" applyFont="1" applyBorder="1" applyAlignment="1" applyProtection="1">
      <alignment vertical="center"/>
      <protection locked="0"/>
    </xf>
    <xf numFmtId="0" fontId="16" fillId="0" borderId="0" xfId="0" applyFont="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17" fillId="0" borderId="0" xfId="0" applyFont="1" applyAlignment="1" applyProtection="1">
      <alignment vertical="center"/>
      <protection locked="0"/>
    </xf>
    <xf numFmtId="0" fontId="16" fillId="0" borderId="0" xfId="0" applyFont="1" applyAlignment="1" applyProtection="1">
      <alignment vertical="center" wrapText="1"/>
      <protection locked="0"/>
    </xf>
    <xf numFmtId="2" fontId="12" fillId="0" borderId="63" xfId="0" applyNumberFormat="1" applyFont="1" applyBorder="1" applyAlignment="1" applyProtection="1">
      <alignment horizontal="center"/>
      <protection hidden="1"/>
    </xf>
    <xf numFmtId="2" fontId="12" fillId="0" borderId="66" xfId="0" applyNumberFormat="1" applyFont="1" applyBorder="1" applyAlignment="1" applyProtection="1">
      <alignment horizontal="center"/>
      <protection hidden="1"/>
    </xf>
    <xf numFmtId="169" fontId="12" fillId="0" borderId="66" xfId="0" applyNumberFormat="1" applyFont="1" applyBorder="1" applyAlignment="1" applyProtection="1">
      <alignment horizontal="center"/>
      <protection hidden="1"/>
    </xf>
    <xf numFmtId="49" fontId="6" fillId="0" borderId="77" xfId="0" applyNumberFormat="1" applyFont="1" applyBorder="1" applyProtection="1">
      <protection locked="0"/>
    </xf>
    <xf numFmtId="0" fontId="19" fillId="0" borderId="0" xfId="0" applyFont="1" applyProtection="1">
      <protection locked="0"/>
    </xf>
    <xf numFmtId="0" fontId="16" fillId="0" borderId="0" xfId="0" applyFont="1" applyAlignment="1" applyProtection="1">
      <alignment horizontal="center" vertical="center" wrapText="1"/>
      <protection locked="0"/>
    </xf>
    <xf numFmtId="0" fontId="0" fillId="0" borderId="0" xfId="0" applyProtection="1">
      <protection locked="0"/>
    </xf>
    <xf numFmtId="0" fontId="7" fillId="0" borderId="51" xfId="0" applyFont="1" applyBorder="1" applyAlignment="1" applyProtection="1">
      <alignment horizontal="center" vertical="center"/>
      <protection locked="0"/>
    </xf>
    <xf numFmtId="0" fontId="4" fillId="0" borderId="54" xfId="0" applyFont="1" applyBorder="1" applyProtection="1">
      <protection locked="0"/>
    </xf>
    <xf numFmtId="0" fontId="7" fillId="0" borderId="52" xfId="0" applyFont="1" applyBorder="1" applyAlignment="1" applyProtection="1">
      <alignment horizontal="center" vertical="center"/>
      <protection locked="0"/>
    </xf>
    <xf numFmtId="0" fontId="4" fillId="0" borderId="55" xfId="0" applyFont="1" applyBorder="1" applyProtection="1">
      <protection locked="0"/>
    </xf>
    <xf numFmtId="0" fontId="7" fillId="0" borderId="53" xfId="0" applyFont="1" applyBorder="1" applyAlignment="1" applyProtection="1">
      <alignment horizontal="center" vertical="center"/>
      <protection locked="0"/>
    </xf>
    <xf numFmtId="0" fontId="4" fillId="0" borderId="56" xfId="0" applyFont="1" applyBorder="1" applyProtection="1">
      <protection locked="0"/>
    </xf>
    <xf numFmtId="0" fontId="6" fillId="2" borderId="28" xfId="0" applyFont="1" applyFill="1" applyBorder="1" applyAlignment="1" applyProtection="1">
      <alignment horizontal="left" vertical="center"/>
      <protection locked="0"/>
    </xf>
    <xf numFmtId="0" fontId="4" fillId="0" borderId="11" xfId="0" applyFont="1" applyBorder="1" applyProtection="1">
      <protection locked="0"/>
    </xf>
    <xf numFmtId="0" fontId="4" fillId="0" borderId="32" xfId="0" applyFont="1" applyBorder="1" applyProtection="1">
      <protection locked="0"/>
    </xf>
    <xf numFmtId="0" fontId="6" fillId="2" borderId="28" xfId="0" applyFont="1" applyFill="1" applyBorder="1" applyAlignment="1" applyProtection="1">
      <alignment horizontal="center" vertical="center"/>
      <protection hidden="1"/>
    </xf>
    <xf numFmtId="0" fontId="4" fillId="0" borderId="11" xfId="0" applyFont="1" applyBorder="1" applyProtection="1">
      <protection hidden="1"/>
    </xf>
    <xf numFmtId="0" fontId="4" fillId="0" borderId="32" xfId="0" applyFont="1" applyBorder="1" applyProtection="1">
      <protection hidden="1"/>
    </xf>
    <xf numFmtId="0" fontId="6" fillId="2" borderId="28" xfId="0" applyFont="1" applyFill="1" applyBorder="1" applyAlignment="1" applyProtection="1">
      <alignment horizontal="center" vertical="center"/>
      <protection locked="0"/>
    </xf>
    <xf numFmtId="0" fontId="4" fillId="0" borderId="29" xfId="0" applyFont="1" applyBorder="1" applyProtection="1">
      <protection locked="0"/>
    </xf>
    <xf numFmtId="166" fontId="6" fillId="2" borderId="28" xfId="0" applyNumberFormat="1" applyFont="1" applyFill="1" applyBorder="1" applyAlignment="1" applyProtection="1">
      <alignment horizontal="center" vertical="center"/>
      <protection locked="0"/>
    </xf>
    <xf numFmtId="0" fontId="6" fillId="2" borderId="20" xfId="0" applyFont="1" applyFill="1" applyBorder="1" applyAlignment="1" applyProtection="1">
      <alignment horizontal="center" vertical="center"/>
      <protection locked="0"/>
    </xf>
    <xf numFmtId="0" fontId="4" fillId="0" borderId="21" xfId="0" applyFont="1" applyBorder="1" applyProtection="1">
      <protection locked="0"/>
    </xf>
    <xf numFmtId="0" fontId="4" fillId="0" borderId="22" xfId="0" applyFont="1" applyBorder="1" applyProtection="1">
      <protection locked="0"/>
    </xf>
    <xf numFmtId="166" fontId="6" fillId="2" borderId="20" xfId="0" applyNumberFormat="1" applyFont="1" applyFill="1" applyBorder="1" applyAlignment="1" applyProtection="1">
      <alignment horizontal="center" vertical="center"/>
      <protection locked="0"/>
    </xf>
    <xf numFmtId="0" fontId="4" fillId="0" borderId="25" xfId="0" applyFont="1" applyBorder="1" applyProtection="1">
      <protection locked="0"/>
    </xf>
    <xf numFmtId="49" fontId="16"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3" fillId="0" borderId="1" xfId="0" applyFont="1" applyBorder="1" applyAlignment="1">
      <alignment horizontal="center"/>
    </xf>
    <xf numFmtId="0" fontId="4" fillId="0" borderId="1" xfId="0" applyFont="1" applyBorder="1"/>
    <xf numFmtId="0" fontId="6" fillId="0" borderId="4" xfId="0" applyFont="1" applyBorder="1" applyAlignment="1" applyProtection="1">
      <alignment horizontal="center" vertical="center"/>
      <protection hidden="1"/>
    </xf>
    <xf numFmtId="0" fontId="4" fillId="0" borderId="5" xfId="0" applyFont="1" applyBorder="1" applyProtection="1">
      <protection hidden="1"/>
    </xf>
    <xf numFmtId="0" fontId="7" fillId="0" borderId="4" xfId="0" applyFont="1" applyBorder="1" applyAlignment="1" applyProtection="1">
      <alignment horizontal="center" vertical="center"/>
      <protection hidden="1"/>
    </xf>
    <xf numFmtId="0" fontId="4" fillId="0" borderId="6" xfId="0" applyFont="1" applyBorder="1" applyProtection="1">
      <protection hidden="1"/>
    </xf>
    <xf numFmtId="0" fontId="19" fillId="0" borderId="7" xfId="0" applyFont="1" applyBorder="1" applyAlignment="1" applyProtection="1">
      <alignment horizontal="center" vertical="center"/>
      <protection hidden="1"/>
    </xf>
    <xf numFmtId="0" fontId="4" fillId="0" borderId="7" xfId="0" applyFont="1" applyBorder="1" applyProtection="1">
      <protection hidden="1"/>
    </xf>
    <xf numFmtId="0" fontId="4" fillId="0" borderId="8" xfId="0" applyFont="1" applyBorder="1" applyProtection="1">
      <protection hidden="1"/>
    </xf>
    <xf numFmtId="0" fontId="4" fillId="0" borderId="9" xfId="0" applyFont="1" applyBorder="1" applyProtection="1">
      <protection hidden="1"/>
    </xf>
    <xf numFmtId="0" fontId="0" fillId="0" borderId="0" xfId="0" applyProtection="1">
      <protection hidden="1"/>
    </xf>
    <xf numFmtId="0" fontId="7" fillId="0" borderId="9" xfId="0" applyFont="1" applyBorder="1" applyAlignment="1" applyProtection="1">
      <alignment horizontal="center" vertical="center" wrapText="1"/>
      <protection hidden="1"/>
    </xf>
    <xf numFmtId="0" fontId="4" fillId="0" borderId="10" xfId="0" applyFont="1" applyBorder="1" applyProtection="1">
      <protection hidden="1"/>
    </xf>
    <xf numFmtId="0" fontId="6" fillId="0" borderId="11" xfId="0" applyFont="1" applyBorder="1" applyAlignment="1" applyProtection="1">
      <alignment horizontal="center" vertical="center"/>
      <protection hidden="1"/>
    </xf>
    <xf numFmtId="0" fontId="4" fillId="0" borderId="12" xfId="0" applyFont="1" applyBorder="1" applyProtection="1">
      <protection hidden="1"/>
    </xf>
    <xf numFmtId="0" fontId="4" fillId="0" borderId="13" xfId="0" applyFont="1" applyBorder="1" applyProtection="1">
      <protection hidden="1"/>
    </xf>
    <xf numFmtId="0" fontId="4" fillId="0" borderId="14" xfId="0" applyFont="1" applyBorder="1" applyProtection="1">
      <protection hidden="1"/>
    </xf>
    <xf numFmtId="0" fontId="4" fillId="0" borderId="15" xfId="0" applyFont="1" applyBorder="1" applyProtection="1">
      <protection hidden="1"/>
    </xf>
    <xf numFmtId="0" fontId="6" fillId="0" borderId="14" xfId="0" applyFont="1" applyBorder="1" applyAlignment="1" applyProtection="1">
      <alignment horizontal="center" vertical="center"/>
      <protection hidden="1"/>
    </xf>
    <xf numFmtId="0" fontId="6" fillId="0" borderId="16" xfId="0" applyFont="1" applyBorder="1" applyAlignment="1" applyProtection="1">
      <alignment vertical="center"/>
      <protection hidden="1"/>
    </xf>
    <xf numFmtId="0" fontId="6" fillId="0" borderId="0" xfId="0" applyFont="1" applyAlignment="1" applyProtection="1">
      <alignment horizontal="center" vertical="center"/>
      <protection hidden="1"/>
    </xf>
    <xf numFmtId="0" fontId="6" fillId="0" borderId="17" xfId="0" applyFont="1" applyBorder="1" applyAlignment="1" applyProtection="1">
      <alignment vertical="center"/>
      <protection hidden="1"/>
    </xf>
    <xf numFmtId="0" fontId="6" fillId="0" borderId="18" xfId="0" applyFont="1" applyBorder="1" applyAlignment="1" applyProtection="1">
      <alignment vertical="center"/>
      <protection hidden="1"/>
    </xf>
    <xf numFmtId="0" fontId="9" fillId="2" borderId="19" xfId="0" applyFont="1" applyFill="1" applyBorder="1" applyAlignment="1" applyProtection="1">
      <alignment horizontal="left" vertical="center"/>
      <protection hidden="1"/>
    </xf>
    <xf numFmtId="0" fontId="9" fillId="2" borderId="23" xfId="0" applyFont="1" applyFill="1" applyBorder="1" applyAlignment="1" applyProtection="1">
      <alignment horizontal="left" vertical="center"/>
      <protection hidden="1"/>
    </xf>
    <xf numFmtId="0" fontId="4" fillId="0" borderId="24" xfId="0" applyFont="1" applyBorder="1" applyProtection="1">
      <protection hidden="1"/>
    </xf>
    <xf numFmtId="0" fontId="9" fillId="2" borderId="27" xfId="0" applyFont="1" applyFill="1" applyBorder="1" applyAlignment="1" applyProtection="1">
      <alignment horizontal="left" vertical="center"/>
      <protection hidden="1"/>
    </xf>
    <xf numFmtId="0" fontId="9" fillId="2" borderId="30" xfId="0" applyFont="1" applyFill="1" applyBorder="1" applyAlignment="1" applyProtection="1">
      <alignment horizontal="left" vertical="center"/>
      <protection hidden="1"/>
    </xf>
    <xf numFmtId="0" fontId="4" fillId="0" borderId="31" xfId="0" applyFont="1" applyBorder="1" applyProtection="1">
      <protection hidden="1"/>
    </xf>
    <xf numFmtId="49" fontId="6" fillId="2" borderId="42" xfId="0" applyNumberFormat="1" applyFont="1" applyFill="1" applyBorder="1" applyAlignment="1" applyProtection="1">
      <alignment horizontal="center" vertical="center"/>
      <protection hidden="1"/>
    </xf>
    <xf numFmtId="0" fontId="9" fillId="0" borderId="0" xfId="0" applyFont="1" applyAlignment="1" applyProtection="1">
      <alignment horizontal="left" vertical="center"/>
      <protection hidden="1"/>
    </xf>
    <xf numFmtId="0" fontId="9" fillId="2" borderId="35" xfId="0" applyFont="1" applyFill="1" applyBorder="1" applyAlignment="1" applyProtection="1">
      <alignment horizontal="left" vertical="center"/>
      <protection hidden="1"/>
    </xf>
    <xf numFmtId="0" fontId="4" fillId="0" borderId="36" xfId="0" applyFont="1" applyBorder="1" applyProtection="1">
      <protection hidden="1"/>
    </xf>
    <xf numFmtId="0" fontId="6" fillId="0" borderId="37" xfId="0" applyFont="1" applyBorder="1" applyAlignment="1" applyProtection="1">
      <alignment vertical="center"/>
      <protection hidden="1"/>
    </xf>
    <xf numFmtId="0" fontId="6" fillId="2" borderId="38" xfId="0" applyFont="1" applyFill="1" applyBorder="1" applyAlignment="1" applyProtection="1">
      <alignment horizontal="center" vertical="center"/>
      <protection hidden="1"/>
    </xf>
    <xf numFmtId="0" fontId="4" fillId="0" borderId="39" xfId="0" applyFont="1" applyBorder="1" applyProtection="1">
      <protection hidden="1"/>
    </xf>
    <xf numFmtId="0" fontId="4" fillId="0" borderId="40" xfId="0" applyFont="1" applyBorder="1" applyProtection="1">
      <protection hidden="1"/>
    </xf>
    <xf numFmtId="0" fontId="6" fillId="2" borderId="41" xfId="0" applyFont="1" applyFill="1" applyBorder="1" applyAlignment="1" applyProtection="1">
      <alignment vertical="center"/>
      <protection hidden="1"/>
    </xf>
    <xf numFmtId="0" fontId="9" fillId="2" borderId="19" xfId="0" applyFont="1" applyFill="1" applyBorder="1" applyAlignment="1" applyProtection="1">
      <alignment vertical="center"/>
      <protection hidden="1"/>
    </xf>
    <xf numFmtId="0" fontId="9" fillId="2" borderId="23" xfId="0" applyFont="1" applyFill="1" applyBorder="1" applyAlignment="1" applyProtection="1">
      <alignment horizontal="center" vertical="center"/>
      <protection hidden="1"/>
    </xf>
    <xf numFmtId="168" fontId="6" fillId="2" borderId="42" xfId="0" applyNumberFormat="1" applyFont="1" applyFill="1" applyBorder="1" applyAlignment="1" applyProtection="1">
      <alignment horizontal="center" vertical="center"/>
      <protection hidden="1"/>
    </xf>
    <xf numFmtId="0" fontId="9" fillId="2" borderId="44" xfId="0" applyFont="1" applyFill="1" applyBorder="1" applyAlignment="1" applyProtection="1">
      <alignment horizontal="left" vertical="center"/>
      <protection hidden="1"/>
    </xf>
    <xf numFmtId="0" fontId="6" fillId="2" borderId="44" xfId="0" applyFont="1" applyFill="1" applyBorder="1" applyAlignment="1" applyProtection="1">
      <alignment horizontal="left" vertical="center"/>
      <protection hidden="1"/>
    </xf>
    <xf numFmtId="0" fontId="6" fillId="2" borderId="41" xfId="0" applyFont="1" applyFill="1" applyBorder="1" applyAlignment="1" applyProtection="1">
      <alignment horizontal="left" vertical="center"/>
      <protection hidden="1"/>
    </xf>
    <xf numFmtId="0" fontId="6" fillId="0" borderId="16" xfId="0" applyFont="1" applyBorder="1" applyProtection="1">
      <protection hidden="1"/>
    </xf>
    <xf numFmtId="0" fontId="6" fillId="0" borderId="0" xfId="0" applyFont="1" applyProtection="1">
      <protection hidden="1"/>
    </xf>
    <xf numFmtId="0" fontId="6" fillId="0" borderId="45" xfId="0" applyFont="1" applyBorder="1" applyProtection="1">
      <protection hidden="1"/>
    </xf>
    <xf numFmtId="0" fontId="10" fillId="3" borderId="46" xfId="0" applyFont="1" applyFill="1" applyBorder="1" applyAlignment="1" applyProtection="1">
      <alignment horizontal="center" vertical="center"/>
      <protection hidden="1"/>
    </xf>
    <xf numFmtId="0" fontId="4" fillId="0" borderId="47" xfId="0" applyFont="1" applyBorder="1" applyProtection="1">
      <protection hidden="1"/>
    </xf>
    <xf numFmtId="0" fontId="4" fillId="0" borderId="48" xfId="0" applyFont="1" applyBorder="1" applyProtection="1">
      <protection hidden="1"/>
    </xf>
    <xf numFmtId="0" fontId="11" fillId="3" borderId="49" xfId="0" applyFont="1" applyFill="1" applyBorder="1" applyAlignment="1" applyProtection="1">
      <alignment horizontal="center" vertical="center"/>
      <protection hidden="1"/>
    </xf>
    <xf numFmtId="0" fontId="4" fillId="0" borderId="50" xfId="0" applyFont="1" applyBorder="1" applyProtection="1">
      <protection hidden="1"/>
    </xf>
    <xf numFmtId="0" fontId="11" fillId="3" borderId="57" xfId="0" applyFont="1" applyFill="1" applyBorder="1" applyAlignment="1" applyProtection="1">
      <alignment horizontal="center" vertical="center"/>
      <protection hidden="1"/>
    </xf>
    <xf numFmtId="0" fontId="4" fillId="0" borderId="58" xfId="0" applyFont="1" applyBorder="1" applyProtection="1">
      <protection hidden="1"/>
    </xf>
    <xf numFmtId="0" fontId="4" fillId="0" borderId="59" xfId="0" applyFont="1" applyBorder="1" applyProtection="1">
      <protection hidden="1"/>
    </xf>
    <xf numFmtId="0" fontId="6" fillId="0" borderId="60" xfId="0" applyFont="1" applyBorder="1" applyAlignment="1" applyProtection="1">
      <alignment horizontal="left"/>
      <protection hidden="1"/>
    </xf>
    <xf numFmtId="0" fontId="4" fillId="0" borderId="61" xfId="0" applyFont="1" applyBorder="1" applyProtection="1">
      <protection hidden="1"/>
    </xf>
    <xf numFmtId="0" fontId="9" fillId="0" borderId="62" xfId="0" applyFont="1" applyBorder="1" applyAlignment="1" applyProtection="1">
      <alignment horizontal="center"/>
      <protection hidden="1"/>
    </xf>
    <xf numFmtId="0" fontId="6" fillId="0" borderId="64" xfId="0" applyFont="1" applyBorder="1" applyAlignment="1" applyProtection="1">
      <alignment horizontal="left"/>
      <protection hidden="1"/>
    </xf>
    <xf numFmtId="0" fontId="4" fillId="0" borderId="65" xfId="0" applyFont="1" applyBorder="1" applyProtection="1">
      <protection hidden="1"/>
    </xf>
    <xf numFmtId="0" fontId="9" fillId="0" borderId="26" xfId="0" applyFont="1" applyBorder="1" applyAlignment="1" applyProtection="1">
      <alignment horizontal="center"/>
      <protection hidden="1"/>
    </xf>
    <xf numFmtId="0" fontId="6" fillId="0" borderId="67" xfId="0" applyFont="1" applyBorder="1" applyAlignment="1" applyProtection="1">
      <alignment horizontal="left"/>
      <protection hidden="1"/>
    </xf>
    <xf numFmtId="0" fontId="4" fillId="0" borderId="68" xfId="0" applyFont="1" applyBorder="1" applyProtection="1">
      <protection hidden="1"/>
    </xf>
    <xf numFmtId="0" fontId="9" fillId="0" borderId="69" xfId="0" applyFont="1" applyBorder="1" applyAlignment="1" applyProtection="1">
      <alignment horizontal="center"/>
      <protection hidden="1"/>
    </xf>
    <xf numFmtId="0" fontId="13" fillId="0" borderId="0" xfId="0" applyFont="1" applyAlignment="1" applyProtection="1">
      <alignment vertical="center"/>
      <protection hidden="1"/>
    </xf>
    <xf numFmtId="0" fontId="13" fillId="0" borderId="0" xfId="0" applyFont="1" applyProtection="1">
      <protection hidden="1"/>
    </xf>
    <xf numFmtId="0" fontId="18" fillId="0" borderId="0" xfId="0" applyFont="1" applyProtection="1">
      <protection hidden="1"/>
    </xf>
    <xf numFmtId="0" fontId="5" fillId="0" borderId="16" xfId="0" applyFont="1" applyBorder="1" applyAlignment="1" applyProtection="1">
      <alignment vertical="center"/>
      <protection hidden="1"/>
    </xf>
    <xf numFmtId="0" fontId="5" fillId="0" borderId="0" xfId="0" applyFont="1" applyAlignment="1" applyProtection="1">
      <alignment vertical="center"/>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45" xfId="0" applyFont="1" applyBorder="1" applyProtection="1">
      <protection hidden="1"/>
    </xf>
    <xf numFmtId="0" fontId="3" fillId="0" borderId="16" xfId="0" applyFont="1" applyBorder="1" applyAlignment="1" applyProtection="1">
      <alignment horizontal="center" vertical="center"/>
      <protection hidden="1"/>
    </xf>
    <xf numFmtId="0" fontId="14" fillId="0" borderId="0" xfId="0" applyFont="1" applyAlignment="1" applyProtection="1">
      <alignment vertical="center" wrapText="1"/>
      <protection hidden="1"/>
    </xf>
    <xf numFmtId="0" fontId="5" fillId="0" borderId="45" xfId="0" applyFont="1" applyBorder="1" applyAlignment="1" applyProtection="1">
      <alignment vertical="center"/>
      <protection hidden="1"/>
    </xf>
    <xf numFmtId="0" fontId="15" fillId="0" borderId="16" xfId="0" applyFont="1" applyBorder="1" applyAlignment="1" applyProtection="1">
      <alignment horizontal="center" vertical="center" wrapText="1"/>
      <protection hidden="1"/>
    </xf>
    <xf numFmtId="0" fontId="6" fillId="0" borderId="0" xfId="0" applyFont="1" applyAlignment="1" applyProtection="1">
      <alignment vertical="center" wrapText="1"/>
      <protection hidden="1"/>
    </xf>
    <xf numFmtId="0" fontId="4" fillId="0" borderId="16" xfId="0" applyFont="1" applyBorder="1" applyProtection="1">
      <protection hidden="1"/>
    </xf>
    <xf numFmtId="0" fontId="15" fillId="0" borderId="0" xfId="0" applyFont="1" applyAlignment="1" applyProtection="1">
      <alignment vertical="center" wrapText="1"/>
      <protection hidden="1"/>
    </xf>
    <xf numFmtId="0" fontId="3" fillId="0" borderId="71" xfId="0" applyFont="1" applyBorder="1" applyAlignment="1" applyProtection="1">
      <alignment horizontal="center" vertical="center"/>
      <protection hidden="1"/>
    </xf>
    <xf numFmtId="0" fontId="4" fillId="0" borderId="71" xfId="0" applyFont="1" applyBorder="1" applyProtection="1">
      <protection hidden="1"/>
    </xf>
    <xf numFmtId="0" fontId="4" fillId="0" borderId="72" xfId="0" applyFont="1" applyBorder="1" applyProtection="1">
      <protection hidden="1"/>
    </xf>
    <xf numFmtId="0" fontId="5" fillId="0" borderId="0" xfId="0" applyFont="1" applyAlignment="1" applyProtection="1">
      <alignment horizontal="center" vertical="center"/>
      <protection hidden="1"/>
    </xf>
    <xf numFmtId="49" fontId="16" fillId="0" borderId="0" xfId="0" applyNumberFormat="1" applyFont="1" applyAlignment="1" applyProtection="1">
      <alignment vertical="center" wrapText="1"/>
      <protection hidden="1"/>
    </xf>
    <xf numFmtId="49" fontId="16" fillId="0" borderId="16" xfId="0" applyNumberFormat="1" applyFont="1" applyBorder="1" applyAlignment="1" applyProtection="1">
      <alignment horizontal="center" vertical="center" wrapText="1"/>
      <protection hidden="1"/>
    </xf>
    <xf numFmtId="0" fontId="4" fillId="0" borderId="73" xfId="0" applyFont="1" applyBorder="1" applyProtection="1">
      <protection hidden="1"/>
    </xf>
    <xf numFmtId="0" fontId="4" fillId="0" borderId="17" xfId="0" applyFont="1" applyBorder="1" applyProtection="1">
      <protection hidden="1"/>
    </xf>
  </cellXfs>
  <cellStyles count="1">
    <cellStyle name="Normal" xfId="0" builtinId="0"/>
  </cellStyles>
  <dxfs count="6">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104775</xdr:colOff>
      <xdr:row>43</xdr:row>
      <xdr:rowOff>190500</xdr:rowOff>
    </xdr:from>
    <xdr:ext cx="1028700" cy="38100"/>
    <xdr:grpSp>
      <xdr:nvGrpSpPr>
        <xdr:cNvPr id="2" name="Shape 2">
          <a:extLst>
            <a:ext uri="{FF2B5EF4-FFF2-40B4-BE49-F238E27FC236}">
              <a16:creationId xmlns:a16="http://schemas.microsoft.com/office/drawing/2014/main" id="{00000000-0008-0000-0000-000002000000}"/>
            </a:ext>
          </a:extLst>
        </xdr:cNvPr>
        <xdr:cNvGrpSpPr/>
      </xdr:nvGrpSpPr>
      <xdr:grpSpPr>
        <a:xfrm>
          <a:off x="2702502" y="11949545"/>
          <a:ext cx="1028700" cy="38100"/>
          <a:chOff x="4831650" y="3780000"/>
          <a:chExt cx="1028700" cy="0"/>
        </a:xfrm>
      </xdr:grpSpPr>
      <xdr:cxnSp macro="">
        <xdr:nvCxnSpPr>
          <xdr:cNvPr id="4" name="Shape 4">
            <a:extLst>
              <a:ext uri="{FF2B5EF4-FFF2-40B4-BE49-F238E27FC236}">
                <a16:creationId xmlns:a16="http://schemas.microsoft.com/office/drawing/2014/main" id="{00000000-0008-0000-0000-000004000000}"/>
              </a:ext>
            </a:extLst>
          </xdr:cNvPr>
          <xdr:cNvCxnSpPr/>
        </xdr:nvCxnSpPr>
        <xdr:spPr>
          <a:xfrm rot="10800000">
            <a:off x="4831650" y="3780000"/>
            <a:ext cx="1028700"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0</xdr:col>
      <xdr:colOff>123825</xdr:colOff>
      <xdr:row>0</xdr:row>
      <xdr:rowOff>114300</xdr:rowOff>
    </xdr:from>
    <xdr:ext cx="2286000" cy="5810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ervidor/disco%20duro/irina/CLAS-BOG.XLS" TargetMode="External"/><Relationship Id="rId1" Type="http://schemas.openxmlformats.org/officeDocument/2006/relationships/externalLinkPath" Target="/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view="pageBreakPreview" zoomScale="55" zoomScaleNormal="43" zoomScaleSheetLayoutView="55" workbookViewId="0">
      <selection activeCell="G18" sqref="G18:G19"/>
    </sheetView>
  </sheetViews>
  <sheetFormatPr baseColWidth="10" defaultColWidth="14.42578125" defaultRowHeight="15" customHeight="1" x14ac:dyDescent="0.25"/>
  <cols>
    <col min="1" max="1" width="5.7109375" style="12" customWidth="1"/>
    <col min="2" max="2" width="33.28515625" style="12" customWidth="1"/>
    <col min="3" max="3" width="12.140625" style="12" customWidth="1"/>
    <col min="4" max="4" width="22.85546875" style="12" customWidth="1"/>
    <col min="5" max="5" width="25.42578125" style="12" customWidth="1"/>
    <col min="6" max="7" width="22.85546875" style="12" customWidth="1"/>
    <col min="8" max="8" width="13" style="12" customWidth="1"/>
    <col min="9" max="11" width="13.28515625" style="12" customWidth="1"/>
    <col min="12" max="38" width="11.42578125" style="12" customWidth="1"/>
    <col min="39" max="16384" width="14.42578125" style="12"/>
  </cols>
  <sheetData>
    <row r="1" spans="1:38" ht="17.25" customHeight="1" x14ac:dyDescent="0.25">
      <c r="A1" s="72"/>
      <c r="B1" s="73"/>
      <c r="C1" s="74" t="s">
        <v>7</v>
      </c>
      <c r="D1" s="73"/>
      <c r="E1" s="73"/>
      <c r="F1" s="73"/>
      <c r="G1" s="73"/>
      <c r="H1" s="75"/>
      <c r="I1" s="76" t="s">
        <v>12</v>
      </c>
      <c r="J1" s="77"/>
      <c r="K1" s="78"/>
      <c r="L1" s="10"/>
      <c r="M1" s="10"/>
      <c r="N1" s="11"/>
      <c r="O1" s="11"/>
      <c r="P1" s="11"/>
      <c r="Q1" s="11"/>
      <c r="R1" s="11"/>
      <c r="S1" s="11"/>
      <c r="T1" s="11"/>
      <c r="U1" s="11"/>
      <c r="V1" s="11"/>
      <c r="W1" s="11"/>
      <c r="X1" s="11"/>
      <c r="Y1" s="11"/>
      <c r="Z1" s="11"/>
      <c r="AA1" s="10"/>
      <c r="AB1" s="10"/>
      <c r="AC1" s="10"/>
      <c r="AD1" s="10"/>
      <c r="AE1" s="10"/>
      <c r="AF1" s="10"/>
      <c r="AG1" s="10"/>
      <c r="AH1" s="10"/>
      <c r="AI1" s="10"/>
      <c r="AJ1" s="10"/>
      <c r="AK1" s="10"/>
      <c r="AL1" s="10"/>
    </row>
    <row r="2" spans="1:38" ht="17.25" customHeight="1" x14ac:dyDescent="0.25">
      <c r="A2" s="79"/>
      <c r="B2" s="80"/>
      <c r="C2" s="81" t="s">
        <v>13</v>
      </c>
      <c r="D2" s="80"/>
      <c r="E2" s="80"/>
      <c r="F2" s="80"/>
      <c r="G2" s="80"/>
      <c r="H2" s="82"/>
      <c r="I2" s="83" t="s">
        <v>66</v>
      </c>
      <c r="J2" s="56"/>
      <c r="K2" s="84"/>
      <c r="L2" s="10"/>
      <c r="M2" s="10"/>
      <c r="N2" s="11"/>
      <c r="O2" s="11"/>
      <c r="P2" s="11"/>
      <c r="Q2" s="11"/>
      <c r="R2" s="11"/>
      <c r="S2" s="11"/>
      <c r="T2" s="11"/>
      <c r="U2" s="11"/>
      <c r="V2" s="11"/>
      <c r="W2" s="11"/>
      <c r="X2" s="11"/>
      <c r="Y2" s="11"/>
      <c r="Z2" s="11"/>
      <c r="AA2" s="10"/>
      <c r="AB2" s="10"/>
      <c r="AC2" s="10"/>
      <c r="AD2" s="10"/>
      <c r="AE2" s="10"/>
      <c r="AF2" s="10"/>
      <c r="AG2" s="10"/>
      <c r="AH2" s="10"/>
      <c r="AI2" s="10"/>
      <c r="AJ2" s="10"/>
      <c r="AK2" s="10"/>
      <c r="AL2" s="10"/>
    </row>
    <row r="3" spans="1:38" ht="17.25" customHeight="1" x14ac:dyDescent="0.25">
      <c r="A3" s="79"/>
      <c r="B3" s="80"/>
      <c r="C3" s="79"/>
      <c r="D3" s="80"/>
      <c r="E3" s="80"/>
      <c r="F3" s="80"/>
      <c r="G3" s="80"/>
      <c r="H3" s="82"/>
      <c r="I3" s="83" t="s">
        <v>14</v>
      </c>
      <c r="J3" s="56"/>
      <c r="K3" s="84"/>
      <c r="L3" s="10"/>
      <c r="M3" s="13" t="s">
        <v>15</v>
      </c>
      <c r="N3" s="13"/>
      <c r="O3" s="13"/>
      <c r="P3" s="13"/>
      <c r="Q3" s="11"/>
      <c r="R3" s="11"/>
      <c r="S3" s="11"/>
      <c r="T3" s="11"/>
      <c r="U3" s="11"/>
      <c r="V3" s="11"/>
      <c r="W3" s="11"/>
      <c r="X3" s="11"/>
      <c r="Y3" s="11"/>
      <c r="Z3" s="11"/>
      <c r="AA3" s="10"/>
      <c r="AB3" s="10"/>
      <c r="AC3" s="10"/>
      <c r="AD3" s="10"/>
      <c r="AE3" s="10"/>
      <c r="AF3" s="10"/>
      <c r="AG3" s="10"/>
      <c r="AH3" s="10"/>
      <c r="AI3" s="10"/>
      <c r="AJ3" s="10"/>
      <c r="AK3" s="10"/>
      <c r="AL3" s="10"/>
    </row>
    <row r="4" spans="1:38" ht="17.25" customHeight="1" x14ac:dyDescent="0.25">
      <c r="A4" s="85"/>
      <c r="B4" s="86"/>
      <c r="C4" s="85"/>
      <c r="D4" s="86"/>
      <c r="E4" s="86"/>
      <c r="F4" s="86"/>
      <c r="G4" s="86"/>
      <c r="H4" s="87"/>
      <c r="I4" s="88" t="s">
        <v>67</v>
      </c>
      <c r="J4" s="86"/>
      <c r="K4" s="87"/>
      <c r="L4" s="10"/>
      <c r="M4" s="13"/>
      <c r="N4" s="13"/>
      <c r="O4" s="13"/>
      <c r="P4" s="13"/>
      <c r="Q4" s="11"/>
      <c r="R4" s="11"/>
      <c r="S4" s="11"/>
      <c r="T4" s="11"/>
      <c r="U4" s="11"/>
      <c r="V4" s="11"/>
      <c r="W4" s="11"/>
      <c r="X4" s="11"/>
      <c r="Y4" s="11"/>
      <c r="Z4" s="11"/>
      <c r="AA4" s="10"/>
      <c r="AB4" s="10"/>
      <c r="AC4" s="10"/>
      <c r="AD4" s="10"/>
      <c r="AE4" s="10"/>
      <c r="AF4" s="10"/>
      <c r="AG4" s="10"/>
      <c r="AH4" s="10"/>
      <c r="AI4" s="10"/>
      <c r="AJ4" s="10"/>
      <c r="AK4" s="10"/>
      <c r="AL4" s="10"/>
    </row>
    <row r="5" spans="1:38" ht="3.75" customHeight="1" x14ac:dyDescent="0.25">
      <c r="A5" s="89"/>
      <c r="B5" s="90"/>
      <c r="C5" s="80"/>
      <c r="D5" s="80"/>
      <c r="E5" s="80"/>
      <c r="F5" s="80"/>
      <c r="G5" s="80"/>
      <c r="H5" s="80"/>
      <c r="I5" s="80"/>
      <c r="J5" s="80"/>
      <c r="K5" s="91"/>
      <c r="L5" s="10"/>
      <c r="M5" s="10"/>
      <c r="N5" s="13"/>
      <c r="O5" s="13"/>
      <c r="P5" s="13"/>
      <c r="Q5" s="13"/>
      <c r="R5" s="11"/>
      <c r="S5" s="11"/>
      <c r="T5" s="11"/>
      <c r="U5" s="11"/>
      <c r="V5" s="11"/>
      <c r="W5" s="11"/>
      <c r="X5" s="11"/>
      <c r="Y5" s="11"/>
      <c r="Z5" s="11"/>
      <c r="AA5" s="11"/>
      <c r="AB5" s="10"/>
      <c r="AC5" s="10"/>
      <c r="AD5" s="10"/>
      <c r="AE5" s="10"/>
      <c r="AF5" s="10"/>
      <c r="AG5" s="10"/>
      <c r="AH5" s="10"/>
      <c r="AI5" s="10"/>
      <c r="AJ5" s="10"/>
      <c r="AK5" s="10"/>
      <c r="AL5" s="10"/>
    </row>
    <row r="6" spans="1:38" ht="22.5" customHeight="1" x14ac:dyDescent="0.25">
      <c r="A6" s="92"/>
      <c r="B6" s="93" t="s">
        <v>16</v>
      </c>
      <c r="C6" s="61"/>
      <c r="D6" s="62"/>
      <c r="E6" s="62"/>
      <c r="F6" s="63"/>
      <c r="G6" s="94" t="s">
        <v>17</v>
      </c>
      <c r="H6" s="95"/>
      <c r="I6" s="64"/>
      <c r="J6" s="62"/>
      <c r="K6" s="65"/>
      <c r="L6" s="10"/>
      <c r="M6" s="10"/>
      <c r="N6" s="14" t="s">
        <v>18</v>
      </c>
      <c r="O6" s="11"/>
      <c r="P6" s="11"/>
      <c r="Q6" s="11"/>
      <c r="R6" s="11"/>
      <c r="S6" s="11"/>
      <c r="T6" s="11"/>
      <c r="U6" s="11"/>
      <c r="V6" s="11"/>
      <c r="W6" s="11"/>
      <c r="X6" s="11"/>
      <c r="Y6" s="11"/>
      <c r="Z6" s="11"/>
      <c r="AA6" s="11"/>
      <c r="AB6" s="10"/>
      <c r="AC6" s="10"/>
      <c r="AD6" s="10"/>
      <c r="AE6" s="10"/>
      <c r="AF6" s="10"/>
      <c r="AG6" s="10"/>
      <c r="AH6" s="10"/>
      <c r="AI6" s="10"/>
      <c r="AJ6" s="10"/>
      <c r="AK6" s="10"/>
      <c r="AL6" s="10"/>
    </row>
    <row r="7" spans="1:38" ht="22.5" customHeight="1" x14ac:dyDescent="0.25">
      <c r="A7" s="89"/>
      <c r="B7" s="96" t="s">
        <v>19</v>
      </c>
      <c r="C7" s="58"/>
      <c r="D7" s="53"/>
      <c r="E7" s="53"/>
      <c r="F7" s="59"/>
      <c r="G7" s="97" t="s">
        <v>20</v>
      </c>
      <c r="H7" s="98"/>
      <c r="I7" s="60"/>
      <c r="J7" s="53"/>
      <c r="K7" s="54"/>
      <c r="L7" s="10"/>
      <c r="M7" s="10"/>
      <c r="N7" s="14" t="s">
        <v>21</v>
      </c>
      <c r="O7" s="11"/>
      <c r="P7" s="11"/>
      <c r="Q7" s="11"/>
      <c r="R7" s="11"/>
      <c r="S7" s="11"/>
      <c r="T7" s="11"/>
      <c r="U7" s="11"/>
      <c r="V7" s="11"/>
      <c r="W7" s="11"/>
      <c r="X7" s="11"/>
      <c r="Y7" s="11"/>
      <c r="Z7" s="11"/>
      <c r="AA7" s="11"/>
      <c r="AB7" s="10"/>
      <c r="AC7" s="10"/>
      <c r="AD7" s="10"/>
      <c r="AE7" s="10"/>
      <c r="AF7" s="10"/>
      <c r="AG7" s="10"/>
      <c r="AH7" s="10"/>
      <c r="AI7" s="10"/>
      <c r="AJ7" s="10"/>
      <c r="AK7" s="10"/>
      <c r="AL7" s="10"/>
    </row>
    <row r="8" spans="1:38" ht="22.5" customHeight="1" thickBot="1" x14ac:dyDescent="0.3">
      <c r="A8" s="89"/>
      <c r="B8" s="96" t="s">
        <v>22</v>
      </c>
      <c r="C8" s="58"/>
      <c r="D8" s="53"/>
      <c r="E8" s="53"/>
      <c r="F8" s="59"/>
      <c r="G8" s="97" t="s">
        <v>23</v>
      </c>
      <c r="H8" s="98"/>
      <c r="I8" s="60"/>
      <c r="J8" s="53"/>
      <c r="K8" s="54"/>
      <c r="L8" s="10"/>
      <c r="M8" s="10">
        <f>17-2.57</f>
        <v>14.43</v>
      </c>
      <c r="N8" s="14" t="s">
        <v>24</v>
      </c>
      <c r="O8" s="11"/>
      <c r="P8" s="11"/>
      <c r="Q8" s="11"/>
      <c r="R8" s="11"/>
      <c r="S8" s="11"/>
      <c r="T8" s="11"/>
      <c r="U8" s="11"/>
      <c r="V8" s="11"/>
      <c r="W8" s="11"/>
      <c r="X8" s="11"/>
      <c r="Y8" s="11"/>
      <c r="Z8" s="11"/>
      <c r="AA8" s="11"/>
      <c r="AB8" s="10"/>
      <c r="AC8" s="10"/>
      <c r="AD8" s="10"/>
      <c r="AE8" s="10"/>
      <c r="AF8" s="10"/>
      <c r="AG8" s="10"/>
      <c r="AH8" s="10"/>
      <c r="AI8" s="10"/>
      <c r="AJ8" s="10"/>
      <c r="AK8" s="10"/>
      <c r="AL8" s="10"/>
    </row>
    <row r="9" spans="1:38" ht="22.5" customHeight="1" x14ac:dyDescent="0.25">
      <c r="A9" s="89"/>
      <c r="B9" s="96" t="s">
        <v>25</v>
      </c>
      <c r="C9" s="58"/>
      <c r="D9" s="53"/>
      <c r="E9" s="53"/>
      <c r="F9" s="59"/>
      <c r="G9" s="97" t="s">
        <v>26</v>
      </c>
      <c r="H9" s="98"/>
      <c r="I9" s="99" t="s">
        <v>27</v>
      </c>
      <c r="J9" s="15"/>
      <c r="K9" s="16"/>
      <c r="L9" s="10"/>
      <c r="M9" s="10"/>
      <c r="N9" s="14" t="s">
        <v>28</v>
      </c>
      <c r="O9" s="11"/>
      <c r="P9" s="11"/>
      <c r="Q9" s="11"/>
      <c r="R9" s="11"/>
      <c r="S9" s="11"/>
      <c r="T9" s="11"/>
      <c r="U9" s="11"/>
      <c r="V9" s="11"/>
      <c r="W9" s="11"/>
      <c r="X9" s="11"/>
      <c r="Y9" s="11"/>
      <c r="Z9" s="11"/>
      <c r="AA9" s="11"/>
      <c r="AB9" s="10"/>
      <c r="AC9" s="10"/>
      <c r="AD9" s="10"/>
      <c r="AE9" s="10"/>
      <c r="AF9" s="10"/>
      <c r="AG9" s="10"/>
      <c r="AH9" s="10"/>
      <c r="AI9" s="10"/>
      <c r="AJ9" s="10"/>
      <c r="AK9" s="10"/>
      <c r="AL9" s="10"/>
    </row>
    <row r="10" spans="1:38" ht="22.5" customHeight="1" x14ac:dyDescent="0.25">
      <c r="A10" s="89"/>
      <c r="B10" s="100" t="s">
        <v>29</v>
      </c>
      <c r="C10" s="58"/>
      <c r="D10" s="53"/>
      <c r="E10" s="53"/>
      <c r="F10" s="59"/>
      <c r="G10" s="101" t="s">
        <v>30</v>
      </c>
      <c r="H10" s="102"/>
      <c r="I10" s="55" t="str">
        <f>CONCATENATE(J9,," ",K9,"-",A43,D12,"-",B49,"-",F12)</f>
        <v xml:space="preserve"> ---</v>
      </c>
      <c r="J10" s="56"/>
      <c r="K10" s="57"/>
      <c r="L10" s="10"/>
      <c r="M10" s="10"/>
      <c r="N10" s="14" t="s">
        <v>31</v>
      </c>
      <c r="O10" s="11"/>
      <c r="P10" s="11"/>
      <c r="Q10" s="11"/>
      <c r="R10" s="11"/>
      <c r="S10" s="11"/>
      <c r="T10" s="11"/>
      <c r="U10" s="11"/>
      <c r="V10" s="11"/>
      <c r="W10" s="11"/>
      <c r="X10" s="11"/>
      <c r="Y10" s="11"/>
      <c r="Z10" s="11"/>
      <c r="AA10" s="11"/>
      <c r="AB10" s="10"/>
      <c r="AC10" s="10"/>
      <c r="AD10" s="10"/>
      <c r="AE10" s="10"/>
      <c r="AF10" s="10"/>
      <c r="AG10" s="10"/>
      <c r="AH10" s="10"/>
      <c r="AI10" s="10"/>
      <c r="AJ10" s="10"/>
      <c r="AK10" s="10"/>
      <c r="AL10" s="10"/>
    </row>
    <row r="11" spans="1:38" ht="3.75" customHeight="1" x14ac:dyDescent="0.25">
      <c r="A11" s="103"/>
      <c r="B11" s="104"/>
      <c r="C11" s="105"/>
      <c r="D11" s="105"/>
      <c r="E11" s="105"/>
      <c r="F11" s="105"/>
      <c r="G11" s="105"/>
      <c r="H11" s="105"/>
      <c r="I11" s="105"/>
      <c r="J11" s="106"/>
      <c r="K11" s="107"/>
      <c r="L11" s="10"/>
      <c r="M11" s="10"/>
      <c r="N11" s="14"/>
      <c r="O11" s="11"/>
      <c r="P11" s="11"/>
      <c r="Q11" s="11"/>
      <c r="R11" s="11"/>
      <c r="S11" s="11"/>
      <c r="T11" s="11"/>
      <c r="U11" s="11"/>
      <c r="V11" s="11"/>
      <c r="W11" s="11"/>
      <c r="X11" s="11"/>
      <c r="Y11" s="11"/>
      <c r="Z11" s="11"/>
      <c r="AA11" s="11"/>
      <c r="AB11" s="10"/>
      <c r="AC11" s="10"/>
      <c r="AD11" s="10"/>
      <c r="AE11" s="10"/>
      <c r="AF11" s="10"/>
      <c r="AG11" s="10"/>
      <c r="AH11" s="10"/>
      <c r="AI11" s="10"/>
      <c r="AJ11" s="10"/>
      <c r="AK11" s="10"/>
      <c r="AL11" s="10"/>
    </row>
    <row r="12" spans="1:38" ht="22.5" customHeight="1" x14ac:dyDescent="0.25">
      <c r="A12" s="92"/>
      <c r="B12" s="93" t="s">
        <v>32</v>
      </c>
      <c r="C12" s="17"/>
      <c r="D12" s="18"/>
      <c r="E12" s="108" t="s">
        <v>33</v>
      </c>
      <c r="F12" s="19"/>
      <c r="G12" s="109" t="s">
        <v>34</v>
      </c>
      <c r="H12" s="95"/>
      <c r="I12" s="20"/>
      <c r="J12" s="110" t="s">
        <v>35</v>
      </c>
      <c r="K12" s="21"/>
      <c r="L12" s="10"/>
      <c r="M12" s="10"/>
      <c r="N12" s="14"/>
      <c r="O12" s="11"/>
      <c r="P12" s="11"/>
      <c r="Q12" s="11"/>
      <c r="R12" s="11"/>
      <c r="S12" s="11"/>
      <c r="T12" s="11"/>
      <c r="U12" s="11"/>
      <c r="V12" s="11"/>
      <c r="W12" s="11"/>
      <c r="X12" s="11"/>
      <c r="Y12" s="11"/>
      <c r="Z12" s="11"/>
      <c r="AA12" s="11"/>
      <c r="AB12" s="10"/>
      <c r="AC12" s="10"/>
      <c r="AD12" s="10"/>
      <c r="AE12" s="10"/>
      <c r="AF12" s="10"/>
      <c r="AG12" s="10"/>
      <c r="AH12" s="10"/>
      <c r="AI12" s="10"/>
      <c r="AJ12" s="10"/>
      <c r="AK12" s="10"/>
      <c r="AL12" s="10"/>
    </row>
    <row r="13" spans="1:38" ht="22.5" customHeight="1" x14ac:dyDescent="0.25">
      <c r="A13" s="89"/>
      <c r="B13" s="96" t="s">
        <v>36</v>
      </c>
      <c r="C13" s="52"/>
      <c r="D13" s="53"/>
      <c r="E13" s="53"/>
      <c r="F13" s="53"/>
      <c r="G13" s="53"/>
      <c r="H13" s="53"/>
      <c r="I13" s="53"/>
      <c r="J13" s="53"/>
      <c r="K13" s="54"/>
      <c r="L13" s="10"/>
      <c r="M13" s="10"/>
      <c r="N13" s="14"/>
      <c r="O13" s="11"/>
      <c r="P13" s="11"/>
      <c r="Q13" s="11"/>
      <c r="R13" s="11"/>
      <c r="S13" s="11"/>
      <c r="T13" s="11"/>
      <c r="U13" s="11"/>
      <c r="V13" s="11"/>
      <c r="W13" s="11"/>
      <c r="X13" s="11"/>
      <c r="Y13" s="11"/>
      <c r="Z13" s="11"/>
      <c r="AA13" s="11"/>
      <c r="AB13" s="10"/>
      <c r="AC13" s="10"/>
      <c r="AD13" s="10"/>
      <c r="AE13" s="10"/>
      <c r="AF13" s="10"/>
      <c r="AG13" s="10"/>
      <c r="AH13" s="10"/>
      <c r="AI13" s="10"/>
      <c r="AJ13" s="10"/>
      <c r="AK13" s="10"/>
      <c r="AL13" s="10"/>
    </row>
    <row r="14" spans="1:38" ht="6.75" customHeight="1" x14ac:dyDescent="0.25">
      <c r="A14" s="103"/>
      <c r="B14" s="111"/>
      <c r="C14" s="112"/>
      <c r="D14" s="112"/>
      <c r="E14" s="112"/>
      <c r="F14" s="112"/>
      <c r="G14" s="112"/>
      <c r="H14" s="112"/>
      <c r="I14" s="112"/>
      <c r="J14" s="112"/>
      <c r="K14" s="113"/>
      <c r="L14" s="10"/>
      <c r="M14" s="10"/>
      <c r="N14" s="10"/>
      <c r="O14" s="11"/>
      <c r="P14" s="11"/>
      <c r="Q14" s="11"/>
      <c r="R14" s="11"/>
      <c r="S14" s="11"/>
      <c r="T14" s="11"/>
      <c r="U14" s="11"/>
      <c r="V14" s="11"/>
      <c r="W14" s="11"/>
      <c r="X14" s="11"/>
      <c r="Y14" s="11"/>
      <c r="Z14" s="11"/>
      <c r="AA14" s="11"/>
      <c r="AB14" s="10"/>
      <c r="AC14" s="10"/>
      <c r="AD14" s="10"/>
      <c r="AE14" s="10"/>
      <c r="AF14" s="10"/>
      <c r="AG14" s="10"/>
      <c r="AH14" s="10"/>
      <c r="AI14" s="10"/>
      <c r="AJ14" s="10"/>
      <c r="AK14" s="10"/>
      <c r="AL14" s="10"/>
    </row>
    <row r="15" spans="1:38" ht="15.75" x14ac:dyDescent="0.25">
      <c r="A15" s="114"/>
      <c r="B15" s="115"/>
      <c r="C15" s="115"/>
      <c r="D15" s="115"/>
      <c r="E15" s="115"/>
      <c r="F15" s="115"/>
      <c r="G15" s="115"/>
      <c r="H15" s="115"/>
      <c r="I15" s="115"/>
      <c r="J15" s="115"/>
      <c r="K15" s="116"/>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row>
    <row r="16" spans="1:38" ht="35.25" customHeight="1" x14ac:dyDescent="0.25">
      <c r="A16" s="117" t="s">
        <v>37</v>
      </c>
      <c r="B16" s="118"/>
      <c r="C16" s="118"/>
      <c r="D16" s="118"/>
      <c r="E16" s="118"/>
      <c r="F16" s="118"/>
      <c r="G16" s="118"/>
      <c r="H16" s="118"/>
      <c r="I16" s="118"/>
      <c r="J16" s="118"/>
      <c r="K16" s="119"/>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row>
    <row r="17" spans="1:38" ht="24.75" customHeight="1" x14ac:dyDescent="0.25">
      <c r="A17" s="114"/>
      <c r="B17" s="115"/>
      <c r="C17" s="115"/>
      <c r="D17" s="115"/>
      <c r="E17" s="115"/>
      <c r="F17" s="115"/>
      <c r="G17" s="115"/>
      <c r="H17" s="115"/>
      <c r="I17" s="115"/>
      <c r="J17" s="115"/>
      <c r="K17" s="116"/>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row>
    <row r="18" spans="1:38" ht="24.75" customHeight="1" x14ac:dyDescent="0.25">
      <c r="A18" s="114"/>
      <c r="B18" s="115"/>
      <c r="C18" s="115"/>
      <c r="D18" s="120" t="s">
        <v>38</v>
      </c>
      <c r="E18" s="120" t="s">
        <v>39</v>
      </c>
      <c r="F18" s="120" t="s">
        <v>40</v>
      </c>
      <c r="G18" s="120" t="s">
        <v>41</v>
      </c>
      <c r="H18" s="115"/>
      <c r="I18" s="115"/>
      <c r="J18" s="115"/>
      <c r="K18" s="116"/>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row>
    <row r="19" spans="1:38" ht="24.75" customHeight="1" x14ac:dyDescent="0.25">
      <c r="A19" s="114"/>
      <c r="B19" s="115"/>
      <c r="C19" s="115"/>
      <c r="D19" s="121"/>
      <c r="E19" s="121"/>
      <c r="F19" s="121"/>
      <c r="G19" s="121"/>
      <c r="H19" s="115"/>
      <c r="I19" s="115"/>
      <c r="J19" s="115"/>
      <c r="K19" s="116"/>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row>
    <row r="20" spans="1:38" ht="24.75" customHeight="1" x14ac:dyDescent="0.25">
      <c r="A20" s="114"/>
      <c r="B20" s="115"/>
      <c r="C20" s="115"/>
      <c r="D20" s="46">
        <v>0</v>
      </c>
      <c r="E20" s="48"/>
      <c r="F20" s="48"/>
      <c r="G20" s="50"/>
      <c r="H20" s="115"/>
      <c r="I20" s="115"/>
      <c r="J20" s="115"/>
      <c r="K20" s="116"/>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row>
    <row r="21" spans="1:38" ht="24.75" customHeight="1" x14ac:dyDescent="0.25">
      <c r="A21" s="114"/>
      <c r="B21" s="115"/>
      <c r="C21" s="115"/>
      <c r="D21" s="47"/>
      <c r="E21" s="49"/>
      <c r="F21" s="49"/>
      <c r="G21" s="51"/>
      <c r="H21" s="115"/>
      <c r="I21" s="115"/>
      <c r="J21" s="115"/>
      <c r="K21" s="116"/>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row>
    <row r="22" spans="1:38" ht="15" customHeight="1" x14ac:dyDescent="0.25">
      <c r="A22" s="114"/>
      <c r="B22" s="115"/>
      <c r="C22" s="115"/>
      <c r="D22" s="115"/>
      <c r="E22" s="115"/>
      <c r="F22" s="115"/>
      <c r="G22" s="115"/>
      <c r="H22" s="115"/>
      <c r="I22" s="115"/>
      <c r="J22" s="115"/>
      <c r="K22" s="116"/>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row>
    <row r="23" spans="1:38" ht="32.25" customHeight="1" x14ac:dyDescent="0.25">
      <c r="A23" s="114"/>
      <c r="B23" s="115"/>
      <c r="C23" s="115"/>
      <c r="D23" s="122" t="s">
        <v>42</v>
      </c>
      <c r="E23" s="123"/>
      <c r="F23" s="123"/>
      <c r="G23" s="124"/>
      <c r="H23" s="115"/>
      <c r="I23" s="115"/>
      <c r="J23" s="115"/>
      <c r="K23" s="116"/>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row>
    <row r="24" spans="1:38" ht="24.75" customHeight="1" x14ac:dyDescent="0.3">
      <c r="A24" s="114"/>
      <c r="B24" s="115"/>
      <c r="C24" s="115"/>
      <c r="D24" s="125" t="s">
        <v>43</v>
      </c>
      <c r="E24" s="126"/>
      <c r="F24" s="127" t="s">
        <v>44</v>
      </c>
      <c r="G24" s="39" t="e">
        <f>E20/(-(G20-D20)+F20-((F20-E20)/(L24)))</f>
        <v>#DIV/0!</v>
      </c>
      <c r="H24" s="115"/>
      <c r="I24" s="115"/>
      <c r="J24" s="115"/>
      <c r="K24" s="116"/>
      <c r="L24" s="22">
        <v>0.86</v>
      </c>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row>
    <row r="25" spans="1:38" ht="24.75" customHeight="1" x14ac:dyDescent="0.3">
      <c r="A25" s="114"/>
      <c r="B25" s="115"/>
      <c r="C25" s="115"/>
      <c r="D25" s="128" t="s">
        <v>45</v>
      </c>
      <c r="E25" s="129"/>
      <c r="F25" s="130" t="s">
        <v>44</v>
      </c>
      <c r="G25" s="40" t="e">
        <f>G24/(1+(G28/100))</f>
        <v>#DIV/0!</v>
      </c>
      <c r="H25" s="115"/>
      <c r="I25" s="115"/>
      <c r="J25" s="115"/>
      <c r="K25" s="116"/>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row>
    <row r="26" spans="1:38" ht="24.75" customHeight="1" x14ac:dyDescent="0.3">
      <c r="A26" s="114"/>
      <c r="B26" s="115"/>
      <c r="C26" s="115"/>
      <c r="D26" s="128" t="s">
        <v>43</v>
      </c>
      <c r="E26" s="129"/>
      <c r="F26" s="130" t="s">
        <v>46</v>
      </c>
      <c r="G26" s="41" t="e">
        <f t="shared" ref="G26:G27" si="0">G24*10</f>
        <v>#DIV/0!</v>
      </c>
      <c r="H26" s="115"/>
      <c r="I26" s="115"/>
      <c r="J26" s="115"/>
      <c r="K26" s="116"/>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row>
    <row r="27" spans="1:38" ht="24.75" customHeight="1" x14ac:dyDescent="0.3">
      <c r="A27" s="114"/>
      <c r="B27" s="115"/>
      <c r="C27" s="115"/>
      <c r="D27" s="128" t="s">
        <v>45</v>
      </c>
      <c r="E27" s="129"/>
      <c r="F27" s="130" t="s">
        <v>46</v>
      </c>
      <c r="G27" s="41" t="e">
        <f t="shared" si="0"/>
        <v>#DIV/0!</v>
      </c>
      <c r="H27" s="115"/>
      <c r="I27" s="115"/>
      <c r="J27" s="115"/>
      <c r="K27" s="116"/>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row>
    <row r="28" spans="1:38" ht="24.75" customHeight="1" x14ac:dyDescent="0.3">
      <c r="A28" s="114"/>
      <c r="B28" s="115"/>
      <c r="C28" s="115"/>
      <c r="D28" s="131" t="s">
        <v>47</v>
      </c>
      <c r="E28" s="132"/>
      <c r="F28" s="133" t="s">
        <v>48</v>
      </c>
      <c r="G28" s="23"/>
      <c r="H28" s="115"/>
      <c r="I28" s="115"/>
      <c r="J28" s="115"/>
      <c r="K28" s="116"/>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row>
    <row r="29" spans="1:38" ht="12.75" customHeight="1" x14ac:dyDescent="0.25">
      <c r="A29" s="114"/>
      <c r="B29" s="115"/>
      <c r="C29" s="115"/>
      <c r="D29" s="115"/>
      <c r="E29" s="115"/>
      <c r="F29" s="115"/>
      <c r="G29" s="115"/>
      <c r="H29" s="115"/>
      <c r="I29" s="115"/>
      <c r="J29" s="115"/>
      <c r="K29" s="116"/>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row>
    <row r="30" spans="1:38" ht="24.75" customHeight="1" x14ac:dyDescent="0.25">
      <c r="A30" s="114"/>
      <c r="B30" s="134" t="s">
        <v>49</v>
      </c>
      <c r="C30" s="135"/>
      <c r="D30" s="115"/>
      <c r="E30" s="115"/>
      <c r="F30" s="115"/>
      <c r="G30" s="115"/>
      <c r="H30" s="115"/>
      <c r="I30" s="115"/>
      <c r="J30" s="115"/>
      <c r="K30" s="116"/>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row>
    <row r="31" spans="1:38" ht="24.75" customHeight="1" x14ac:dyDescent="0.25">
      <c r="A31" s="114"/>
      <c r="B31" s="134" t="s">
        <v>50</v>
      </c>
      <c r="C31" s="135"/>
      <c r="D31" s="115"/>
      <c r="E31" s="136" t="s">
        <v>64</v>
      </c>
      <c r="F31" s="25"/>
      <c r="G31" s="26"/>
      <c r="H31" s="26"/>
      <c r="I31" s="26"/>
      <c r="J31" s="26"/>
      <c r="K31" s="116"/>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row>
    <row r="32" spans="1:38" ht="24.75" customHeight="1" x14ac:dyDescent="0.25">
      <c r="A32" s="114"/>
      <c r="B32" s="134" t="s">
        <v>51</v>
      </c>
      <c r="C32" s="135"/>
      <c r="D32" s="115"/>
      <c r="E32" s="115"/>
      <c r="F32" s="27"/>
      <c r="G32" s="27"/>
      <c r="H32" s="27"/>
      <c r="I32" s="27"/>
      <c r="J32" s="27"/>
      <c r="K32" s="116"/>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row>
    <row r="33" spans="1:38" ht="24.75" customHeight="1" x14ac:dyDescent="0.25">
      <c r="A33" s="114"/>
      <c r="B33" s="134" t="s">
        <v>52</v>
      </c>
      <c r="C33" s="115"/>
      <c r="D33" s="115"/>
      <c r="E33" s="115"/>
      <c r="F33" s="115"/>
      <c r="G33" s="115"/>
      <c r="H33" s="115"/>
      <c r="I33" s="115"/>
      <c r="J33" s="115"/>
      <c r="K33" s="116"/>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row>
    <row r="34" spans="1:38" ht="22.5" customHeight="1" x14ac:dyDescent="0.25">
      <c r="A34" s="137"/>
      <c r="B34" s="138"/>
      <c r="C34" s="138"/>
      <c r="D34" s="138"/>
      <c r="E34" s="138"/>
      <c r="F34" s="139" t="s">
        <v>53</v>
      </c>
      <c r="G34" s="80"/>
      <c r="H34" s="140"/>
      <c r="I34" s="139" t="s">
        <v>54</v>
      </c>
      <c r="J34" s="80"/>
      <c r="K34" s="141"/>
      <c r="L34" s="28"/>
      <c r="M34" s="28"/>
      <c r="N34" s="28"/>
      <c r="O34" s="22"/>
      <c r="P34" s="22"/>
      <c r="Q34" s="22"/>
      <c r="R34" s="22"/>
      <c r="S34" s="22"/>
      <c r="T34" s="30"/>
      <c r="U34" s="28"/>
      <c r="V34" s="28"/>
      <c r="W34" s="28"/>
      <c r="X34" s="28"/>
      <c r="Y34" s="28"/>
      <c r="Z34" s="28"/>
      <c r="AA34" s="28"/>
      <c r="AB34" s="28"/>
      <c r="AC34" s="28"/>
      <c r="AD34" s="28"/>
      <c r="AE34" s="31"/>
      <c r="AF34" s="31"/>
      <c r="AG34" s="31"/>
      <c r="AH34" s="31"/>
      <c r="AI34" s="31"/>
      <c r="AJ34" s="31"/>
      <c r="AK34" s="31"/>
      <c r="AL34" s="31"/>
    </row>
    <row r="35" spans="1:38" ht="22.5" customHeight="1" x14ac:dyDescent="0.25">
      <c r="A35" s="142" t="s">
        <v>55</v>
      </c>
      <c r="B35" s="80"/>
      <c r="C35" s="80"/>
      <c r="D35" s="80"/>
      <c r="E35" s="80"/>
      <c r="F35" s="143"/>
      <c r="G35" s="138"/>
      <c r="H35" s="143"/>
      <c r="I35" s="138"/>
      <c r="J35" s="138"/>
      <c r="K35" s="144"/>
      <c r="L35" s="28"/>
      <c r="M35" s="22"/>
      <c r="N35" s="22"/>
      <c r="O35" s="22"/>
      <c r="P35" s="22"/>
      <c r="Q35" s="22"/>
      <c r="R35" s="22"/>
      <c r="S35" s="22"/>
      <c r="T35" s="30"/>
      <c r="U35" s="28"/>
      <c r="V35" s="28"/>
      <c r="W35" s="28"/>
      <c r="X35" s="28"/>
      <c r="Y35" s="28"/>
      <c r="Z35" s="28"/>
      <c r="AA35" s="28"/>
      <c r="AB35" s="24"/>
      <c r="AC35" s="28"/>
      <c r="AD35" s="28"/>
      <c r="AE35" s="32"/>
      <c r="AF35" s="32"/>
      <c r="AG35" s="32"/>
      <c r="AH35" s="32"/>
      <c r="AI35" s="32"/>
      <c r="AJ35" s="32"/>
      <c r="AK35" s="32"/>
      <c r="AL35" s="32"/>
    </row>
    <row r="36" spans="1:38" ht="22.5" customHeight="1" x14ac:dyDescent="0.25">
      <c r="A36" s="145" t="s">
        <v>56</v>
      </c>
      <c r="B36" s="80"/>
      <c r="C36" s="80"/>
      <c r="D36" s="80"/>
      <c r="E36" s="80"/>
      <c r="F36" s="140"/>
      <c r="G36" s="146"/>
      <c r="H36" s="140"/>
      <c r="I36" s="146"/>
      <c r="J36" s="138"/>
      <c r="K36" s="144"/>
      <c r="L36" s="28"/>
      <c r="M36" s="22"/>
      <c r="N36" s="22"/>
      <c r="O36" s="22"/>
      <c r="P36" s="22"/>
      <c r="Q36" s="22"/>
      <c r="R36" s="22"/>
      <c r="S36" s="22"/>
      <c r="T36" s="28"/>
      <c r="U36" s="29"/>
      <c r="V36" s="67"/>
      <c r="W36" s="45"/>
      <c r="X36" s="45"/>
      <c r="Y36" s="28"/>
      <c r="Z36" s="28"/>
      <c r="AA36" s="28"/>
      <c r="AB36" s="24"/>
      <c r="AC36" s="24"/>
      <c r="AD36" s="32"/>
      <c r="AE36" s="32"/>
      <c r="AF36" s="32"/>
      <c r="AG36" s="32"/>
      <c r="AH36" s="32"/>
      <c r="AI36" s="32"/>
      <c r="AJ36" s="32"/>
      <c r="AK36" s="32"/>
      <c r="AL36" s="32"/>
    </row>
    <row r="37" spans="1:38" ht="22.5" customHeight="1" x14ac:dyDescent="0.25">
      <c r="A37" s="147"/>
      <c r="B37" s="80"/>
      <c r="C37" s="80"/>
      <c r="D37" s="80"/>
      <c r="E37" s="80"/>
      <c r="F37" s="148"/>
      <c r="G37" s="138"/>
      <c r="H37" s="148"/>
      <c r="I37" s="138"/>
      <c r="J37" s="138"/>
      <c r="K37" s="144"/>
      <c r="L37" s="28"/>
      <c r="M37" s="67"/>
      <c r="N37" s="45"/>
      <c r="O37" s="45"/>
      <c r="P37" s="33"/>
      <c r="Q37" s="28"/>
      <c r="R37" s="28" t="s">
        <v>57</v>
      </c>
      <c r="S37" s="28"/>
      <c r="T37" s="28"/>
      <c r="U37" s="28"/>
      <c r="V37" s="68"/>
      <c r="W37" s="45"/>
      <c r="X37" s="45"/>
      <c r="Y37" s="28"/>
      <c r="Z37" s="28"/>
      <c r="AA37" s="28"/>
      <c r="AB37" s="28"/>
      <c r="AC37" s="28"/>
      <c r="AD37" s="28"/>
      <c r="AE37" s="32"/>
      <c r="AF37" s="32"/>
      <c r="AG37" s="32"/>
      <c r="AH37" s="32"/>
      <c r="AI37" s="32"/>
      <c r="AJ37" s="32"/>
      <c r="AK37" s="32"/>
      <c r="AL37" s="32"/>
    </row>
    <row r="38" spans="1:38" ht="22.5" customHeight="1" x14ac:dyDescent="0.25">
      <c r="A38" s="147"/>
      <c r="B38" s="80"/>
      <c r="C38" s="80"/>
      <c r="D38" s="80"/>
      <c r="E38" s="80"/>
      <c r="F38" s="148"/>
      <c r="G38" s="138"/>
      <c r="H38" s="148"/>
      <c r="I38" s="138"/>
      <c r="J38" s="138"/>
      <c r="K38" s="144"/>
      <c r="L38" s="28"/>
      <c r="M38" s="28"/>
      <c r="N38" s="28"/>
      <c r="O38" s="28"/>
      <c r="P38" s="28"/>
      <c r="Q38" s="28"/>
      <c r="R38" s="28"/>
      <c r="S38" s="28"/>
      <c r="T38" s="28"/>
      <c r="U38" s="28"/>
      <c r="V38" s="28"/>
      <c r="W38" s="28"/>
      <c r="X38" s="28"/>
      <c r="Y38" s="28"/>
      <c r="Z38" s="28"/>
      <c r="AA38" s="28"/>
      <c r="AB38" s="28"/>
      <c r="AC38" s="28"/>
      <c r="AD38" s="28"/>
      <c r="AE38" s="32"/>
      <c r="AF38" s="32"/>
      <c r="AG38" s="32"/>
      <c r="AH38" s="32"/>
      <c r="AI38" s="32"/>
      <c r="AJ38" s="32"/>
      <c r="AK38" s="32"/>
      <c r="AL38" s="32"/>
    </row>
    <row r="39" spans="1:38" ht="22.5" customHeight="1" x14ac:dyDescent="0.25">
      <c r="A39" s="147"/>
      <c r="B39" s="80"/>
      <c r="C39" s="80"/>
      <c r="D39" s="80"/>
      <c r="E39" s="80"/>
      <c r="F39" s="149" t="s">
        <v>58</v>
      </c>
      <c r="G39" s="150"/>
      <c r="H39" s="138"/>
      <c r="I39" s="149"/>
      <c r="J39" s="150"/>
      <c r="K39" s="151"/>
      <c r="L39" s="69"/>
      <c r="M39" s="45"/>
      <c r="N39" s="45"/>
      <c r="O39" s="45"/>
      <c r="P39" s="45"/>
      <c r="Q39" s="45"/>
      <c r="R39" s="45"/>
      <c r="S39" s="45"/>
      <c r="T39" s="45"/>
      <c r="U39" s="45"/>
      <c r="V39" s="45"/>
      <c r="W39" s="45"/>
      <c r="X39" s="45"/>
      <c r="Y39" s="45"/>
      <c r="Z39" s="28"/>
      <c r="AA39" s="28"/>
      <c r="AB39" s="28"/>
      <c r="AC39" s="28"/>
      <c r="AD39" s="28"/>
      <c r="AE39" s="32"/>
      <c r="AF39" s="32"/>
      <c r="AG39" s="32"/>
      <c r="AH39" s="32"/>
      <c r="AI39" s="32"/>
      <c r="AJ39" s="32"/>
      <c r="AK39" s="32"/>
      <c r="AL39" s="32"/>
    </row>
    <row r="40" spans="1:38" ht="21" customHeight="1" x14ac:dyDescent="0.25">
      <c r="A40" s="147"/>
      <c r="B40" s="80"/>
      <c r="C40" s="80"/>
      <c r="D40" s="80"/>
      <c r="E40" s="80"/>
      <c r="F40" s="152" t="s">
        <v>59</v>
      </c>
      <c r="G40" s="80"/>
      <c r="H40" s="138"/>
      <c r="I40" s="152" t="s">
        <v>60</v>
      </c>
      <c r="J40" s="80"/>
      <c r="K40" s="141"/>
      <c r="L40" s="45"/>
      <c r="M40" s="45"/>
      <c r="N40" s="45"/>
      <c r="O40" s="45"/>
      <c r="P40" s="45"/>
      <c r="Q40" s="45"/>
      <c r="R40" s="45"/>
      <c r="S40" s="45"/>
      <c r="T40" s="45"/>
      <c r="U40" s="45"/>
      <c r="V40" s="45"/>
      <c r="W40" s="45"/>
      <c r="X40" s="45"/>
      <c r="Y40" s="45"/>
      <c r="Z40" s="28"/>
      <c r="AA40" s="28"/>
      <c r="AB40" s="28"/>
      <c r="AC40" s="28"/>
      <c r="AD40" s="28"/>
      <c r="AE40" s="32"/>
      <c r="AF40" s="32"/>
      <c r="AG40" s="32"/>
      <c r="AH40" s="32"/>
      <c r="AI40" s="32"/>
      <c r="AJ40" s="32"/>
      <c r="AK40" s="32"/>
      <c r="AL40" s="32"/>
    </row>
    <row r="41" spans="1:38" ht="22.5" customHeight="1" x14ac:dyDescent="0.25">
      <c r="A41" s="137"/>
      <c r="B41" s="153"/>
      <c r="C41" s="153"/>
      <c r="D41" s="153"/>
      <c r="E41" s="153"/>
      <c r="F41" s="153"/>
      <c r="G41" s="138"/>
      <c r="H41" s="138"/>
      <c r="I41" s="138"/>
      <c r="J41" s="138"/>
      <c r="K41" s="144"/>
      <c r="L41" s="28"/>
      <c r="M41" s="28"/>
      <c r="N41" s="28"/>
      <c r="O41" s="28"/>
      <c r="P41" s="28"/>
      <c r="Q41" s="28"/>
      <c r="R41" s="28"/>
      <c r="S41" s="28"/>
      <c r="T41" s="28"/>
      <c r="U41" s="28"/>
      <c r="V41" s="28"/>
      <c r="W41" s="28"/>
      <c r="X41" s="28"/>
      <c r="Y41" s="28"/>
      <c r="Z41" s="28"/>
      <c r="AA41" s="28"/>
      <c r="AB41" s="28"/>
      <c r="AC41" s="28"/>
      <c r="AD41" s="28"/>
      <c r="AE41" s="32"/>
      <c r="AF41" s="32"/>
      <c r="AG41" s="32"/>
      <c r="AH41" s="32"/>
      <c r="AI41" s="32"/>
      <c r="AJ41" s="32"/>
      <c r="AK41" s="32"/>
      <c r="AL41" s="32"/>
    </row>
    <row r="42" spans="1:38" ht="22.5" customHeight="1" thickBot="1" x14ac:dyDescent="0.3">
      <c r="A42" s="154" t="s">
        <v>61</v>
      </c>
      <c r="B42" s="155"/>
      <c r="C42" s="155"/>
      <c r="D42" s="155"/>
      <c r="E42" s="155"/>
      <c r="F42" s="155"/>
      <c r="G42" s="155"/>
      <c r="H42" s="155"/>
      <c r="I42" s="155"/>
      <c r="J42" s="155"/>
      <c r="K42" s="156"/>
      <c r="L42" s="66"/>
      <c r="M42" s="45"/>
      <c r="N42" s="45"/>
      <c r="O42" s="45"/>
      <c r="P42" s="45"/>
      <c r="Q42" s="45"/>
      <c r="R42" s="45"/>
      <c r="S42" s="45"/>
      <c r="T42" s="45"/>
      <c r="U42" s="45"/>
      <c r="V42" s="45"/>
      <c r="W42" s="45"/>
      <c r="X42" s="45"/>
      <c r="Y42" s="45"/>
      <c r="Z42" s="28"/>
      <c r="AA42" s="28"/>
      <c r="AB42" s="28"/>
      <c r="AC42" s="28"/>
      <c r="AD42" s="28"/>
      <c r="AE42" s="32"/>
      <c r="AF42" s="32"/>
      <c r="AG42" s="32"/>
      <c r="AH42" s="32"/>
      <c r="AI42" s="32"/>
      <c r="AJ42" s="32"/>
      <c r="AK42" s="32"/>
      <c r="AL42" s="32"/>
    </row>
    <row r="43" spans="1:38" ht="15.75" customHeight="1" thickBot="1" x14ac:dyDescent="0.3">
      <c r="A43" s="42"/>
      <c r="B43" s="43" t="s">
        <v>65</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row>
    <row r="44" spans="1:38" ht="40.5" customHeight="1" thickBot="1" x14ac:dyDescent="0.3">
      <c r="A44" s="28"/>
      <c r="B44" s="34"/>
      <c r="C44" s="44" t="s">
        <v>62</v>
      </c>
      <c r="D44" s="45"/>
      <c r="E44" s="34"/>
      <c r="F44" s="35" t="s">
        <v>63</v>
      </c>
      <c r="G44" s="28"/>
      <c r="H44" s="36"/>
      <c r="I44" s="36"/>
      <c r="J44" s="36"/>
      <c r="K44" s="28"/>
      <c r="L44" s="28"/>
      <c r="M44" s="28"/>
      <c r="N44" s="28"/>
      <c r="O44" s="28"/>
      <c r="P44" s="28"/>
      <c r="Q44" s="28"/>
      <c r="R44" s="28"/>
      <c r="S44" s="28"/>
      <c r="T44" s="28"/>
      <c r="U44" s="37"/>
      <c r="V44" s="36"/>
      <c r="W44" s="36"/>
      <c r="X44" s="36"/>
      <c r="Y44" s="28"/>
      <c r="Z44" s="28"/>
      <c r="AA44" s="28"/>
      <c r="AB44" s="28"/>
      <c r="AC44" s="28"/>
      <c r="AD44" s="28"/>
      <c r="AE44" s="32"/>
      <c r="AF44" s="32"/>
      <c r="AG44" s="32"/>
      <c r="AH44" s="32"/>
      <c r="AI44" s="32"/>
      <c r="AJ44" s="32"/>
      <c r="AK44" s="32"/>
      <c r="AL44" s="32"/>
    </row>
    <row r="45" spans="1:38" ht="15.75" customHeight="1" x14ac:dyDescent="0.25">
      <c r="A45" s="22"/>
      <c r="B45" s="22"/>
      <c r="C45" s="45"/>
      <c r="D45" s="45"/>
      <c r="E45" s="38"/>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row>
    <row r="46" spans="1:38" ht="15.75" customHeight="1" x14ac:dyDescent="0.25">
      <c r="A46" s="22"/>
      <c r="B46" s="22"/>
      <c r="C46" s="45"/>
      <c r="D46" s="45"/>
      <c r="E46" s="38"/>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1:38" ht="15.75" customHeight="1" x14ac:dyDescent="0.25">
      <c r="A47" s="22"/>
      <c r="B47" s="22"/>
      <c r="C47" s="45"/>
      <c r="D47" s="45"/>
      <c r="E47" s="38"/>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row>
    <row r="48" spans="1:38" ht="15.75" customHeight="1" x14ac:dyDescent="0.25">
      <c r="A48" s="22"/>
      <c r="B48" s="22"/>
      <c r="C48" s="45"/>
      <c r="D48" s="45"/>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row>
    <row r="49" spans="1:38" ht="15.75" customHeight="1" x14ac:dyDescent="0.25">
      <c r="A49" s="22"/>
      <c r="B49" s="22"/>
      <c r="C49" s="45"/>
      <c r="D49" s="45"/>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row>
    <row r="50" spans="1:38"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row>
    <row r="51" spans="1:38"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row>
    <row r="52" spans="1:38"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row>
    <row r="53" spans="1:38"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row>
    <row r="54" spans="1:38"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row>
    <row r="55" spans="1:38"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row>
    <row r="56" spans="1:38"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row>
    <row r="57" spans="1:38"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row>
    <row r="58" spans="1:38"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row>
    <row r="59" spans="1:38"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row>
    <row r="60" spans="1:38"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row>
    <row r="61" spans="1:38"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row>
    <row r="62" spans="1:38"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row>
    <row r="63" spans="1:38"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row>
    <row r="64" spans="1:38"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row>
    <row r="65" spans="1:38"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row>
    <row r="66" spans="1:38"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row>
    <row r="67" spans="1:38"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row>
    <row r="68" spans="1:38"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row>
    <row r="69" spans="1:38"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row>
    <row r="70" spans="1:38"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row>
    <row r="71" spans="1:38"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row>
    <row r="72" spans="1:38"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row>
    <row r="73" spans="1:38"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row>
    <row r="74" spans="1:38"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row>
    <row r="75" spans="1:38"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row>
    <row r="76" spans="1:38"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row>
    <row r="77" spans="1:38"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row>
    <row r="78" spans="1:38"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row>
    <row r="79" spans="1:38"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row>
    <row r="80" spans="1:38"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row>
    <row r="81" spans="1:38"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row>
    <row r="82" spans="1:38"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row>
    <row r="83" spans="1:38"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row>
    <row r="84" spans="1:38"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row>
    <row r="85" spans="1:38"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row>
    <row r="86" spans="1:38"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row>
    <row r="87" spans="1:38"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row>
    <row r="88" spans="1:38"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row>
    <row r="89" spans="1:38"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row>
    <row r="90" spans="1:38"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row>
    <row r="91" spans="1:38"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row>
    <row r="92" spans="1:38"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row>
    <row r="93" spans="1:38"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row>
    <row r="94" spans="1:38"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row>
    <row r="95" spans="1:38"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row>
    <row r="96" spans="1:38"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row>
    <row r="97" spans="1:38"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row>
    <row r="98" spans="1:38"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row>
    <row r="99" spans="1:38"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row>
    <row r="100" spans="1:38"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row>
    <row r="101" spans="1:38"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row>
    <row r="102" spans="1:38"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row>
    <row r="103" spans="1:38"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row>
    <row r="104" spans="1:38"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row>
    <row r="105" spans="1:38"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row>
    <row r="106" spans="1:38"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row>
    <row r="107" spans="1:38"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row>
    <row r="108" spans="1:38"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row>
    <row r="109" spans="1:38"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row>
    <row r="110" spans="1:38"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row>
    <row r="111" spans="1:38"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row>
    <row r="112" spans="1:38"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row>
    <row r="113" spans="1:38"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row>
    <row r="114" spans="1:38"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row>
    <row r="115" spans="1:38"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row>
    <row r="116" spans="1:38"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row>
    <row r="117" spans="1:38"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row>
    <row r="118" spans="1:38"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row>
    <row r="119" spans="1:38"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row>
    <row r="120" spans="1:38"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row>
    <row r="121" spans="1:38"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row>
    <row r="122" spans="1:38"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row>
    <row r="123" spans="1:38"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row>
    <row r="124" spans="1:38"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row>
    <row r="125" spans="1:38"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row>
    <row r="126" spans="1:38"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row>
    <row r="127" spans="1:38"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row>
    <row r="128" spans="1:38"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row>
    <row r="129" spans="1:38"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row>
    <row r="130" spans="1:38"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row>
    <row r="131" spans="1:38"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row>
    <row r="132" spans="1:38"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row>
    <row r="133" spans="1:38"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row>
    <row r="134" spans="1:38"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row>
    <row r="135" spans="1:38"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row>
    <row r="136" spans="1:38"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row>
    <row r="137" spans="1:38"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row>
    <row r="138" spans="1:38"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row>
    <row r="139" spans="1:38"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row>
    <row r="140" spans="1:38"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row>
    <row r="141" spans="1:38"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row>
    <row r="142" spans="1:38"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row>
    <row r="143" spans="1:38"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row>
    <row r="144" spans="1:38"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row>
    <row r="145" spans="1:38"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row>
    <row r="146" spans="1:38"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row>
    <row r="147" spans="1:38"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row>
    <row r="148" spans="1:38"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row>
    <row r="149" spans="1:38"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row>
    <row r="150" spans="1:38"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row>
    <row r="151" spans="1:38"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row>
    <row r="152" spans="1:38"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row>
    <row r="153" spans="1:38"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row>
    <row r="154" spans="1:38"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row>
    <row r="155" spans="1:38"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row>
    <row r="156" spans="1:38"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row>
    <row r="157" spans="1:38"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row>
    <row r="158" spans="1:38"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row>
    <row r="159" spans="1:38"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row>
    <row r="160" spans="1:38"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row>
    <row r="161" spans="1:38"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row>
    <row r="162" spans="1:38"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row>
    <row r="163" spans="1:38"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row>
    <row r="164" spans="1:38"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row>
    <row r="165" spans="1:38"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row>
    <row r="166" spans="1:38"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row>
    <row r="167" spans="1:38"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row>
    <row r="168" spans="1:38"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row>
    <row r="169" spans="1:38"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row>
    <row r="170" spans="1:38"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row>
    <row r="171" spans="1:38"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row>
    <row r="172" spans="1:38"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row>
    <row r="173" spans="1:38"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row>
    <row r="174" spans="1:38"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row>
    <row r="175" spans="1:38"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row>
    <row r="176" spans="1:38"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row>
    <row r="177" spans="1:38"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row>
    <row r="178" spans="1:38"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row>
    <row r="179" spans="1:38"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row>
    <row r="180" spans="1:38"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row>
    <row r="181" spans="1:38"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row>
    <row r="182" spans="1:38"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row>
    <row r="183" spans="1:38"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row>
    <row r="184" spans="1:38"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row>
    <row r="185" spans="1:38"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row>
    <row r="186" spans="1:38"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row>
    <row r="187" spans="1:38"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row>
    <row r="188" spans="1:38"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row>
    <row r="189" spans="1:38"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row>
    <row r="190" spans="1:38"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row>
    <row r="191" spans="1:38"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row>
    <row r="192" spans="1:38"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row>
    <row r="193" spans="1:38"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row>
    <row r="194" spans="1:38"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row>
    <row r="195" spans="1:38"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row>
    <row r="196" spans="1:38"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row>
    <row r="197" spans="1:38"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row>
    <row r="198" spans="1:38"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row>
    <row r="199" spans="1:38"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row>
    <row r="200" spans="1:38"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row>
    <row r="201" spans="1:38"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row>
    <row r="202" spans="1:38"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row>
    <row r="203" spans="1:38"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row>
    <row r="204" spans="1:38"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row>
    <row r="205" spans="1:38"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row>
    <row r="206" spans="1:38"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row>
    <row r="207" spans="1:38"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row>
    <row r="208" spans="1:38"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row>
    <row r="209" spans="1:38"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row>
    <row r="210" spans="1:38"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row>
    <row r="211" spans="1:38"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row>
    <row r="212" spans="1:38"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row>
    <row r="213" spans="1:38"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row>
    <row r="214" spans="1:38"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row>
    <row r="215" spans="1:38"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row>
    <row r="216" spans="1:38"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row>
    <row r="217" spans="1:38"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row>
    <row r="218" spans="1:38"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row>
    <row r="219" spans="1:38"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row>
    <row r="220" spans="1:38"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row>
    <row r="221" spans="1:38"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row>
    <row r="222" spans="1:38"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row>
    <row r="223" spans="1:38"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row>
    <row r="224" spans="1:38"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row>
    <row r="225" spans="1:38"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row>
    <row r="226" spans="1:38"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row>
    <row r="227" spans="1:38"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row>
    <row r="228" spans="1:38"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row>
    <row r="229" spans="1:38"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row>
    <row r="230" spans="1:38"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row>
    <row r="231" spans="1:38"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row>
    <row r="232" spans="1:38"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row>
    <row r="233" spans="1:38"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row>
    <row r="234" spans="1:38"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row>
    <row r="235" spans="1:38"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row>
    <row r="236" spans="1:38"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row>
    <row r="237" spans="1:38"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row>
    <row r="238" spans="1:38"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row>
    <row r="239" spans="1:38"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row>
    <row r="240" spans="1:38"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row>
    <row r="241" spans="1:38"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row>
    <row r="242" spans="1:38"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row>
    <row r="243" spans="1:38"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row>
    <row r="244" spans="1:38"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row>
    <row r="245" spans="1:38"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row>
    <row r="246" spans="1:38"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row>
    <row r="247" spans="1:38"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row>
    <row r="248" spans="1:38"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row>
    <row r="249" spans="1:38"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row>
    <row r="250" spans="1:38"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row>
    <row r="251" spans="1:38"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row>
    <row r="252" spans="1:38"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row>
    <row r="253" spans="1:38"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row>
    <row r="254" spans="1:38"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row>
    <row r="255" spans="1:38"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row>
    <row r="256" spans="1:38"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row>
    <row r="257" spans="1:38"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row>
    <row r="258" spans="1:38"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row>
    <row r="259" spans="1:38"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row>
    <row r="260" spans="1:38"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row>
    <row r="261" spans="1:38"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row>
    <row r="262" spans="1:38"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row>
    <row r="263" spans="1:38"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row>
    <row r="264" spans="1:38"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row>
    <row r="265" spans="1:38"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row>
    <row r="266" spans="1:38"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row>
    <row r="267" spans="1:38"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row>
    <row r="268" spans="1:38"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row>
    <row r="269" spans="1:38"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row>
    <row r="270" spans="1:38"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row>
    <row r="271" spans="1:38"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row>
    <row r="272" spans="1:38"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row>
    <row r="273" spans="1:38"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row>
    <row r="274" spans="1:38"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row>
    <row r="275" spans="1:38"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row>
    <row r="276" spans="1:38"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row>
    <row r="277" spans="1:38"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row>
    <row r="278" spans="1:38"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row>
    <row r="279" spans="1:38"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row>
    <row r="280" spans="1:38"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row>
    <row r="281" spans="1:38"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row>
    <row r="282" spans="1:38"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row>
    <row r="283" spans="1:38"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row>
    <row r="284" spans="1:38"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row>
    <row r="285" spans="1:38"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row>
    <row r="286" spans="1:38"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row>
    <row r="287" spans="1:38"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row>
    <row r="288" spans="1:38"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row>
    <row r="289" spans="1:38"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row>
    <row r="290" spans="1:38"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row>
    <row r="291" spans="1:38"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row>
    <row r="292" spans="1:38"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row>
    <row r="293" spans="1:38"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row>
    <row r="294" spans="1:38"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row>
    <row r="295" spans="1:38"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row>
    <row r="296" spans="1:38"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row>
    <row r="297" spans="1:38"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row>
    <row r="298" spans="1:38"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row>
    <row r="299" spans="1:38"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row>
    <row r="300" spans="1:38"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row>
    <row r="301" spans="1:38"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row>
    <row r="302" spans="1:38"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row>
    <row r="303" spans="1:38"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row>
    <row r="304" spans="1:38"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row>
    <row r="305" spans="1:38"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row>
    <row r="306" spans="1:38"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row>
    <row r="307" spans="1:38"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row>
    <row r="308" spans="1:38"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row>
    <row r="309" spans="1:38"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row>
    <row r="310" spans="1:38"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row>
    <row r="311" spans="1:38"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row>
    <row r="312" spans="1:38"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row>
    <row r="313" spans="1:38"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row>
    <row r="314" spans="1:38"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row>
    <row r="315" spans="1:38"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row>
    <row r="316" spans="1:38"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row>
    <row r="317" spans="1:38"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row>
    <row r="318" spans="1:38"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row>
    <row r="319" spans="1:38"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row>
    <row r="320" spans="1:38"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row>
    <row r="321" spans="1:38"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row>
    <row r="322" spans="1:38"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row>
    <row r="323" spans="1:38"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row>
    <row r="324" spans="1:38"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row>
    <row r="325" spans="1:38"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row>
    <row r="326" spans="1:38"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row>
    <row r="327" spans="1:38"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row>
    <row r="328" spans="1:38"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row>
    <row r="329" spans="1:38"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row>
    <row r="330" spans="1:38"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row>
    <row r="331" spans="1:38"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row>
    <row r="332" spans="1:38"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row>
    <row r="333" spans="1:38"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row>
    <row r="334" spans="1:38"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row>
    <row r="335" spans="1:38"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row>
    <row r="336" spans="1:38"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row>
    <row r="337" spans="1:38"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row>
    <row r="338" spans="1:38"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row>
    <row r="339" spans="1:38"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row>
    <row r="340" spans="1:38"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row>
    <row r="341" spans="1:38"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row>
    <row r="342" spans="1:38"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row>
    <row r="343" spans="1:38"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row>
    <row r="344" spans="1:38"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row>
    <row r="345" spans="1:38"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row>
    <row r="346" spans="1:38"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row>
    <row r="347" spans="1:38"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row>
    <row r="348" spans="1:38"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row>
    <row r="349" spans="1:38"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row>
    <row r="350" spans="1:38"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row>
    <row r="351" spans="1:38"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row>
    <row r="352" spans="1:38"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row>
    <row r="353" spans="1:38"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row>
    <row r="354" spans="1:38"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row>
    <row r="355" spans="1:38"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row>
    <row r="356" spans="1:38"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row>
    <row r="357" spans="1:38"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row>
    <row r="358" spans="1:38"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row>
    <row r="359" spans="1:38"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row>
    <row r="360" spans="1:38"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row>
    <row r="361" spans="1:38"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row>
    <row r="362" spans="1:38"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row>
    <row r="363" spans="1:38"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row>
    <row r="364" spans="1:38"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row>
    <row r="365" spans="1:38"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row>
    <row r="366" spans="1:38"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row>
    <row r="367" spans="1:38"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row>
    <row r="368" spans="1:38"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row>
    <row r="369" spans="1:38"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row>
    <row r="370" spans="1:38"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row>
    <row r="371" spans="1:38"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row>
    <row r="372" spans="1:38"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row>
    <row r="373" spans="1:38"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row>
    <row r="374" spans="1:38"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row>
    <row r="375" spans="1:38"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row>
    <row r="376" spans="1:38"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row>
    <row r="377" spans="1:38"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row>
    <row r="378" spans="1:38"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row>
    <row r="379" spans="1:38"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row>
    <row r="380" spans="1:38"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row>
    <row r="381" spans="1:38"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row>
    <row r="382" spans="1:38"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row>
    <row r="383" spans="1:38"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row>
    <row r="384" spans="1:38"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row>
    <row r="385" spans="1:38"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row>
    <row r="386" spans="1:38"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row>
    <row r="387" spans="1:38"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row>
    <row r="388" spans="1:38"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row>
    <row r="389" spans="1:38"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row>
    <row r="390" spans="1:38"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row>
    <row r="391" spans="1:38"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row>
    <row r="392" spans="1:38"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row>
    <row r="393" spans="1:38"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row>
    <row r="394" spans="1:38"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row>
    <row r="395" spans="1:38"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row>
    <row r="396" spans="1:38"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row>
    <row r="397" spans="1:38"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row>
    <row r="398" spans="1:38"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row>
    <row r="399" spans="1:38"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row>
    <row r="400" spans="1:38"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row>
    <row r="401" spans="1:38"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row>
    <row r="402" spans="1:38"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row>
    <row r="403" spans="1:38"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row>
    <row r="404" spans="1:38"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row>
    <row r="405" spans="1:38"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row>
    <row r="406" spans="1:38"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row>
    <row r="407" spans="1:38"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row>
    <row r="408" spans="1:38"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row>
    <row r="409" spans="1:38"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row>
    <row r="410" spans="1:38"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row>
    <row r="411" spans="1:38"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row>
    <row r="412" spans="1:38"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row>
    <row r="413" spans="1:38"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row>
    <row r="414" spans="1:38"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row>
    <row r="415" spans="1:38"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row>
    <row r="416" spans="1:38"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row>
    <row r="417" spans="1:38"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row>
    <row r="418" spans="1:38"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row>
    <row r="419" spans="1:38"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row>
    <row r="420" spans="1:38"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row>
    <row r="421" spans="1:38"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row>
    <row r="422" spans="1:38"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row>
    <row r="423" spans="1:38"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row>
    <row r="424" spans="1:38"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row>
    <row r="425" spans="1:38"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row>
    <row r="426" spans="1:38"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row>
    <row r="427" spans="1:38"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row>
    <row r="428" spans="1:38"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row>
    <row r="429" spans="1:38"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row>
    <row r="430" spans="1:38"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row>
    <row r="431" spans="1:38"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row>
    <row r="432" spans="1:38"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row>
    <row r="433" spans="1:38"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row>
    <row r="434" spans="1:38"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row>
    <row r="435" spans="1:38"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row>
    <row r="436" spans="1:38"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row>
    <row r="437" spans="1:38"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row>
    <row r="438" spans="1:38"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row>
    <row r="439" spans="1:38"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row>
    <row r="440" spans="1:38"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row>
    <row r="441" spans="1:38"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row>
    <row r="442" spans="1:38"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row>
    <row r="443" spans="1:38"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row>
    <row r="444" spans="1:38"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row>
    <row r="445" spans="1:38"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row>
    <row r="446" spans="1:38"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row>
    <row r="447" spans="1:38"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row>
    <row r="448" spans="1:38"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row>
    <row r="449" spans="1:38"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row>
    <row r="450" spans="1:38"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row>
    <row r="451" spans="1:38"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row>
    <row r="452" spans="1:38"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row>
    <row r="453" spans="1:38"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row>
    <row r="454" spans="1:38"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row>
    <row r="455" spans="1:38"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row>
    <row r="456" spans="1:38"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row>
    <row r="457" spans="1:38"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row>
    <row r="458" spans="1:38"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row>
    <row r="459" spans="1:38"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row>
    <row r="460" spans="1:38"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row>
    <row r="461" spans="1:38"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row>
    <row r="462" spans="1:38"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row>
    <row r="463" spans="1:38"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row>
    <row r="464" spans="1:38"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row>
    <row r="465" spans="1:38"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row>
    <row r="466" spans="1:38"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row>
    <row r="467" spans="1:38"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row>
    <row r="468" spans="1:38"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row>
    <row r="469" spans="1:38"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row>
    <row r="470" spans="1:38"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row>
    <row r="471" spans="1:38"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row>
    <row r="472" spans="1:38"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row>
    <row r="473" spans="1:38"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row>
    <row r="474" spans="1:38"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row>
    <row r="475" spans="1:38"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row>
    <row r="476" spans="1:38"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row>
    <row r="477" spans="1:38"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row>
    <row r="478" spans="1:38"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row>
    <row r="479" spans="1:38"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row>
    <row r="480" spans="1:38"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row>
    <row r="481" spans="1:38"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row>
    <row r="482" spans="1:38"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row>
    <row r="483" spans="1:38"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row>
    <row r="484" spans="1:38"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row>
    <row r="485" spans="1:38"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row>
    <row r="486" spans="1:38"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row>
    <row r="487" spans="1:38"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row>
    <row r="488" spans="1:38"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row>
    <row r="489" spans="1:38"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row>
    <row r="490" spans="1:38"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row>
    <row r="491" spans="1:38"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row>
    <row r="492" spans="1:38"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row>
    <row r="493" spans="1:38"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row>
    <row r="494" spans="1:38"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row>
    <row r="495" spans="1:38"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row>
    <row r="496" spans="1:38"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row>
    <row r="497" spans="1:38"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row>
    <row r="498" spans="1:38"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row>
    <row r="499" spans="1:38"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row>
    <row r="500" spans="1:38"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row>
    <row r="501" spans="1:38"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row>
    <row r="502" spans="1:38"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row>
    <row r="503" spans="1:38"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row>
    <row r="504" spans="1:38"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row>
    <row r="505" spans="1:38"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row>
    <row r="506" spans="1:38"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row>
    <row r="507" spans="1:38"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row>
    <row r="508" spans="1:38"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row>
    <row r="509" spans="1:38"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row>
    <row r="510" spans="1:38"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row>
    <row r="511" spans="1:38"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row>
    <row r="512" spans="1:38"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row>
    <row r="513" spans="1:38"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row>
    <row r="514" spans="1:38"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row>
    <row r="515" spans="1:38"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row>
    <row r="516" spans="1:38"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row>
    <row r="517" spans="1:38"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row>
    <row r="518" spans="1:38"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row>
    <row r="519" spans="1:38"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row>
    <row r="520" spans="1:38"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row>
    <row r="521" spans="1:38"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row>
    <row r="522" spans="1:38"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row>
    <row r="523" spans="1:38"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row>
    <row r="524" spans="1:38"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row>
    <row r="525" spans="1:38"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row>
    <row r="526" spans="1:38"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row>
    <row r="527" spans="1:38"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row>
    <row r="528" spans="1:38"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row>
    <row r="529" spans="1:38"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row>
    <row r="530" spans="1:38"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row>
    <row r="531" spans="1:38"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row>
    <row r="532" spans="1:38"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row>
    <row r="533" spans="1:38"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row>
    <row r="534" spans="1:38"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row>
    <row r="535" spans="1:38"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row>
    <row r="536" spans="1:38"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row>
    <row r="537" spans="1:38"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row>
    <row r="538" spans="1:38"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row>
    <row r="539" spans="1:38"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row>
    <row r="540" spans="1:38"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row>
    <row r="541" spans="1:38"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row>
    <row r="542" spans="1:38"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row>
    <row r="543" spans="1:38"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row>
    <row r="544" spans="1:38"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row>
    <row r="545" spans="1:38"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row>
    <row r="546" spans="1:38"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row>
    <row r="547" spans="1:38"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row>
    <row r="548" spans="1:38"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row>
    <row r="549" spans="1:38"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row>
    <row r="550" spans="1:38"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row>
    <row r="551" spans="1:38"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row>
    <row r="552" spans="1:38"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row>
    <row r="553" spans="1:38"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row>
    <row r="554" spans="1:38"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row>
    <row r="555" spans="1:38"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row>
    <row r="556" spans="1:38"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row>
    <row r="557" spans="1:38"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row>
    <row r="558" spans="1:38"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row>
    <row r="559" spans="1:38"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row>
    <row r="560" spans="1:38"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row>
    <row r="561" spans="1:38"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row>
    <row r="562" spans="1:38"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row>
    <row r="563" spans="1:38"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row>
    <row r="564" spans="1:38"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row>
    <row r="565" spans="1:38"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row>
    <row r="566" spans="1:38"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row>
    <row r="567" spans="1:38"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row>
    <row r="568" spans="1:38"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row>
    <row r="569" spans="1:38"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row>
    <row r="570" spans="1:38"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row>
    <row r="571" spans="1:38"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row>
    <row r="572" spans="1:38"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row>
    <row r="573" spans="1:38"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row>
    <row r="574" spans="1:38"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row>
    <row r="575" spans="1:38"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row>
    <row r="576" spans="1:38"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row>
    <row r="577" spans="1:38"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row>
    <row r="578" spans="1:38"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row>
    <row r="579" spans="1:38"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row>
    <row r="580" spans="1:38"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row>
    <row r="581" spans="1:38"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row>
    <row r="582" spans="1:38"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row>
    <row r="583" spans="1:38"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row>
    <row r="584" spans="1:38"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row>
    <row r="585" spans="1:38"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row>
    <row r="586" spans="1:38"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row>
    <row r="587" spans="1:38"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row>
    <row r="588" spans="1:38"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row>
    <row r="589" spans="1:38"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row>
    <row r="590" spans="1:38"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row>
    <row r="591" spans="1:38"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row>
    <row r="592" spans="1:38"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row>
    <row r="593" spans="1:38"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row>
    <row r="594" spans="1:38"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row>
    <row r="595" spans="1:38"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row>
    <row r="596" spans="1:38"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row>
    <row r="597" spans="1:38"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row>
    <row r="598" spans="1:38"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row>
    <row r="599" spans="1:38"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row>
    <row r="600" spans="1:38"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row>
    <row r="601" spans="1:38"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row>
    <row r="602" spans="1:38"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row>
    <row r="603" spans="1:38"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row>
    <row r="604" spans="1:38"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row>
    <row r="605" spans="1:38"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row>
    <row r="606" spans="1:38"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row>
    <row r="607" spans="1:38"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row>
    <row r="608" spans="1:38"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row>
    <row r="609" spans="1:38"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row>
    <row r="610" spans="1:38"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row>
    <row r="611" spans="1:38"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row>
    <row r="612" spans="1:38"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row>
    <row r="613" spans="1:38"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row>
    <row r="614" spans="1:38"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row>
    <row r="615" spans="1:38"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row>
    <row r="616" spans="1:38"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row>
    <row r="617" spans="1:38"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row>
    <row r="618" spans="1:38"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row>
    <row r="619" spans="1:38"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row>
    <row r="620" spans="1:38"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row>
    <row r="621" spans="1:38"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row>
    <row r="622" spans="1:38"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row>
    <row r="623" spans="1:38"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row>
    <row r="624" spans="1:38"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row>
    <row r="625" spans="1:38"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row>
    <row r="626" spans="1:38"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row>
    <row r="627" spans="1:38"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row>
    <row r="628" spans="1:38"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row>
    <row r="629" spans="1:38"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row>
    <row r="630" spans="1:38"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row>
    <row r="631" spans="1:38"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row>
    <row r="632" spans="1:38"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row>
    <row r="633" spans="1:38"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row>
    <row r="634" spans="1:38"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row>
    <row r="635" spans="1:38"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row>
    <row r="636" spans="1:38"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row>
    <row r="637" spans="1:38"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row>
    <row r="638" spans="1:38"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row>
    <row r="639" spans="1:38"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row>
    <row r="640" spans="1:38"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row>
    <row r="641" spans="1:38"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row>
    <row r="642" spans="1:38"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row>
    <row r="643" spans="1:38"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row>
    <row r="644" spans="1:38"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row>
    <row r="645" spans="1:38"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row>
    <row r="646" spans="1:38"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row>
    <row r="647" spans="1:38"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row>
    <row r="648" spans="1:38"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row>
    <row r="649" spans="1:38"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row>
    <row r="650" spans="1:38"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row>
    <row r="651" spans="1:38"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row>
    <row r="652" spans="1:38"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row>
    <row r="653" spans="1:38"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row>
    <row r="654" spans="1:38"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row>
    <row r="655" spans="1:38"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row>
    <row r="656" spans="1:38"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row>
    <row r="657" spans="1:38"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row>
    <row r="658" spans="1:38"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row>
    <row r="659" spans="1:38"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row>
    <row r="660" spans="1:38"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row>
    <row r="661" spans="1:38"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row>
    <row r="662" spans="1:38"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row>
    <row r="663" spans="1:38"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row>
    <row r="664" spans="1:38"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row>
    <row r="665" spans="1:38"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row>
    <row r="666" spans="1:38"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row>
    <row r="667" spans="1:38"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row>
    <row r="668" spans="1:38"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row>
    <row r="669" spans="1:38"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row>
    <row r="670" spans="1:38"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row>
    <row r="671" spans="1:38"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row>
    <row r="672" spans="1:38"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row>
    <row r="673" spans="1:38"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row>
    <row r="674" spans="1:38"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row>
    <row r="675" spans="1:38"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row>
    <row r="676" spans="1:38"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row>
    <row r="677" spans="1:38"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row>
    <row r="678" spans="1:38"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row>
    <row r="679" spans="1:38"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row>
    <row r="680" spans="1:38"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row>
    <row r="681" spans="1:38"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row>
    <row r="682" spans="1:38"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row>
    <row r="683" spans="1:38"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row>
    <row r="684" spans="1:38"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row>
    <row r="685" spans="1:38"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row>
    <row r="686" spans="1:38"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row>
    <row r="687" spans="1:38"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row>
    <row r="688" spans="1:38"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row>
    <row r="689" spans="1:38"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row>
    <row r="690" spans="1:38"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row>
    <row r="691" spans="1:38"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row>
    <row r="692" spans="1:38"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row>
    <row r="693" spans="1:38"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row>
    <row r="694" spans="1:38"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row>
    <row r="695" spans="1:38"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row>
    <row r="696" spans="1:38"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row>
    <row r="697" spans="1:38"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row>
    <row r="698" spans="1:38"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row>
    <row r="699" spans="1:38"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row>
    <row r="700" spans="1:38"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row>
    <row r="701" spans="1:38"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row>
    <row r="702" spans="1:38"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row>
    <row r="703" spans="1:38"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row>
    <row r="704" spans="1:38"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row>
    <row r="705" spans="1:38"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row>
    <row r="706" spans="1:38"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row>
    <row r="707" spans="1:38"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row>
    <row r="708" spans="1:38"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row>
    <row r="709" spans="1:38"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row>
    <row r="710" spans="1:38"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row>
    <row r="711" spans="1:38"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row>
    <row r="712" spans="1:38"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row>
    <row r="713" spans="1:38"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row>
    <row r="714" spans="1:38"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row>
    <row r="715" spans="1:38"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row>
    <row r="716" spans="1:38"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row>
    <row r="717" spans="1:38"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row>
    <row r="718" spans="1:38"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row>
    <row r="719" spans="1:38"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row>
    <row r="720" spans="1:38"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row>
    <row r="721" spans="1:38"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row>
    <row r="722" spans="1:38"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row>
    <row r="723" spans="1:38"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row>
    <row r="724" spans="1:38"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row>
    <row r="725" spans="1:38"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row>
    <row r="726" spans="1:38"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row>
    <row r="727" spans="1:38"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row>
    <row r="728" spans="1:38"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row>
    <row r="729" spans="1:38"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row>
    <row r="730" spans="1:38"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row>
    <row r="731" spans="1:38"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row>
    <row r="732" spans="1:38"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row>
    <row r="733" spans="1:38"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row>
    <row r="734" spans="1:38"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row>
    <row r="735" spans="1:38"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row>
    <row r="736" spans="1:38"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row>
    <row r="737" spans="1:38"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row>
    <row r="738" spans="1:38"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row>
    <row r="739" spans="1:38"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row>
    <row r="740" spans="1:38"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row>
    <row r="741" spans="1:38"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row>
    <row r="742" spans="1:38"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row>
    <row r="743" spans="1:38"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row>
    <row r="744" spans="1:38"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row>
    <row r="745" spans="1:38"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row>
    <row r="746" spans="1:38"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row>
    <row r="747" spans="1:38"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row>
    <row r="748" spans="1:38"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row>
    <row r="749" spans="1:38"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row>
    <row r="750" spans="1:38"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row>
    <row r="751" spans="1:38"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row>
    <row r="752" spans="1:38"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row>
    <row r="753" spans="1:38"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row>
    <row r="754" spans="1:38"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row>
    <row r="755" spans="1:38"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row>
    <row r="756" spans="1:38"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row>
    <row r="757" spans="1:38"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row>
    <row r="758" spans="1:38"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row>
    <row r="759" spans="1:38"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row>
    <row r="760" spans="1:38"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row>
    <row r="761" spans="1:38"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row>
    <row r="762" spans="1:38"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row>
    <row r="763" spans="1:38"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row>
    <row r="764" spans="1:38"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row>
    <row r="765" spans="1:38"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row>
    <row r="766" spans="1:38"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row>
    <row r="767" spans="1:38"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row>
    <row r="768" spans="1:38"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row>
    <row r="769" spans="1:38"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row>
    <row r="770" spans="1:38"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row>
    <row r="771" spans="1:38"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row>
    <row r="772" spans="1:38"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row>
    <row r="773" spans="1:38"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row>
    <row r="774" spans="1:38"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row>
    <row r="775" spans="1:38"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row>
    <row r="776" spans="1:38"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row>
    <row r="777" spans="1:38"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row>
    <row r="778" spans="1:38"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row>
    <row r="779" spans="1:38"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row>
    <row r="780" spans="1:38"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row>
    <row r="781" spans="1:38"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row>
    <row r="782" spans="1:38"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row>
    <row r="783" spans="1:38"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row>
    <row r="784" spans="1:38"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row>
    <row r="785" spans="1:38"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row>
    <row r="786" spans="1:38"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row>
    <row r="787" spans="1:38"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row>
    <row r="788" spans="1:38"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row>
    <row r="789" spans="1:38"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row>
    <row r="790" spans="1:38"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row>
    <row r="791" spans="1:38"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row>
    <row r="792" spans="1:38"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row>
    <row r="793" spans="1:38"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row>
    <row r="794" spans="1:38"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row>
    <row r="795" spans="1:38"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row>
    <row r="796" spans="1:38"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row>
    <row r="797" spans="1:38"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row>
    <row r="798" spans="1:38"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row>
    <row r="799" spans="1:38"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row>
    <row r="800" spans="1:38"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row>
    <row r="801" spans="1:38"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row>
    <row r="802" spans="1:38"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row>
    <row r="803" spans="1:38"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row>
    <row r="804" spans="1:38"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row>
    <row r="805" spans="1:38"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row>
    <row r="806" spans="1:38"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row>
    <row r="807" spans="1:38"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row>
    <row r="808" spans="1:38"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row>
    <row r="809" spans="1:38"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row>
    <row r="810" spans="1:38"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row>
    <row r="811" spans="1:38"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row>
    <row r="812" spans="1:38"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row>
    <row r="813" spans="1:38"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row>
    <row r="814" spans="1:38"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row>
    <row r="815" spans="1:38"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row>
    <row r="816" spans="1:38"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row>
    <row r="817" spans="1:38"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row>
    <row r="818" spans="1:38"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row>
    <row r="819" spans="1:38"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row>
    <row r="820" spans="1:38"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row>
    <row r="821" spans="1:38"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row>
    <row r="822" spans="1:38"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row>
    <row r="823" spans="1:38"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row>
    <row r="824" spans="1:38"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row>
    <row r="825" spans="1:38"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row>
    <row r="826" spans="1:38"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row>
    <row r="827" spans="1:38"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row>
    <row r="828" spans="1:38"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row>
    <row r="829" spans="1:38"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row>
    <row r="830" spans="1:38"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row>
    <row r="831" spans="1:38"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row>
    <row r="832" spans="1:38"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row>
    <row r="833" spans="1:38"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row>
    <row r="834" spans="1:38"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row>
    <row r="835" spans="1:38"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row>
    <row r="836" spans="1:38"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row>
    <row r="837" spans="1:38"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row>
    <row r="838" spans="1:38"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row>
    <row r="839" spans="1:38"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row>
    <row r="840" spans="1:38"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row>
    <row r="841" spans="1:38"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row>
    <row r="842" spans="1:38"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row>
    <row r="843" spans="1:38"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row>
    <row r="844" spans="1:38"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row>
    <row r="845" spans="1:38"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row>
    <row r="846" spans="1:38"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row>
    <row r="847" spans="1:38"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row>
    <row r="848" spans="1:38"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row>
    <row r="849" spans="1:38"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row>
    <row r="850" spans="1:38"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row>
    <row r="851" spans="1:38"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row>
    <row r="852" spans="1:38"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row>
    <row r="853" spans="1:38"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row>
    <row r="854" spans="1:38"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row>
    <row r="855" spans="1:38"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row>
    <row r="856" spans="1:38"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row>
    <row r="857" spans="1:38"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row>
    <row r="858" spans="1:38"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row>
    <row r="859" spans="1:38"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row>
    <row r="860" spans="1:38"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row>
    <row r="861" spans="1:38"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row>
    <row r="862" spans="1:38"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row>
    <row r="863" spans="1:38"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row>
    <row r="864" spans="1:38"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row>
    <row r="865" spans="1:38"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row>
    <row r="866" spans="1:38"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row>
    <row r="867" spans="1:38"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row>
    <row r="868" spans="1:38"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row>
    <row r="869" spans="1:38"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row>
    <row r="870" spans="1:38"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row>
    <row r="871" spans="1:38"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row>
    <row r="872" spans="1:38"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row>
    <row r="873" spans="1:38"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row>
    <row r="874" spans="1:38"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row>
    <row r="875" spans="1:38"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row>
    <row r="876" spans="1:38"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row>
    <row r="877" spans="1:38"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row>
    <row r="878" spans="1:38"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row>
    <row r="879" spans="1:38"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row>
    <row r="880" spans="1:38"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row>
    <row r="881" spans="1:38"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row>
    <row r="882" spans="1:38"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row>
    <row r="883" spans="1:38"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row>
    <row r="884" spans="1:38"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row>
    <row r="885" spans="1:38"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row>
    <row r="886" spans="1:38"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row>
    <row r="887" spans="1:38"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row>
    <row r="888" spans="1:38"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row>
    <row r="889" spans="1:38"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row>
    <row r="890" spans="1:38"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row>
    <row r="891" spans="1:38"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row>
    <row r="892" spans="1:38"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row>
    <row r="893" spans="1:38"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row>
    <row r="894" spans="1:38"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row>
    <row r="895" spans="1:38"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row>
    <row r="896" spans="1:38"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row>
    <row r="897" spans="1:38"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row>
    <row r="898" spans="1:38"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row>
    <row r="899" spans="1:38"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row>
    <row r="900" spans="1:38"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row>
    <row r="901" spans="1:38"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row>
    <row r="902" spans="1:38"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row>
    <row r="903" spans="1:38"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row>
    <row r="904" spans="1:38"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row>
    <row r="905" spans="1:38"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row>
    <row r="906" spans="1:38"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row>
    <row r="907" spans="1:38"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row>
    <row r="908" spans="1:38"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row>
    <row r="909" spans="1:38"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row>
    <row r="910" spans="1:38"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row>
    <row r="911" spans="1:38"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row>
    <row r="912" spans="1:38"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row>
    <row r="913" spans="1:38"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row>
    <row r="914" spans="1:38"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row>
    <row r="915" spans="1:38"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row>
    <row r="916" spans="1:38"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row>
    <row r="917" spans="1:38"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row>
    <row r="918" spans="1:38"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row>
    <row r="919" spans="1:38"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row>
    <row r="920" spans="1:38"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row>
    <row r="921" spans="1:38"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row>
    <row r="922" spans="1:38"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row>
    <row r="923" spans="1:38"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row>
    <row r="924" spans="1:38"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row>
    <row r="925" spans="1:38"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row>
    <row r="926" spans="1:38"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row>
    <row r="927" spans="1:38"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row>
    <row r="928" spans="1:38"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row>
    <row r="929" spans="1:38"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row>
    <row r="930" spans="1:38"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row>
    <row r="931" spans="1:38"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row>
    <row r="932" spans="1:38"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row>
    <row r="933" spans="1:38"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row>
    <row r="934" spans="1:38"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row>
    <row r="935" spans="1:38"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row>
    <row r="936" spans="1:38"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row>
    <row r="937" spans="1:38"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row>
    <row r="938" spans="1:38"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row>
    <row r="939" spans="1:38"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row>
    <row r="940" spans="1:38"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row>
    <row r="941" spans="1:38"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row>
    <row r="942" spans="1:38"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row>
    <row r="943" spans="1:38"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row>
    <row r="944" spans="1:38"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row>
    <row r="945" spans="1:38"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row>
    <row r="946" spans="1:38"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row>
    <row r="947" spans="1:38"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row>
    <row r="948" spans="1:38"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row>
    <row r="949" spans="1:38"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row>
    <row r="950" spans="1:38"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row>
    <row r="951" spans="1:38"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row>
    <row r="952" spans="1:38"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row>
    <row r="953" spans="1:38"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row>
    <row r="954" spans="1:38"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row>
    <row r="955" spans="1:38"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row>
    <row r="956" spans="1:38"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row>
    <row r="957" spans="1:38"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row>
    <row r="958" spans="1:38"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row>
    <row r="959" spans="1:38"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row>
    <row r="960" spans="1:38"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row>
    <row r="961" spans="1:38"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row>
    <row r="962" spans="1:38"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row>
    <row r="963" spans="1:38"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row>
    <row r="964" spans="1:38"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row>
    <row r="965" spans="1:38"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row>
    <row r="966" spans="1:38"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row>
    <row r="967" spans="1:38"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row>
    <row r="968" spans="1:38"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row>
    <row r="969" spans="1:38"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row>
    <row r="970" spans="1:38"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row>
    <row r="971" spans="1:38"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row>
    <row r="972" spans="1:38"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row>
    <row r="973" spans="1:38"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row>
    <row r="974" spans="1:38"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row>
    <row r="975" spans="1:38"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row>
    <row r="976" spans="1:38"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row>
    <row r="977" spans="1:38"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row>
    <row r="978" spans="1:38"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row>
    <row r="979" spans="1:38"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row>
    <row r="980" spans="1:38"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row>
    <row r="981" spans="1:38"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row>
    <row r="982" spans="1:38"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row>
    <row r="983" spans="1:38"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row>
    <row r="984" spans="1:38"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row>
    <row r="985" spans="1:38"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row>
    <row r="986" spans="1:38"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row>
    <row r="987" spans="1:38"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row>
    <row r="988" spans="1:38"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row>
    <row r="989" spans="1:38"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row>
    <row r="990" spans="1:38"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row>
    <row r="991" spans="1:38"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row>
    <row r="992" spans="1:38"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row>
    <row r="993" spans="1:38"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row>
    <row r="994" spans="1:38"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row>
    <row r="995" spans="1:38"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row>
    <row r="996" spans="1:38"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row>
    <row r="997" spans="1:38"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row>
    <row r="998" spans="1:38"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row>
    <row r="999" spans="1:38"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row>
    <row r="1000" spans="1:38"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row>
  </sheetData>
  <sheetProtection algorithmName="SHA-512" hashValue="RxqMV7ciSkDR3dPWLwIUfNV08pKJQSTeCuSNUMvcQ6Wguhi5f2y8SvgBMb1Eanmo/lST/x+cAXyVpNBR4xC21g==" saltValue="3seqJlbvK65Od9CsG209GQ==" spinCount="100000" sheet="1" objects="1" scenarios="1"/>
  <mergeCells count="55">
    <mergeCell ref="L42:Y42"/>
    <mergeCell ref="F34:G34"/>
    <mergeCell ref="V36:X36"/>
    <mergeCell ref="M37:O37"/>
    <mergeCell ref="V37:X37"/>
    <mergeCell ref="F39:G39"/>
    <mergeCell ref="I39:K39"/>
    <mergeCell ref="L39:Y40"/>
    <mergeCell ref="I40:K40"/>
    <mergeCell ref="I34:K34"/>
    <mergeCell ref="F40:G40"/>
    <mergeCell ref="A42:K42"/>
    <mergeCell ref="A1:B4"/>
    <mergeCell ref="C1:H1"/>
    <mergeCell ref="I1:K1"/>
    <mergeCell ref="C2:H4"/>
    <mergeCell ref="I2:K2"/>
    <mergeCell ref="I3:K3"/>
    <mergeCell ref="I4:K4"/>
    <mergeCell ref="B5:J5"/>
    <mergeCell ref="C6:F6"/>
    <mergeCell ref="G6:H6"/>
    <mergeCell ref="I6:K6"/>
    <mergeCell ref="C7:F7"/>
    <mergeCell ref="G7:H7"/>
    <mergeCell ref="I7:K7"/>
    <mergeCell ref="C8:F8"/>
    <mergeCell ref="G8:H8"/>
    <mergeCell ref="I8:K8"/>
    <mergeCell ref="C9:F9"/>
    <mergeCell ref="G9:H9"/>
    <mergeCell ref="G10:H10"/>
    <mergeCell ref="I10:K10"/>
    <mergeCell ref="C10:F10"/>
    <mergeCell ref="B11:J11"/>
    <mergeCell ref="G12:H12"/>
    <mergeCell ref="C13:K13"/>
    <mergeCell ref="A16:K16"/>
    <mergeCell ref="D18:D19"/>
    <mergeCell ref="E18:E19"/>
    <mergeCell ref="F18:F19"/>
    <mergeCell ref="G18:G19"/>
    <mergeCell ref="D20:D21"/>
    <mergeCell ref="E20:E21"/>
    <mergeCell ref="F20:F21"/>
    <mergeCell ref="G20:G21"/>
    <mergeCell ref="D23:G23"/>
    <mergeCell ref="C44:D49"/>
    <mergeCell ref="A35:E35"/>
    <mergeCell ref="A36:E40"/>
    <mergeCell ref="D24:E24"/>
    <mergeCell ref="D25:E25"/>
    <mergeCell ref="D26:E26"/>
    <mergeCell ref="D27:E27"/>
    <mergeCell ref="D28:E28"/>
  </mergeCells>
  <conditionalFormatting sqref="C12:D12">
    <cfRule type="containsBlanks" dxfId="5" priority="2">
      <formula>LEN(TRIM(C12))=0</formula>
    </cfRule>
  </conditionalFormatting>
  <conditionalFormatting sqref="C6:F10">
    <cfRule type="containsBlanks" dxfId="4" priority="3">
      <formula>LEN(TRIM(C6))=0</formula>
    </cfRule>
  </conditionalFormatting>
  <conditionalFormatting sqref="C13:K13">
    <cfRule type="containsBlanks" dxfId="3" priority="4">
      <formula>LEN(TRIM(C13))=0</formula>
    </cfRule>
  </conditionalFormatting>
  <conditionalFormatting sqref="E20:G21 G28">
    <cfRule type="containsBlanks" dxfId="2" priority="5">
      <formula>LEN(TRIM(E20))=0</formula>
    </cfRule>
  </conditionalFormatting>
  <conditionalFormatting sqref="G6:K6 B6:C10 G7:I8 I9:K9 G9:H10 B12:K13">
    <cfRule type="containsBlanks" dxfId="1" priority="1">
      <formula>LEN(TRIM(B6))=0</formula>
    </cfRule>
  </conditionalFormatting>
  <conditionalFormatting sqref="I6:K8 J9:K9 F12 I12 K12">
    <cfRule type="containsBlanks" dxfId="0" priority="6">
      <formula>LEN(TRIM(F12))=0</formula>
    </cfRule>
  </conditionalFormatting>
  <dataValidations count="1">
    <dataValidation type="list" allowBlank="1" showErrorMessage="1" sqref="C12" xr:uid="{00000000-0002-0000-0000-000000000000}">
      <formula1>$N$6:$N$13</formula1>
    </dataValidation>
  </dataValidations>
  <printOptions horizontalCentered="1" verticalCentered="1"/>
  <pageMargins left="0.70866141732283472" right="0.70866141732283472" top="0.74803149606299213" bottom="0.74803149606299213" header="0" footer="0"/>
  <pageSetup scale="57" orientation="landscape" r:id="rId1"/>
  <headerFooter>
    <oddFooter>&amp;CGEODELTA S.A.S. Calle 68 B bis No 70 C 95 BARRIO EL LAUREL, Móvil: 318 7902368 Bogotá DC - Colombia e-mail: laboratoriogeodelta@gmail.com</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10"/>
  <sheetViews>
    <sheetView topLeftCell="B2" workbookViewId="0">
      <selection activeCell="E11" sqref="E11"/>
    </sheetView>
  </sheetViews>
  <sheetFormatPr baseColWidth="10" defaultColWidth="14.42578125" defaultRowHeight="15" customHeight="1" x14ac:dyDescent="0.25"/>
  <cols>
    <col min="4" max="4" width="18.85546875" customWidth="1"/>
    <col min="5" max="5" width="84.28515625" customWidth="1"/>
  </cols>
  <sheetData>
    <row r="2" spans="1:5" x14ac:dyDescent="0.25">
      <c r="A2" s="1" t="s">
        <v>0</v>
      </c>
    </row>
    <row r="4" spans="1:5" x14ac:dyDescent="0.25">
      <c r="C4" s="2"/>
      <c r="D4" s="2"/>
      <c r="E4" s="2"/>
    </row>
    <row r="5" spans="1:5" x14ac:dyDescent="0.25">
      <c r="C5" s="70" t="s">
        <v>1</v>
      </c>
      <c r="D5" s="71"/>
      <c r="E5" s="71"/>
    </row>
    <row r="6" spans="1:5" x14ac:dyDescent="0.25">
      <c r="C6" s="3" t="s">
        <v>2</v>
      </c>
      <c r="D6" s="4" t="s">
        <v>3</v>
      </c>
      <c r="E6" s="4" t="s">
        <v>4</v>
      </c>
    </row>
    <row r="7" spans="1:5" x14ac:dyDescent="0.25">
      <c r="C7" s="5" t="s">
        <v>5</v>
      </c>
      <c r="D7" s="6">
        <v>44886</v>
      </c>
      <c r="E7" s="7" t="s">
        <v>6</v>
      </c>
    </row>
    <row r="8" spans="1:5" x14ac:dyDescent="0.25">
      <c r="C8" s="5" t="s">
        <v>8</v>
      </c>
      <c r="D8" s="6">
        <v>45260</v>
      </c>
      <c r="E8" s="8" t="s">
        <v>9</v>
      </c>
    </row>
    <row r="9" spans="1:5" x14ac:dyDescent="0.25">
      <c r="C9" s="5" t="s">
        <v>10</v>
      </c>
      <c r="D9" s="9">
        <v>45401</v>
      </c>
      <c r="E9" s="8" t="s">
        <v>11</v>
      </c>
    </row>
    <row r="10" spans="1:5" x14ac:dyDescent="0.25">
      <c r="C10" s="5" t="s">
        <v>68</v>
      </c>
      <c r="D10" s="9">
        <v>46304</v>
      </c>
      <c r="E10" s="8" t="s">
        <v>69</v>
      </c>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DCM-005</dc:creator>
  <cp:lastModifiedBy>DCM-03</cp:lastModifiedBy>
  <cp:lastPrinted>2026-10-06T20:22:41Z</cp:lastPrinted>
  <dcterms:created xsi:type="dcterms:W3CDTF">2019-08-12T15:15:58Z</dcterms:created>
  <dcterms:modified xsi:type="dcterms:W3CDTF">2026-10-14T14:45:09Z</dcterms:modified>
</cp:coreProperties>
</file>